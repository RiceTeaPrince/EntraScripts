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tables/table5.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How to Use" sheetId="2" state="visible" r:id="rId4"/>
    <sheet name="User Categorisation" sheetId="3" state="visible" r:id="rId5"/>
    <sheet name="Service Principals" sheetId="4" state="visible" r:id="rId6"/>
    <sheet name="Managed Identities" sheetId="5" state="visible" r:id="rId7"/>
    <sheet name="Archive" sheetId="6" state="visible" r:id="rId8"/>
    <sheet name="Run Log" sheetId="7" state="visible" r:id="rId9"/>
    <sheet name="Reference" sheetId="8" state="visible" r:id="rId10"/>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PRIMARY KEY. The runbook matches on this. Never edit or reorder this column.</t>
        </r>
      </text>
    </comment>
    <comment ref="D1" authorId="0">
      <text>
        <r>
          <rPr>
            <sz val="10"/>
            <rFont val="Arial"/>
            <family val="2"/>
          </rPr>
          <t xml:space="preserve">Set when the account is first added. Not refreshed by default - see -RefreshAttributes in the runbook.</t>
        </r>
      </text>
    </comment>
    <comment ref="G1" authorId="0">
      <text>
        <r>
          <rPr>
            <sz val="10"/>
            <rFont val="Arial"/>
            <family val="2"/>
          </rPr>
          <t xml:space="preserve">A blank interactive date with a populated non-interactive date is close to definitive for a service account.</t>
        </r>
      </text>
    </comment>
    <comment ref="L1" authorId="0">
      <text>
        <r>
          <rPr>
            <sz val="10"/>
            <rFont val="Arial"/>
            <family val="2"/>
          </rPr>
          <t xml:space="preserve">The strongest single signal that an account belongs to a person - it came from an HR process.</t>
        </r>
      </text>
    </comment>
    <comment ref="M1" authorId="0">
      <text>
        <r>
          <rPr>
            <sz val="10"/>
            <rFont val="Arial"/>
            <family val="2"/>
          </rPr>
          <t xml:space="preserve">The runbook's heuristic guess. Informational only. Your decision goes in Confirmed Category.</t>
        </r>
      </text>
    </comment>
    <comment ref="O1" authorId="0">
      <text>
        <r>
          <rPr>
            <sz val="10"/>
            <rFont val="Arial"/>
            <family val="2"/>
          </rPr>
          <t xml:space="preserve">When the runbook first added this row.</t>
        </r>
      </text>
    </comment>
    <comment ref="P1" authorId="0">
      <text>
        <r>
          <rPr>
            <sz val="10"/>
            <rFont val="Arial"/>
            <family val="2"/>
          </rPr>
          <t xml:space="preserve">NEW on the run that adds the row. RENAMED when the display name or UPN changed since the last run - worth a look, because a repurposed account keeps its Object ID and therefore keeps your categorisation.</t>
        </r>
      </text>
    </comment>
    <comment ref="Q1" authorId="0">
      <text>
        <r>
          <rPr>
            <sz val="10"/>
            <rFont val="Arial"/>
            <family val="2"/>
          </rPr>
          <t xml:space="preserve">Prior name and UPN, recorded when a rename is detected. The row is matched on Object ID, so the categorisation carried over - check it is still correct.</t>
        </r>
      </text>
    </comment>
    <comment ref="R1" authorId="0">
      <text>
        <r>
          <rPr>
            <sz val="10"/>
            <rFont val="Arial"/>
            <family val="2"/>
          </rPr>
          <t xml:space="preserve">YOUR DECISION. The runbook never writes to this column or any column to its right. Categorise once.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PRIMARY KEY.</t>
        </r>
      </text>
    </comment>
    <comment ref="S1" authorId="0">
      <text>
        <r>
          <rPr>
            <sz val="10"/>
            <rFont val="Arial"/>
            <family val="2"/>
          </rPr>
          <t xml:space="preserve">YOUR DECISION. Never overwritten.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PRIMARY KEY.</t>
        </r>
      </text>
    </comment>
    <comment ref="Q1" authorId="0">
      <text>
        <r>
          <rPr>
            <sz val="10"/>
            <rFont val="Arial"/>
            <family val="2"/>
          </rPr>
          <t xml:space="preserve">YOUR DECISION. Never overwritten.</t>
        </r>
      </text>
    </comment>
  </commentList>
</comments>
</file>

<file path=xl/sharedStrings.xml><?xml version="1.0" encoding="utf-8"?>
<sst xmlns="http://schemas.openxmlformats.org/spreadsheetml/2006/main" count="239" uniqueCount="181">
  <si>
    <t xml:space="preserve">Service Account Inventory - Dashboard</t>
  </si>
  <si>
    <t xml:space="preserve">Updated automatically. Formulas cover rows 2-5000 so they survive the runbook adding and removing rows. Extend the ranges if the tenant grows beyond that.</t>
  </si>
  <si>
    <t xml:space="preserve">CATEGORISATION PROGRESS</t>
  </si>
  <si>
    <t xml:space="preserve">Value</t>
  </si>
  <si>
    <t xml:space="preserve">Why it matters</t>
  </si>
  <si>
    <t xml:space="preserve">User accounts in scope</t>
  </si>
  <si>
    <t xml:space="preserve">Total rows on the categorisation tab.</t>
  </si>
  <si>
    <t xml:space="preserve">Awaiting categorisation</t>
  </si>
  <si>
    <t xml:space="preserve">Work the NEW rows each run and this stays small. Let it drift and the exercise restarts.</t>
  </si>
  <si>
    <t xml:space="preserve">Categorised</t>
  </si>
  <si>
    <t xml:space="preserve">Categorisation completeness</t>
  </si>
  <si>
    <t xml:space="preserve">The metric that measures the work rather than the problem.</t>
  </si>
  <si>
    <t xml:space="preserve">New since last run</t>
  </si>
  <si>
    <t xml:space="preserve">Filter Row Status on the tab to find them.</t>
  </si>
  <si>
    <t xml:space="preserve">Renamed since last run</t>
  </si>
  <si>
    <t xml:space="preserve">Same Object ID, different name. Your categorisation carried over automatically - confirm it is still correct, because a repurposed account keeps its identifier.</t>
  </si>
  <si>
    <t xml:space="preserve">CATEGORY BREAKDOWN</t>
  </si>
  <si>
    <t xml:space="preserve">Service Account</t>
  </si>
  <si>
    <t xml:space="preserve">Privileged / Admin</t>
  </si>
  <si>
    <t xml:space="preserve">Break-Glass (Emergency Access)</t>
  </si>
  <si>
    <t xml:space="preserve">Shared / Departmental</t>
  </si>
  <si>
    <t xml:space="preserve">Standard User</t>
  </si>
  <si>
    <t xml:space="preserve">Decommission Candidate</t>
  </si>
  <si>
    <t xml:space="preserve">SERVICE ACCOUNT HYGIENE</t>
  </si>
  <si>
    <t xml:space="preserve">Confirmed service accounts</t>
  </si>
  <si>
    <t xml:space="preserve">  ... with no owning team</t>
  </si>
  <si>
    <t xml:space="preserve">Categorised but unowned. Half the job.</t>
  </si>
  <si>
    <t xml:space="preserve">  ... never signed in interactively</t>
  </si>
  <si>
    <t xml:space="preserve">Consistent with a service account. Confirms the categorisation.</t>
  </si>
  <si>
    <t xml:space="preserve">  ... with MFA not registered</t>
  </si>
  <si>
    <t xml:space="preserve">WORKLOAD IDENTITIES</t>
  </si>
  <si>
    <t xml:space="preserve">Service principals</t>
  </si>
  <si>
    <t xml:space="preserve">  ... high-risk permission</t>
  </si>
  <si>
    <t xml:space="preserve">  ... credential expiring within 30 days</t>
  </si>
  <si>
    <t xml:space="preserve">  ... CA excluded</t>
  </si>
  <si>
    <t xml:space="preserve">  ... no owning team</t>
  </si>
  <si>
    <t xml:space="preserve">Managed identities</t>
  </si>
  <si>
    <t xml:space="preserve">  ... subscription or MG scoped</t>
  </si>
  <si>
    <t xml:space="preserve">Run history is on the Run Log tab.</t>
  </si>
  <si>
    <t xml:space="preserve">How this workbook maintains itself</t>
  </si>
  <si>
    <t xml:space="preserve">An Azure Automation runbook updates this file in place using the Microsoft Graph Excel API. Do not rename the tabs, the tables, or the columns - the runbook addresses them by name and will fail if they move.</t>
  </si>
  <si>
    <t xml:space="preserve">The two column zones</t>
  </si>
  <si>
    <t xml:space="preserve">DARK BLUE headers are written by the runbook. GREEN headers are yours: Confirmed Category, Service Account?, Owner Team, Owner Name, Environment, Categorised By, Categorised Date and Notes. The runbook never writes into the green zone, which is what makes 'categorise once' hold.</t>
  </si>
  <si>
    <t xml:space="preserve">Column A is the primary key on every tab. The runbook matches rows on Object ID, so never edit, sort away, or reorder it.</t>
  </si>
  <si>
    <t xml:space="preserve">What each run does</t>
  </si>
  <si>
    <t xml:space="preserve">Adds a row for any identity that appeared since the last run, with Row Status set to NEW. Removes rows for identities that no longer exist in the tenant, copying them to the Archive tab first so your categorisation is not silently lost. Everything else is left exactly as it was, including rows you have partly filled in.</t>
  </si>
  <si>
    <t xml:space="preserve">By default the runbook does not refresh attributes on existing rows either - the Enabled flag and sign-in dates are as at the day the row was added. That is what you asked for, and it keeps the tab stable, but it does mean those columns age. Run the runbook with -RefreshAttributes if you would rather they stayed current; it still never touches the green zone.</t>
  </si>
  <si>
    <t xml:space="preserve">Your workflow each run</t>
  </si>
  <si>
    <t xml:space="preserve">Filter Row Status on NEW. Those are the only rows needing attention. Set Confirmed Category, and the highlighting clears. The Dashboard tracks completeness so you can see the backlog shrinking.</t>
  </si>
  <si>
    <t xml:space="preserve">Suggested Category is the runbook's heuristic guess, with a confidence rating. Treat it as a starting point - it is right often enough to be useful and wrong often enough to need checking, particularly for break-glass accounts, which depend entirely on your naming convention.</t>
  </si>
  <si>
    <t xml:space="preserve">Renames</t>
  </si>
  <si>
    <t xml:space="preserve">Rows are matched on Object ID, which does not change when an account is renamed. So a rename keeps the row and keeps your categorisation - which is the behaviour you want, and the reason the key is the Object ID rather than the UPN.</t>
  </si>
  <si>
    <t xml:space="preserve">The runbook refreshes Display Name and User Principal Name on every run so the sheet stays searchable, records the old values in Previous Identifier, and sets Row Status to RENAMED. It never touches the green zone while doing so.</t>
  </si>
  <si>
    <t xml:space="preserve">Give renamed rows a glance. An account that was repurposed - svc-oldapp becoming svc-newapp, say - keeps its Object ID and therefore inherits a categorisation made for a different purpose. That is the one case where a rename is more than cosmetic.</t>
  </si>
  <si>
    <t xml:space="preserve">Editing while the runbook runs</t>
  </si>
  <si>
    <t xml:space="preserve">Avoid it. The runbook writes through the Graph Excel API, and concurrent edits in Excel Online can conflict or be lost. Schedule the run outside business hours, and if you are mid-categorisation when it fires, close the file and reopen after it completes.</t>
  </si>
  <si>
    <t xml:space="preserve">If something goes wrong</t>
  </si>
  <si>
    <t xml:space="preserve">The Run Log tab records every run: rows before, added, removed, after, and the outcome. An ABORTED outcome means the runbook's safety check tripped - it refuses to delete a large share of rows in one run, because that pattern usually means the collection failed rather than that half your tenant left. Read the Detail column, confirm the collection was healthy, then re-run.</t>
  </si>
  <si>
    <t xml:space="preserve">Version history is available through SharePoint. Right-click the file and choose Version History to recover an earlier copy if a run does something unexpected.</t>
  </si>
  <si>
    <t xml:space="preserve">Object ID</t>
  </si>
  <si>
    <t xml:space="preserve">Display Name</t>
  </si>
  <si>
    <t xml:space="preserve">User Principal Name</t>
  </si>
  <si>
    <t xml:space="preserve">Enabled</t>
  </si>
  <si>
    <t xml:space="preserve">Created</t>
  </si>
  <si>
    <t xml:space="preserve">Last Interactive Sign-In</t>
  </si>
  <si>
    <t xml:space="preserve">Last Non-Interactive Sign-In</t>
  </si>
  <si>
    <t xml:space="preserve">MFA Registered</t>
  </si>
  <si>
    <t xml:space="preserve">Licensed</t>
  </si>
  <si>
    <t xml:space="preserve">Identity Source</t>
  </si>
  <si>
    <t xml:space="preserve">Has Manager</t>
  </si>
  <si>
    <t xml:space="preserve">Has EmployeeId</t>
  </si>
  <si>
    <t xml:space="preserve">Suggested Category</t>
  </si>
  <si>
    <t xml:space="preserve">Confidence</t>
  </si>
  <si>
    <t xml:space="preserve">First Seen</t>
  </si>
  <si>
    <t xml:space="preserve">Row Status</t>
  </si>
  <si>
    <t xml:space="preserve">Previous Identifier</t>
  </si>
  <si>
    <t xml:space="preserve">Confirmed Category</t>
  </si>
  <si>
    <t xml:space="preserve">Service Account?</t>
  </si>
  <si>
    <t xml:space="preserve">Owner Team</t>
  </si>
  <si>
    <t xml:space="preserve">Owner Name</t>
  </si>
  <si>
    <t xml:space="preserve">Environment</t>
  </si>
  <si>
    <t xml:space="preserve">Categorised By</t>
  </si>
  <si>
    <t xml:space="preserve">Categorised Date</t>
  </si>
  <si>
    <t xml:space="preserve">Notes</t>
  </si>
  <si>
    <t xml:space="preserve">00000000-0000-0000-0000-000000000001</t>
  </si>
  <si>
    <t xml:space="preserve">EXAMPLE ROW - the runbook deletes this on first run</t>
  </si>
  <si>
    <t xml:space="preserve">example@contoso.com.au</t>
  </si>
  <si>
    <t xml:space="preserve">Yes</t>
  </si>
  <si>
    <t xml:space="preserve">No</t>
  </si>
  <si>
    <t xml:space="preserve">Cloud-only</t>
  </si>
  <si>
    <t xml:space="preserve">High</t>
  </si>
  <si>
    <t xml:space="preserve">NEW</t>
  </si>
  <si>
    <t xml:space="preserve">Dark blue = runbook writes.  Green = yours, never overwritten.</t>
  </si>
  <si>
    <t xml:space="preserve">Application (Client) ID</t>
  </si>
  <si>
    <t xml:space="preserve">App Origin</t>
  </si>
  <si>
    <t xml:space="preserve">Sign-in Audience</t>
  </si>
  <si>
    <t xml:space="preserve">Last Sign-In</t>
  </si>
  <si>
    <t xml:space="preserve">Credential Type</t>
  </si>
  <si>
    <t xml:space="preserve">Next Credential Expiry</t>
  </si>
  <si>
    <t xml:space="preserve">Days to Expiry</t>
  </si>
  <si>
    <t xml:space="preserve">Highest Permission</t>
  </si>
  <si>
    <t xml:space="preserve">Permission Risk</t>
  </si>
  <si>
    <t xml:space="preserve">Registered Owner</t>
  </si>
  <si>
    <t xml:space="preserve">CA Excluded</t>
  </si>
  <si>
    <t xml:space="preserve">Exclusion Groups</t>
  </si>
  <si>
    <t xml:space="preserve">Business Criticality</t>
  </si>
  <si>
    <t xml:space="preserve">Exclusion Justification</t>
  </si>
  <si>
    <t xml:space="preserve">Exclusion Approved By</t>
  </si>
  <si>
    <t xml:space="preserve">Exclusion Expiry</t>
  </si>
  <si>
    <t xml:space="preserve">00000000-0000-0000-0000-000000000002</t>
  </si>
  <si>
    <t xml:space="preserve">EXAMPLE ROW - deleted on first run</t>
  </si>
  <si>
    <t xml:space="preserve">c7d2e4f6-1a3b-4c5d-8e9f-0a1b2c3d4e5f</t>
  </si>
  <si>
    <t xml:space="preserve">In-house</t>
  </si>
  <si>
    <t xml:space="preserve">Single tenant</t>
  </si>
  <si>
    <t xml:space="preserve">Certificate</t>
  </si>
  <si>
    <t xml:space="preserve">Files.ReadWrite.All</t>
  </si>
  <si>
    <t xml:space="preserve">Daniel Okafor</t>
  </si>
  <si>
    <t xml:space="preserve">Client ID</t>
  </si>
  <si>
    <t xml:space="preserve">Managed Identity Type</t>
  </si>
  <si>
    <t xml:space="preserve">Azure Resource</t>
  </si>
  <si>
    <t xml:space="preserve">Resource Group</t>
  </si>
  <si>
    <t xml:space="preserve">Subscription</t>
  </si>
  <si>
    <t xml:space="preserve">Region</t>
  </si>
  <si>
    <t xml:space="preserve">Azure RBAC Roles</t>
  </si>
  <si>
    <t xml:space="preserve">Highest Azure Role</t>
  </si>
  <si>
    <t xml:space="preserve">Sub or MG Scoped</t>
  </si>
  <si>
    <t xml:space="preserve">00000000-0000-0000-0000-000000000003</t>
  </si>
  <si>
    <t xml:space="preserve">5e6f7a8b-9c0d-4e1f-a2b3-c4d5e6f7a8b9</t>
  </si>
  <si>
    <t xml:space="preserve">User-assigned</t>
  </si>
  <si>
    <t xml:space="preserve">adf-analytics-prod</t>
  </si>
  <si>
    <t xml:space="preserve">rg-analytics-prod-ause</t>
  </si>
  <si>
    <t xml:space="preserve">SUB-PROD-DATA</t>
  </si>
  <si>
    <t xml:space="preserve">australiaeast</t>
  </si>
  <si>
    <t xml:space="preserve">Storage Blob Data Contributor @ st-datalake-prod</t>
  </si>
  <si>
    <t xml:space="preserve">Storage Blob Data Contributor</t>
  </si>
  <si>
    <t xml:space="preserve">Source Tab</t>
  </si>
  <si>
    <t xml:space="preserve">Removed Date</t>
  </si>
  <si>
    <t xml:space="preserve">Reason</t>
  </si>
  <si>
    <t xml:space="preserve">00000000-0000-0000-0000-000000000004</t>
  </si>
  <si>
    <t xml:space="preserve">EXAMPLE ROW - safe to delete manually</t>
  </si>
  <si>
    <t xml:space="preserve">User Categorisation</t>
  </si>
  <si>
    <t xml:space="preserve">Example</t>
  </si>
  <si>
    <t xml:space="preserve">Rows removed from the live tabs, kept so categorisation work is not silently lost.</t>
  </si>
  <si>
    <t xml:space="preserve">Run Timestamp</t>
  </si>
  <si>
    <t xml:space="preserve">Tab</t>
  </si>
  <si>
    <t xml:space="preserve">Rows Before</t>
  </si>
  <si>
    <t xml:space="preserve">Added</t>
  </si>
  <si>
    <t xml:space="preserve">Removed</t>
  </si>
  <si>
    <t xml:space="preserve">Rows After</t>
  </si>
  <si>
    <t xml:space="preserve">Outcome</t>
  </si>
  <si>
    <t xml:space="preserve">Detail</t>
  </si>
  <si>
    <t xml:space="preserve">2026-08-14 06:00</t>
  </si>
  <si>
    <t xml:space="preserve">Deleted on first run</t>
  </si>
  <si>
    <t xml:space="preserve">Account Category</t>
  </si>
  <si>
    <t xml:space="preserve">Yes / No</t>
  </si>
  <si>
    <t xml:space="preserve">Identity &amp; Access Management</t>
  </si>
  <si>
    <t xml:space="preserve">Production</t>
  </si>
  <si>
    <t xml:space="preserve">Cyber Security Operations</t>
  </si>
  <si>
    <t xml:space="preserve">Non-Production</t>
  </si>
  <si>
    <t xml:space="preserve">Cloud Platform Engineering</t>
  </si>
  <si>
    <t xml:space="preserve">Development</t>
  </si>
  <si>
    <t xml:space="preserve">Unknown</t>
  </si>
  <si>
    <t xml:space="preserve">Infrastructure &amp; Network Services</t>
  </si>
  <si>
    <t xml:space="preserve">Test / UAT</t>
  </si>
  <si>
    <t xml:space="preserve">Enterprise Applications</t>
  </si>
  <si>
    <t xml:space="preserve">Mixed</t>
  </si>
  <si>
    <t xml:space="preserve">Guest (B2B)</t>
  </si>
  <si>
    <t xml:space="preserve">Data &amp; Analytics</t>
  </si>
  <si>
    <t xml:space="preserve">N/A</t>
  </si>
  <si>
    <t xml:space="preserve">Test Account</t>
  </si>
  <si>
    <t xml:space="preserve">Digital Channels</t>
  </si>
  <si>
    <t xml:space="preserve">Contractor / Vendor</t>
  </si>
  <si>
    <t xml:space="preserve">Integration Services</t>
  </si>
  <si>
    <t xml:space="preserve">System / Built-in</t>
  </si>
  <si>
    <t xml:space="preserve">Finance Systems</t>
  </si>
  <si>
    <t xml:space="preserve">People &amp; Culture Systems</t>
  </si>
  <si>
    <t xml:space="preserve">UNCATEGORISED</t>
  </si>
  <si>
    <t xml:space="preserve">Service Desk</t>
  </si>
  <si>
    <t xml:space="preserve">External Vendor / MSP</t>
  </si>
  <si>
    <t xml:space="preserve">UNASSIGNED - NEEDS OWNER</t>
  </si>
  <si>
    <t xml:space="preserve">Edit these lists to match your standards. The runbook never touches this tab.</t>
  </si>
</sst>
</file>

<file path=xl/styles.xml><?xml version="1.0" encoding="utf-8"?>
<styleSheet xmlns="http://schemas.openxmlformats.org/spreadsheetml/2006/main">
  <numFmts count="4">
    <numFmt numFmtId="164" formatCode="General"/>
    <numFmt numFmtId="165" formatCode="#,##0"/>
    <numFmt numFmtId="166" formatCode="0%"/>
    <numFmt numFmtId="167" formatCode="dd/mm/yyyy"/>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FFFFFF"/>
      <name val="Arial"/>
      <family val="0"/>
      <charset val="1"/>
    </font>
    <font>
      <i val="true"/>
      <sz val="9"/>
      <color rgb="FFC00000"/>
      <name val="Arial"/>
      <family val="0"/>
      <charset val="1"/>
    </font>
    <font>
      <sz val="10"/>
      <name val="Arial"/>
      <family val="2"/>
    </font>
    <font>
      <b val="true"/>
      <sz val="10"/>
      <color rgb="FF1F3864"/>
      <name val="Arial"/>
      <family val="0"/>
      <charset val="1"/>
    </font>
    <font>
      <i val="true"/>
      <sz val="10"/>
      <color rgb="FFC00000"/>
      <name val="Arial"/>
      <family val="0"/>
      <charset val="1"/>
    </font>
  </fonts>
  <fills count="9">
    <fill>
      <patternFill patternType="none"/>
    </fill>
    <fill>
      <patternFill patternType="gray125"/>
    </fill>
    <fill>
      <patternFill patternType="solid">
        <fgColor rgb="FF1F3864"/>
        <bgColor rgb="FF1F4E79"/>
      </patternFill>
    </fill>
    <fill>
      <patternFill patternType="solid">
        <fgColor rgb="FF2E5496"/>
        <bgColor rgb="FF1F4E79"/>
      </patternFill>
    </fill>
    <fill>
      <patternFill patternType="solid">
        <fgColor rgb="FF1F4E79"/>
        <bgColor rgb="FF2E5496"/>
      </patternFill>
    </fill>
    <fill>
      <patternFill patternType="solid">
        <fgColor rgb="FF385723"/>
        <bgColor rgb="FF595959"/>
      </patternFill>
    </fill>
    <fill>
      <patternFill patternType="solid">
        <fgColor rgb="FFFFF2CC"/>
        <bgColor rgb="FFFFF9E6"/>
      </patternFill>
    </fill>
    <fill>
      <patternFill patternType="solid">
        <fgColor rgb="FFBF9000"/>
        <bgColor rgb="FF9C6500"/>
      </patternFill>
    </fill>
    <fill>
      <patternFill patternType="solid">
        <fgColor rgb="FFD9E2F3"/>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7" fontId="8" fillId="6"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center" vertical="bottom" textRotation="0" wrapText="tru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center"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9"/>
          <bgColor rgb="FF000000"/>
        </patternFill>
      </fill>
    </dxf>
    <dxf>
      <fill>
        <patternFill patternType="solid">
          <fgColor rgb="FFFFF9E6"/>
          <bgColor rgb="FF000000"/>
        </patternFill>
      </fill>
    </dxf>
    <dxf>
      <fill>
        <patternFill patternType="solid">
          <fgColor rgb="FFFFFFFF"/>
          <bgColor rgb="FF000000"/>
        </patternFill>
      </fill>
    </dxf>
    <dxf>
      <fill>
        <patternFill patternType="solid">
          <bgColor rgb="FF000000"/>
        </patternFill>
      </fill>
    </dxf>
    <dxf>
      <fill>
        <patternFill patternType="solid">
          <fgColor rgb="FF385723"/>
          <bgColor rgb="FF000000"/>
        </patternFill>
      </fill>
    </dxf>
    <dxf>
      <fill>
        <patternFill>
          <bgColor rgb="FFFFF9E6"/>
        </patternFill>
      </fill>
    </dxf>
    <dxf>
      <font>
        <name val="Arial"/>
        <charset val="1"/>
        <family val="0"/>
        <color rgb="FF9C6500"/>
        <sz val="10"/>
      </font>
      <fill>
        <patternFill>
          <bgColor rgb="FFFFEB9C"/>
        </patternFill>
      </fill>
    </dxf>
    <dxf>
      <font>
        <name val="Arial"/>
        <charset val="1"/>
        <family val="0"/>
        <b val="1"/>
        <color rgb="FF9C0006"/>
        <sz val="10"/>
      </font>
      <fill>
        <patternFill>
          <bgColor rgb="FFFFC7CE"/>
        </patternFill>
      </fill>
    </dxf>
    <dxf>
      <font>
        <name val="Arial"/>
        <charset val="1"/>
        <family val="0"/>
        <color rgb="FF006100"/>
        <sz val="10"/>
      </font>
      <fill>
        <patternFill>
          <bgColor rgb="FFC6EFCE"/>
        </patternFill>
      </fill>
    </dxf>
    <dxf>
      <fill>
        <patternFill patternType="solid">
          <fgColor rgb="FFFFF2CC"/>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BF9000"/>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7030A0"/>
      <rgbColor rgb="FFFFF9E6"/>
      <rgbColor rgb="FFFFF2CC"/>
      <rgbColor rgb="FF5B2C6F"/>
      <rgbColor rgb="FFFF8080"/>
      <rgbColor rgb="FF1F4E79"/>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BF9000"/>
      <rgbColor rgb="FFFF6600"/>
      <rgbColor rgb="FF595959"/>
      <rgbColor rgb="FF969696"/>
      <rgbColor rgb="FF1F3864"/>
      <rgbColor rgb="FF00B050"/>
      <rgbColor rgb="FF003300"/>
      <rgbColor rgb="FF333300"/>
      <rgbColor rgb="FF993300"/>
      <rgbColor rgb="FF993366"/>
      <rgbColor rgb="FF2E5496"/>
      <rgbColor rgb="FF385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tblArchive" displayName="tblArchive" ref="A1:H2" headerRowCount="1" totalsRowCount="0" totalsRowShown="0">
  <autoFilter ref="A1:H2"/>
  <tableColumns count="8">
    <tableColumn id="1" name="Object ID"/>
    <tableColumn id="2" name="Display Name"/>
    <tableColumn id="3" name="User Principal Name"/>
    <tableColumn id="4" name="Source Tab"/>
    <tableColumn id="5" name="Confirmed Category"/>
    <tableColumn id="6" name="Owner Team"/>
    <tableColumn id="7" name="Removed Date"/>
    <tableColumn id="8" name="Reason"/>
  </tableColumns>
</table>
</file>

<file path=xl/tables/table2.xml><?xml version="1.0" encoding="utf-8"?>
<table xmlns="http://schemas.openxmlformats.org/spreadsheetml/2006/main" id="2" name="tblManagedIdentities" displayName="tblManagedIdentities" ref="A1:U2" headerRowCount="1" totalsRowCount="0" totalsRowShown="0">
  <autoFilter ref="A1:U2"/>
  <tableColumns count="21">
    <tableColumn id="1" name="Object ID"/>
    <tableColumn id="2" name="Display Name"/>
    <tableColumn id="3" name="Client ID"/>
    <tableColumn id="4" name="Managed Identity Type"/>
    <tableColumn id="5" name="Created"/>
    <tableColumn id="6" name="Last Sign-In"/>
    <tableColumn id="7" name="Azure Resource"/>
    <tableColumn id="8" name="Resource Group"/>
    <tableColumn id="9" name="Subscription"/>
    <tableColumn id="10" name="Region"/>
    <tableColumn id="11" name="Azure RBAC Roles"/>
    <tableColumn id="12" name="Highest Azure Role"/>
    <tableColumn id="13" name="Sub or MG Scoped"/>
    <tableColumn id="14" name="CA Excluded"/>
    <tableColumn id="15" name="First Seen"/>
    <tableColumn id="16" name="Row Status"/>
    <tableColumn id="17" name="Owner Team"/>
    <tableColumn id="18" name="Owner Name"/>
    <tableColumn id="19" name="Environment"/>
    <tableColumn id="20" name="Business Criticality"/>
    <tableColumn id="21" name="Notes"/>
  </tableColumns>
</table>
</file>

<file path=xl/tables/table3.xml><?xml version="1.0" encoding="utf-8"?>
<table xmlns="http://schemas.openxmlformats.org/spreadsheetml/2006/main" id="3" name="tblRunLog" displayName="tblRunLog" ref="A1:H2" headerRowCount="1" totalsRowCount="0" totalsRowShown="0">
  <autoFilter ref="A1:H2"/>
  <tableColumns count="8">
    <tableColumn id="1" name="Run Timestamp"/>
    <tableColumn id="2" name="Tab"/>
    <tableColumn id="3" name="Rows Before"/>
    <tableColumn id="4" name="Added"/>
    <tableColumn id="5" name="Removed"/>
    <tableColumn id="6" name="Rows After"/>
    <tableColumn id="7" name="Outcome"/>
    <tableColumn id="8" name="Detail"/>
  </tableColumns>
</table>
</file>

<file path=xl/tables/table4.xml><?xml version="1.0" encoding="utf-8"?>
<table xmlns="http://schemas.openxmlformats.org/spreadsheetml/2006/main" id="4" name="tblServicePrincipals" displayName="tblServicePrincipals" ref="A1:Z2" headerRowCount="1" totalsRowCount="0" totalsRowShown="0">
  <autoFilter ref="A1:Z2"/>
  <tableColumns count="26">
    <tableColumn id="1" name="Object ID"/>
    <tableColumn id="2" name="Display Name"/>
    <tableColumn id="3" name="Application (Client) ID"/>
    <tableColumn id="4" name="App Origin"/>
    <tableColumn id="5" name="Sign-in Audience"/>
    <tableColumn id="6" name="Enabled"/>
    <tableColumn id="7" name="Created"/>
    <tableColumn id="8" name="Last Sign-In"/>
    <tableColumn id="9" name="Credential Type"/>
    <tableColumn id="10" name="Next Credential Expiry"/>
    <tableColumn id="11" name="Days to Expiry"/>
    <tableColumn id="12" name="Highest Permission"/>
    <tableColumn id="13" name="Permission Risk"/>
    <tableColumn id="14" name="Registered Owner"/>
    <tableColumn id="15" name="CA Excluded"/>
    <tableColumn id="16" name="Exclusion Groups"/>
    <tableColumn id="17" name="First Seen"/>
    <tableColumn id="18" name="Row Status"/>
    <tableColumn id="19" name="Owner Team"/>
    <tableColumn id="20" name="Owner Name"/>
    <tableColumn id="21" name="Environment"/>
    <tableColumn id="22" name="Business Criticality"/>
    <tableColumn id="23" name="Exclusion Justification"/>
    <tableColumn id="24" name="Exclusion Approved By"/>
    <tableColumn id="25" name="Exclusion Expiry"/>
    <tableColumn id="26" name="Notes"/>
  </tableColumns>
</table>
</file>

<file path=xl/tables/table5.xml><?xml version="1.0" encoding="utf-8"?>
<table xmlns="http://schemas.openxmlformats.org/spreadsheetml/2006/main" id="5" name="tblUserCategorisation" displayName="tblUserCategorisation" ref="A1:Y2" headerRowCount="1" totalsRowCount="0" totalsRowShown="0">
  <autoFilter ref="A1:Y2"/>
  <tableColumns count="25">
    <tableColumn id="1" name="Object ID"/>
    <tableColumn id="2" name="Display Name"/>
    <tableColumn id="3" name="User Principal Name"/>
    <tableColumn id="4" name="Enabled"/>
    <tableColumn id="5" name="Created"/>
    <tableColumn id="6" name="Last Interactive Sign-In"/>
    <tableColumn id="7" name="Last Non-Interactive Sign-In"/>
    <tableColumn id="8" name="MFA Registered"/>
    <tableColumn id="9" name="Licensed"/>
    <tableColumn id="10" name="Identity Source"/>
    <tableColumn id="11" name="Has Manager"/>
    <tableColumn id="12" name="Has EmployeeId"/>
    <tableColumn id="13" name="Suggested Category"/>
    <tableColumn id="14" name="Confidence"/>
    <tableColumn id="15" name="First Seen"/>
    <tableColumn id="16" name="Row Status"/>
    <tableColumn id="17" name="Previous Identifier"/>
    <tableColumn id="18" name="Confirmed Category"/>
    <tableColumn id="19" name="Service Account?"/>
    <tableColumn id="20" name="Owner Team"/>
    <tableColumn id="21" name="Owner Name"/>
    <tableColumn id="22" name="Environment"/>
    <tableColumn id="23" name="Categorised By"/>
    <tableColumn id="24" name="Categorised Date"/>
    <tableColumn id="25"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Relationship Id="rId3"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Relationship Id="rId3"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2:D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3" min="3" style="0" width="14"/>
    <col collapsed="false" customWidth="true" hidden="false" outlineLevel="0" max="4" min="4" style="0" width="60"/>
  </cols>
  <sheetData>
    <row r="2" customFormat="false" ht="27.75" hidden="false" customHeight="true" outlineLevel="0" collapsed="false">
      <c r="B2" s="1" t="s">
        <v>0</v>
      </c>
      <c r="C2" s="1"/>
      <c r="D2" s="1"/>
    </row>
    <row r="3" customFormat="false" ht="15" hidden="false" customHeight="false" outlineLevel="0" collapsed="false">
      <c r="B3" s="2" t="s">
        <v>1</v>
      </c>
    </row>
    <row r="5" customFormat="false" ht="15" hidden="false" customHeight="false" outlineLevel="0" collapsed="false">
      <c r="B5" s="3" t="s">
        <v>2</v>
      </c>
      <c r="C5" s="4" t="s">
        <v>3</v>
      </c>
      <c r="D5" s="3" t="s">
        <v>4</v>
      </c>
    </row>
    <row r="6" customFormat="false" ht="30" hidden="false" customHeight="true" outlineLevel="0" collapsed="false">
      <c r="B6" s="5" t="s">
        <v>5</v>
      </c>
      <c r="C6" s="6" t="n">
        <f aca="false">COUNTA('User Categorisation'!$A$2:$A$5000)</f>
        <v>1</v>
      </c>
      <c r="D6" s="7" t="s">
        <v>6</v>
      </c>
    </row>
    <row r="7" customFormat="false" ht="30" hidden="false" customHeight="true" outlineLevel="0" collapsed="false">
      <c r="B7" s="5" t="s">
        <v>7</v>
      </c>
      <c r="C7" s="6" t="n">
        <f aca="false">COUNTIFS('User Categorisation'!$A$2:$A$5000,"&lt;&gt;",'User Categorisation'!$R$2:$R$5000,"")</f>
        <v>1</v>
      </c>
      <c r="D7" s="7" t="s">
        <v>8</v>
      </c>
    </row>
    <row r="8" customFormat="false" ht="30" hidden="false" customHeight="true" outlineLevel="0" collapsed="false">
      <c r="B8" s="8" t="s">
        <v>9</v>
      </c>
      <c r="C8" s="6" t="n">
        <f aca="false">COUNTIFS('User Categorisation'!$A$2:$A$5000,"&lt;&gt;",'User Categorisation'!$R$2:$R$5000,"&lt;&gt;")</f>
        <v>0</v>
      </c>
      <c r="D8" s="7"/>
    </row>
    <row r="9" customFormat="false" ht="30" hidden="false" customHeight="true" outlineLevel="0" collapsed="false">
      <c r="B9" s="5" t="s">
        <v>10</v>
      </c>
      <c r="C9" s="9" t="n">
        <f aca="false">IF(COUNTA('User Categorisation'!$A$2:$A$5000)=0,"n/a",COUNTIFS('User Categorisation'!$A$2:$A$5000,"&lt;&gt;",'User Categorisation'!$R$2:$R$5000,"&lt;&gt;")/COUNTA('User Categorisation'!$A$2:$A$5000))</f>
        <v>0</v>
      </c>
      <c r="D9" s="7" t="s">
        <v>11</v>
      </c>
    </row>
    <row r="10" customFormat="false" ht="30" hidden="false" customHeight="true" outlineLevel="0" collapsed="false">
      <c r="B10" s="8" t="s">
        <v>12</v>
      </c>
      <c r="C10" s="6" t="n">
        <f aca="false">COUNTIF('User Categorisation'!$P$2:$P$5000,"NEW")</f>
        <v>1</v>
      </c>
      <c r="D10" s="7" t="s">
        <v>13</v>
      </c>
    </row>
    <row r="11" customFormat="false" ht="30" hidden="false" customHeight="true" outlineLevel="0" collapsed="false">
      <c r="B11" s="5" t="s">
        <v>14</v>
      </c>
      <c r="C11" s="6" t="n">
        <f aca="false">COUNTIF('User Categorisation'!$P$2:$P$5000,"RENAMED")</f>
        <v>0</v>
      </c>
      <c r="D11" s="7" t="s">
        <v>15</v>
      </c>
    </row>
    <row r="13" customFormat="false" ht="15" hidden="false" customHeight="false" outlineLevel="0" collapsed="false">
      <c r="B13" s="3" t="s">
        <v>16</v>
      </c>
      <c r="C13" s="4" t="s">
        <v>3</v>
      </c>
      <c r="D13" s="3" t="s">
        <v>4</v>
      </c>
    </row>
    <row r="14" customFormat="false" ht="30" hidden="false" customHeight="true" outlineLevel="0" collapsed="false">
      <c r="B14" s="8" t="s">
        <v>17</v>
      </c>
      <c r="C14" s="6" t="n">
        <f aca="false">COUNTIF('User Categorisation'!$R$2:$R$5000,"Service Account")</f>
        <v>0</v>
      </c>
      <c r="D14" s="7"/>
    </row>
    <row r="15" customFormat="false" ht="30" hidden="false" customHeight="true" outlineLevel="0" collapsed="false">
      <c r="B15" s="8" t="s">
        <v>18</v>
      </c>
      <c r="C15" s="6" t="n">
        <f aca="false">COUNTIF('User Categorisation'!$R$2:$R$5000,"Privileged / Admin")</f>
        <v>0</v>
      </c>
      <c r="D15" s="7"/>
    </row>
    <row r="16" customFormat="false" ht="30" hidden="false" customHeight="true" outlineLevel="0" collapsed="false">
      <c r="B16" s="8" t="s">
        <v>19</v>
      </c>
      <c r="C16" s="6" t="n">
        <f aca="false">COUNTIF('User Categorisation'!$R$2:$R$5000,"Break-Glass (Emergency Access)")</f>
        <v>0</v>
      </c>
      <c r="D16" s="7"/>
    </row>
    <row r="17" customFormat="false" ht="30" hidden="false" customHeight="true" outlineLevel="0" collapsed="false">
      <c r="B17" s="8" t="s">
        <v>20</v>
      </c>
      <c r="C17" s="6" t="n">
        <f aca="false">COUNTIF('User Categorisation'!$R$2:$R$5000,"Shared / Departmental")</f>
        <v>0</v>
      </c>
      <c r="D17" s="7"/>
    </row>
    <row r="18" customFormat="false" ht="30" hidden="false" customHeight="true" outlineLevel="0" collapsed="false">
      <c r="B18" s="8" t="s">
        <v>21</v>
      </c>
      <c r="C18" s="6" t="n">
        <f aca="false">COUNTIF('User Categorisation'!$R$2:$R$5000,"Standard User")</f>
        <v>0</v>
      </c>
      <c r="D18" s="7"/>
    </row>
    <row r="19" customFormat="false" ht="30" hidden="false" customHeight="true" outlineLevel="0" collapsed="false">
      <c r="B19" s="8" t="s">
        <v>22</v>
      </c>
      <c r="C19" s="6" t="n">
        <f aca="false">COUNTIF('User Categorisation'!$R$2:$R$5000,"Decommission Candidate")</f>
        <v>0</v>
      </c>
      <c r="D19" s="7"/>
    </row>
    <row r="21" customFormat="false" ht="15" hidden="false" customHeight="false" outlineLevel="0" collapsed="false">
      <c r="B21" s="3" t="s">
        <v>23</v>
      </c>
      <c r="C21" s="4" t="s">
        <v>3</v>
      </c>
      <c r="D21" s="3" t="s">
        <v>4</v>
      </c>
    </row>
    <row r="22" customFormat="false" ht="30" hidden="false" customHeight="true" outlineLevel="0" collapsed="false">
      <c r="B22" s="5" t="s">
        <v>24</v>
      </c>
      <c r="C22" s="6" t="n">
        <f aca="false">COUNTIF('User Categorisation'!$S$2:$S$5000,"Yes")</f>
        <v>0</v>
      </c>
      <c r="D22" s="7"/>
    </row>
    <row r="23" customFormat="false" ht="30" hidden="false" customHeight="true" outlineLevel="0" collapsed="false">
      <c r="B23" s="8" t="s">
        <v>25</v>
      </c>
      <c r="C23" s="6" t="n">
        <f aca="false">COUNTIFS('User Categorisation'!$S$2:$S$5000,"Yes",'User Categorisation'!$T$2:$T$5000,"")</f>
        <v>0</v>
      </c>
      <c r="D23" s="7" t="s">
        <v>26</v>
      </c>
    </row>
    <row r="24" customFormat="false" ht="30" hidden="false" customHeight="true" outlineLevel="0" collapsed="false">
      <c r="B24" s="8" t="s">
        <v>27</v>
      </c>
      <c r="C24" s="6" t="n">
        <f aca="false">COUNTIFS('User Categorisation'!$S$2:$S$5000,"Yes",'User Categorisation'!$F$2:$F$5000,"")</f>
        <v>0</v>
      </c>
      <c r="D24" s="7" t="s">
        <v>28</v>
      </c>
    </row>
    <row r="25" customFormat="false" ht="30" hidden="false" customHeight="true" outlineLevel="0" collapsed="false">
      <c r="B25" s="8" t="s">
        <v>29</v>
      </c>
      <c r="C25" s="6" t="n">
        <f aca="false">COUNTIFS('User Categorisation'!$S$2:$S$5000,"Yes",'User Categorisation'!$H$2:$H$5000,"No")</f>
        <v>0</v>
      </c>
      <c r="D25" s="7"/>
    </row>
    <row r="27" customFormat="false" ht="15" hidden="false" customHeight="false" outlineLevel="0" collapsed="false">
      <c r="B27" s="3" t="s">
        <v>30</v>
      </c>
      <c r="C27" s="4" t="s">
        <v>3</v>
      </c>
      <c r="D27" s="3" t="s">
        <v>4</v>
      </c>
    </row>
    <row r="28" customFormat="false" ht="30" hidden="false" customHeight="true" outlineLevel="0" collapsed="false">
      <c r="B28" s="8" t="s">
        <v>31</v>
      </c>
      <c r="C28" s="6" t="n">
        <f aca="false">COUNTA('Service Principals'!$A$2:$A$5000)</f>
        <v>1</v>
      </c>
      <c r="D28" s="7"/>
    </row>
    <row r="29" customFormat="false" ht="30" hidden="false" customHeight="true" outlineLevel="0" collapsed="false">
      <c r="B29" s="5" t="s">
        <v>32</v>
      </c>
      <c r="C29" s="6" t="n">
        <f aca="false">COUNTIF('Service Principals'!$M$2:$M$5000,"High")</f>
        <v>1</v>
      </c>
      <c r="D29" s="7"/>
    </row>
    <row r="30" customFormat="false" ht="30" hidden="false" customHeight="true" outlineLevel="0" collapsed="false">
      <c r="B30" s="8" t="s">
        <v>33</v>
      </c>
      <c r="C30" s="6" t="n">
        <f aca="false">COUNTIFS('Service Principals'!$K$2:$K$5000,"&lt;=30",'Service Principals'!$K$2:$K$5000,"&gt;=0")</f>
        <v>1</v>
      </c>
      <c r="D30" s="7"/>
    </row>
    <row r="31" customFormat="false" ht="30" hidden="false" customHeight="true" outlineLevel="0" collapsed="false">
      <c r="B31" s="8" t="s">
        <v>34</v>
      </c>
      <c r="C31" s="6" t="n">
        <f aca="false">COUNTIF('Service Principals'!$O$2:$O$5000,"Yes")</f>
        <v>0</v>
      </c>
      <c r="D31" s="7"/>
    </row>
    <row r="32" customFormat="false" ht="30" hidden="false" customHeight="true" outlineLevel="0" collapsed="false">
      <c r="B32" s="8" t="s">
        <v>35</v>
      </c>
      <c r="C32" s="6" t="n">
        <f aca="false">COUNTIFS('Service Principals'!$A$2:$A$5000,"&lt;&gt;",'Service Principals'!$S$2:$S$5000,"")</f>
        <v>1</v>
      </c>
      <c r="D32" s="7"/>
    </row>
    <row r="33" customFormat="false" ht="30" hidden="false" customHeight="true" outlineLevel="0" collapsed="false">
      <c r="B33" s="8" t="s">
        <v>36</v>
      </c>
      <c r="C33" s="6" t="n">
        <f aca="false">COUNTA('Managed Identities'!$A$2:$A$5000)</f>
        <v>1</v>
      </c>
      <c r="D33" s="7"/>
    </row>
    <row r="34" customFormat="false" ht="30" hidden="false" customHeight="true" outlineLevel="0" collapsed="false">
      <c r="B34" s="8" t="s">
        <v>37</v>
      </c>
      <c r="C34" s="6" t="n">
        <f aca="false">COUNTIF('Managed Identities'!$M$2:$M$5000,"Yes")</f>
        <v>0</v>
      </c>
      <c r="D34" s="7"/>
    </row>
    <row r="35" customFormat="false" ht="30" hidden="false" customHeight="true" outlineLevel="0" collapsed="false">
      <c r="B35" s="8" t="s">
        <v>35</v>
      </c>
      <c r="C35" s="6" t="n">
        <f aca="false">COUNTIFS('Managed Identities'!$A$2:$A$5000,"&lt;&gt;",'Managed Identities'!$Q$2:$Q$5000,"")</f>
        <v>1</v>
      </c>
      <c r="D35" s="7"/>
    </row>
    <row r="37" customFormat="false" ht="15" hidden="false" customHeight="false" outlineLevel="0" collapsed="false">
      <c r="B37" s="2" t="s">
        <v>38</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2"/>
  </cols>
  <sheetData>
    <row r="2" customFormat="false" ht="25.5" hidden="false" customHeight="true" outlineLevel="0" collapsed="false">
      <c r="B2" s="10" t="s">
        <v>39</v>
      </c>
    </row>
    <row r="4" customFormat="false" ht="25.5" hidden="false" customHeight="true" outlineLevel="0" collapsed="false">
      <c r="B4" s="11" t="s">
        <v>40</v>
      </c>
    </row>
    <row r="6" customFormat="false" ht="24" hidden="false" customHeight="true" outlineLevel="0" collapsed="false">
      <c r="B6" s="12" t="s">
        <v>41</v>
      </c>
    </row>
    <row r="8" customFormat="false" ht="39" hidden="false" customHeight="true" outlineLevel="0" collapsed="false">
      <c r="B8" s="11" t="s">
        <v>42</v>
      </c>
    </row>
    <row r="10" customFormat="false" ht="25.5" hidden="false" customHeight="true" outlineLevel="0" collapsed="false">
      <c r="B10" s="11" t="s">
        <v>43</v>
      </c>
    </row>
    <row r="12" customFormat="false" ht="24" hidden="false" customHeight="true" outlineLevel="0" collapsed="false">
      <c r="B12" s="12" t="s">
        <v>44</v>
      </c>
    </row>
    <row r="14" customFormat="false" ht="39" hidden="false" customHeight="true" outlineLevel="0" collapsed="false">
      <c r="B14" s="11" t="s">
        <v>45</v>
      </c>
    </row>
    <row r="16" customFormat="false" ht="51.75" hidden="false" customHeight="true" outlineLevel="0" collapsed="false">
      <c r="B16" s="11" t="s">
        <v>46</v>
      </c>
    </row>
    <row r="18" customFormat="false" ht="24" hidden="false" customHeight="true" outlineLevel="0" collapsed="false">
      <c r="B18" s="12" t="s">
        <v>47</v>
      </c>
    </row>
    <row r="20" customFormat="false" ht="25.5" hidden="false" customHeight="true" outlineLevel="0" collapsed="false">
      <c r="B20" s="11" t="s">
        <v>48</v>
      </c>
    </row>
    <row r="22" customFormat="false" ht="39" hidden="false" customHeight="true" outlineLevel="0" collapsed="false">
      <c r="B22" s="11" t="s">
        <v>49</v>
      </c>
    </row>
    <row r="24" customFormat="false" ht="24" hidden="false" customHeight="true" outlineLevel="0" collapsed="false">
      <c r="B24" s="12" t="s">
        <v>50</v>
      </c>
    </row>
    <row r="26" customFormat="false" ht="39" hidden="false" customHeight="true" outlineLevel="0" collapsed="false">
      <c r="B26" s="11" t="s">
        <v>51</v>
      </c>
    </row>
    <row r="28" customFormat="false" ht="39" hidden="false" customHeight="true" outlineLevel="0" collapsed="false">
      <c r="B28" s="11" t="s">
        <v>52</v>
      </c>
    </row>
    <row r="30" customFormat="false" ht="39" hidden="false" customHeight="true" outlineLevel="0" collapsed="false">
      <c r="B30" s="11" t="s">
        <v>53</v>
      </c>
    </row>
    <row r="32" customFormat="false" ht="24" hidden="false" customHeight="true" outlineLevel="0" collapsed="false">
      <c r="B32" s="12" t="s">
        <v>54</v>
      </c>
    </row>
    <row r="34" customFormat="false" ht="39" hidden="false" customHeight="true" outlineLevel="0" collapsed="false">
      <c r="B34" s="11" t="s">
        <v>55</v>
      </c>
    </row>
    <row r="36" customFormat="false" ht="24" hidden="false" customHeight="true" outlineLevel="0" collapsed="false">
      <c r="B36" s="12" t="s">
        <v>56</v>
      </c>
    </row>
    <row r="38" customFormat="false" ht="51.75" hidden="false" customHeight="true" outlineLevel="0" collapsed="false">
      <c r="B38" s="11" t="s">
        <v>57</v>
      </c>
    </row>
    <row r="40" customFormat="false" ht="25.5" hidden="false" customHeight="true" outlineLevel="0" collapsed="false">
      <c r="B40" s="11"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C6F"/>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34"/>
    <col collapsed="false" customWidth="true" hidden="false" outlineLevel="0" max="4" min="4" style="0" width="11"/>
    <col collapsed="false" customWidth="true" hidden="false" outlineLevel="0" max="5" min="5" style="0" width="13"/>
    <col collapsed="false" customWidth="true" hidden="false" outlineLevel="0" max="6" min="6" style="0" width="17"/>
    <col collapsed="false" customWidth="true" hidden="false" outlineLevel="0" max="7" min="7" style="0" width="18"/>
    <col collapsed="false" customWidth="true" hidden="false" outlineLevel="0" max="8" min="8" style="0" width="13"/>
    <col collapsed="false" customWidth="true" hidden="false" outlineLevel="0" max="9" min="9" style="0" width="11"/>
    <col collapsed="false" customWidth="true" hidden="false" outlineLevel="0" max="10" min="10" style="0" width="15"/>
    <col collapsed="false" customWidth="true" hidden="false" outlineLevel="0" max="11" min="11" style="0" width="12"/>
    <col collapsed="false" customWidth="true" hidden="false" outlineLevel="0" max="12" min="12" style="0" width="13"/>
    <col collapsed="false" customWidth="true" hidden="false" outlineLevel="0" max="13" min="13" style="0" width="24"/>
    <col collapsed="false" customWidth="true" hidden="false" outlineLevel="0" max="14" min="14" style="0" width="12"/>
    <col collapsed="false" customWidth="true" hidden="false" outlineLevel="0" max="16" min="15" style="0" width="13"/>
    <col collapsed="false" customWidth="true" hidden="false" outlineLevel="0" max="17" min="17" style="0" width="32"/>
    <col collapsed="false" customWidth="true" hidden="false" outlineLevel="0" max="18" min="18" style="0" width="26"/>
    <col collapsed="false" customWidth="true" hidden="false" outlineLevel="0" max="19" min="19" style="0" width="14"/>
    <col collapsed="false" customWidth="true" hidden="false" outlineLevel="0" max="20" min="20" style="0" width="26"/>
    <col collapsed="false" customWidth="true" hidden="false" outlineLevel="0" max="21" min="21" style="0" width="20"/>
    <col collapsed="false" customWidth="true" hidden="false" outlineLevel="0" max="22" min="22" style="0" width="16"/>
    <col collapsed="false" customWidth="true" hidden="false" outlineLevel="0" max="23" min="23" style="0" width="18"/>
    <col collapsed="false" customWidth="true" hidden="false" outlineLevel="0" max="24" min="24" style="0" width="15"/>
    <col collapsed="false" customWidth="true" hidden="false" outlineLevel="0" max="25" min="25" style="0" width="38"/>
  </cols>
  <sheetData>
    <row r="1" customFormat="false" ht="45.75" hidden="false" customHeight="true" outlineLevel="0" collapsed="false">
      <c r="A1" s="13" t="s">
        <v>59</v>
      </c>
      <c r="B1" s="13" t="s">
        <v>60</v>
      </c>
      <c r="C1" s="13" t="s">
        <v>61</v>
      </c>
      <c r="D1" s="13" t="s">
        <v>62</v>
      </c>
      <c r="E1" s="13" t="s">
        <v>63</v>
      </c>
      <c r="F1" s="13" t="s">
        <v>64</v>
      </c>
      <c r="G1" s="13" t="s">
        <v>65</v>
      </c>
      <c r="H1" s="13" t="s">
        <v>66</v>
      </c>
      <c r="I1" s="13" t="s">
        <v>67</v>
      </c>
      <c r="J1" s="13" t="s">
        <v>68</v>
      </c>
      <c r="K1" s="13" t="s">
        <v>69</v>
      </c>
      <c r="L1" s="13" t="s">
        <v>70</v>
      </c>
      <c r="M1" s="13" t="s">
        <v>71</v>
      </c>
      <c r="N1" s="13" t="s">
        <v>72</v>
      </c>
      <c r="O1" s="13" t="s">
        <v>73</v>
      </c>
      <c r="P1" s="13" t="s">
        <v>74</v>
      </c>
      <c r="Q1" s="13" t="s">
        <v>75</v>
      </c>
      <c r="R1" s="14" t="s">
        <v>76</v>
      </c>
      <c r="S1" s="14" t="s">
        <v>77</v>
      </c>
      <c r="T1" s="14" t="s">
        <v>78</v>
      </c>
      <c r="U1" s="14" t="s">
        <v>79</v>
      </c>
      <c r="V1" s="14" t="s">
        <v>80</v>
      </c>
      <c r="W1" s="14" t="s">
        <v>81</v>
      </c>
      <c r="X1" s="14" t="s">
        <v>82</v>
      </c>
      <c r="Y1" s="14" t="s">
        <v>83</v>
      </c>
    </row>
    <row r="2" customFormat="false" ht="15" hidden="false" customHeight="false" outlineLevel="0" collapsed="false">
      <c r="A2" s="15" t="s">
        <v>84</v>
      </c>
      <c r="B2" s="16" t="s">
        <v>85</v>
      </c>
      <c r="C2" s="15" t="s">
        <v>86</v>
      </c>
      <c r="D2" s="16" t="s">
        <v>87</v>
      </c>
      <c r="E2" s="17" t="n">
        <v>45306</v>
      </c>
      <c r="F2" s="17"/>
      <c r="G2" s="17" t="n">
        <v>46246</v>
      </c>
      <c r="H2" s="16" t="s">
        <v>88</v>
      </c>
      <c r="I2" s="16" t="s">
        <v>87</v>
      </c>
      <c r="J2" s="16" t="s">
        <v>89</v>
      </c>
      <c r="K2" s="16" t="s">
        <v>88</v>
      </c>
      <c r="L2" s="16" t="s">
        <v>88</v>
      </c>
      <c r="M2" s="16" t="s">
        <v>17</v>
      </c>
      <c r="N2" s="16" t="s">
        <v>90</v>
      </c>
      <c r="O2" s="17" t="n">
        <v>46248</v>
      </c>
      <c r="P2" s="16" t="s">
        <v>91</v>
      </c>
      <c r="Q2" s="15"/>
      <c r="R2" s="16"/>
      <c r="S2" s="16"/>
      <c r="T2" s="16"/>
      <c r="U2" s="16"/>
      <c r="V2" s="16"/>
      <c r="W2" s="16"/>
      <c r="X2" s="17"/>
      <c r="Y2" s="15"/>
      <c r="AA2" s="18" t="s">
        <v>92</v>
      </c>
    </row>
  </sheetData>
  <conditionalFormatting sqref="A2:Y5000">
    <cfRule type="expression" priority="2" aboveAverage="0" equalAverage="0" bottom="0" percent="0" rank="0" text="" dxfId="5">
      <formula>AND($A2&lt;&gt;"",$R2="")</formula>
    </cfRule>
  </conditionalFormatting>
  <conditionalFormatting sqref="P2:P5000">
    <cfRule type="expression" priority="3" aboveAverage="0" equalAverage="0" bottom="0" percent="0" rank="0" text="" dxfId="6">
      <formula>$P2="NEW"</formula>
    </cfRule>
    <cfRule type="expression" priority="4" aboveAverage="0" equalAverage="0" bottom="0" percent="0" rank="0" text="" dxfId="7">
      <formula>$P2="RENAMED"</formula>
    </cfRule>
  </conditionalFormatting>
  <conditionalFormatting sqref="R2:R5000">
    <cfRule type="expression" priority="5" aboveAverage="0" equalAverage="0" bottom="0" percent="0" rank="0" text="" dxfId="7">
      <formula>AND($A2&lt;&gt;"",$R2="")</formula>
    </cfRule>
    <cfRule type="expression" priority="6" aboveAverage="0" equalAverage="0" bottom="0" percent="0" rank="0" text="" dxfId="8">
      <formula>$R2&lt;&gt;""</formula>
    </cfRule>
  </conditionalFormatting>
  <dataValidations count="4">
    <dataValidation allowBlank="true" errorStyle="warning" operator="between" showDropDown="false" showErrorMessage="false" showInputMessage="false" sqref="R2:R1002" type="list">
      <formula1>Reference!$A$2:$A$12</formula1>
      <formula2>0</formula2>
    </dataValidation>
    <dataValidation allowBlank="true" errorStyle="warning" operator="between" showDropDown="false" showErrorMessage="false" showInputMessage="false" sqref="S2:S1002" type="list">
      <formula1>Reference!$D$2:$D$4</formula1>
      <formula2>0</formula2>
    </dataValidation>
    <dataValidation allowBlank="true" errorStyle="warning" operator="between" showDropDown="false" showErrorMessage="false" showInputMessage="false" sqref="T2:T1002" type="list">
      <formula1>Reference!$B$2:$B$14</formula1>
      <formula2>0</formula2>
    </dataValidation>
    <dataValidation allowBlank="true" errorStyle="warning" operator="between" showDropDown="false" showErrorMessage="false" showInputMessage="false" sqref="V2:V1002" type="list">
      <formula1>Reference!$C$2:$C$7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Z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0"/>
    <col collapsed="false" customWidth="true" hidden="false" outlineLevel="0" max="3" min="3" style="0" width="38"/>
    <col collapsed="false" customWidth="true" hidden="false" outlineLevel="0" max="4" min="4" style="0" width="24"/>
    <col collapsed="false" customWidth="true" hidden="false" outlineLevel="0" max="5" min="5" style="0" width="20"/>
    <col collapsed="false" customWidth="true" hidden="false" outlineLevel="0" max="6" min="6" style="0" width="11"/>
    <col collapsed="false" customWidth="true" hidden="false" outlineLevel="0" max="8" min="7" style="0" width="13"/>
    <col collapsed="false" customWidth="true" hidden="false" outlineLevel="0" max="9" min="9" style="0" width="26"/>
    <col collapsed="false" customWidth="true" hidden="false" outlineLevel="0" max="10" min="10" style="0" width="16"/>
    <col collapsed="false" customWidth="true" hidden="false" outlineLevel="0" max="11" min="11" style="0" width="13"/>
    <col collapsed="false" customWidth="true" hidden="false" outlineLevel="0" max="12" min="12" style="0" width="30"/>
    <col collapsed="false" customWidth="true" hidden="false" outlineLevel="0" max="13" min="13" style="0" width="14"/>
    <col collapsed="false" customWidth="true" hidden="false" outlineLevel="0" max="14" min="14" style="0" width="24"/>
    <col collapsed="false" customWidth="true" hidden="false" outlineLevel="0" max="15" min="15" style="0" width="13"/>
    <col collapsed="false" customWidth="true" hidden="false" outlineLevel="0" max="16" min="16" style="0" width="30"/>
    <col collapsed="false" customWidth="true" hidden="false" outlineLevel="0" max="18" min="17" style="0" width="13"/>
    <col collapsed="false" customWidth="true" hidden="false" outlineLevel="0" max="19" min="19" style="0" width="26"/>
    <col collapsed="false" customWidth="true" hidden="false" outlineLevel="0" max="20" min="20" style="0" width="20"/>
    <col collapsed="false" customWidth="true" hidden="false" outlineLevel="0" max="21" min="21" style="0" width="16"/>
    <col collapsed="false" customWidth="true" hidden="false" outlineLevel="0" max="22" min="22" style="0" width="18"/>
    <col collapsed="false" customWidth="true" hidden="false" outlineLevel="0" max="23" min="23" style="0" width="36"/>
    <col collapsed="false" customWidth="true" hidden="false" outlineLevel="0" max="24" min="24" style="0" width="20"/>
    <col collapsed="false" customWidth="true" hidden="false" outlineLevel="0" max="25" min="25" style="0" width="15"/>
    <col collapsed="false" customWidth="true" hidden="false" outlineLevel="0" max="26" min="26" style="0" width="36"/>
  </cols>
  <sheetData>
    <row r="1" customFormat="false" ht="45.75" hidden="false" customHeight="true" outlineLevel="0" collapsed="false">
      <c r="A1" s="13" t="s">
        <v>59</v>
      </c>
      <c r="B1" s="13" t="s">
        <v>60</v>
      </c>
      <c r="C1" s="13" t="s">
        <v>93</v>
      </c>
      <c r="D1" s="13" t="s">
        <v>94</v>
      </c>
      <c r="E1" s="13" t="s">
        <v>95</v>
      </c>
      <c r="F1" s="13" t="s">
        <v>62</v>
      </c>
      <c r="G1" s="13" t="s">
        <v>63</v>
      </c>
      <c r="H1" s="13" t="s">
        <v>96</v>
      </c>
      <c r="I1" s="13" t="s">
        <v>97</v>
      </c>
      <c r="J1" s="13" t="s">
        <v>98</v>
      </c>
      <c r="K1" s="13" t="s">
        <v>99</v>
      </c>
      <c r="L1" s="13" t="s">
        <v>100</v>
      </c>
      <c r="M1" s="13" t="s">
        <v>101</v>
      </c>
      <c r="N1" s="13" t="s">
        <v>102</v>
      </c>
      <c r="O1" s="13" t="s">
        <v>103</v>
      </c>
      <c r="P1" s="13" t="s">
        <v>104</v>
      </c>
      <c r="Q1" s="13" t="s">
        <v>73</v>
      </c>
      <c r="R1" s="13" t="s">
        <v>74</v>
      </c>
      <c r="S1" s="14" t="s">
        <v>78</v>
      </c>
      <c r="T1" s="14" t="s">
        <v>79</v>
      </c>
      <c r="U1" s="14" t="s">
        <v>80</v>
      </c>
      <c r="V1" s="14" t="s">
        <v>105</v>
      </c>
      <c r="W1" s="14" t="s">
        <v>106</v>
      </c>
      <c r="X1" s="14" t="s">
        <v>107</v>
      </c>
      <c r="Y1" s="14" t="s">
        <v>108</v>
      </c>
      <c r="Z1" s="14" t="s">
        <v>83</v>
      </c>
    </row>
    <row r="2" customFormat="false" ht="23.85" hidden="false" customHeight="false" outlineLevel="0" collapsed="false">
      <c r="A2" s="15" t="s">
        <v>109</v>
      </c>
      <c r="B2" s="15" t="s">
        <v>110</v>
      </c>
      <c r="C2" s="15" t="s">
        <v>111</v>
      </c>
      <c r="D2" s="16" t="s">
        <v>112</v>
      </c>
      <c r="E2" s="16" t="s">
        <v>113</v>
      </c>
      <c r="F2" s="16" t="s">
        <v>87</v>
      </c>
      <c r="G2" s="17" t="n">
        <v>45506</v>
      </c>
      <c r="H2" s="17" t="n">
        <v>46237</v>
      </c>
      <c r="I2" s="16" t="s">
        <v>114</v>
      </c>
      <c r="J2" s="17" t="n">
        <v>46277</v>
      </c>
      <c r="K2" s="16" t="n">
        <v>29</v>
      </c>
      <c r="L2" s="15" t="s">
        <v>115</v>
      </c>
      <c r="M2" s="16" t="s">
        <v>90</v>
      </c>
      <c r="N2" s="16" t="s">
        <v>116</v>
      </c>
      <c r="O2" s="16" t="s">
        <v>88</v>
      </c>
      <c r="P2" s="15"/>
      <c r="Q2" s="17" t="n">
        <v>46248</v>
      </c>
      <c r="R2" s="16" t="s">
        <v>91</v>
      </c>
      <c r="S2" s="16"/>
      <c r="T2" s="16"/>
      <c r="U2" s="16"/>
      <c r="V2" s="16"/>
      <c r="W2" s="15"/>
      <c r="X2" s="16"/>
      <c r="Y2" s="17"/>
      <c r="Z2" s="15"/>
    </row>
  </sheetData>
  <conditionalFormatting sqref="M2:M5000">
    <cfRule type="expression" priority="2" aboveAverage="0" equalAverage="0" bottom="0" percent="0" rank="0" text="" dxfId="7">
      <formula>$M2="High"</formula>
    </cfRule>
  </conditionalFormatting>
  <conditionalFormatting sqref="K2:K5000">
    <cfRule type="expression" priority="3" aboveAverage="0" equalAverage="0" bottom="0" percent="0" rank="0" text="" dxfId="7">
      <formula>AND($K2&lt;&gt;"",$K2&lt;=30)</formula>
    </cfRule>
  </conditionalFormatting>
  <conditionalFormatting sqref="O2:O5000">
    <cfRule type="expression" priority="4" aboveAverage="0" equalAverage="0" bottom="0" percent="0" rank="0" text="" dxfId="6">
      <formula>$O2="Yes"</formula>
    </cfRule>
  </conditionalFormatting>
  <dataValidations count="2">
    <dataValidation allowBlank="true" errorStyle="warning" operator="between" showDropDown="false" showErrorMessage="false" showInputMessage="false" sqref="S2:S1002" type="list">
      <formula1>Reference!$B$2:$B$14</formula1>
      <formula2>0</formula2>
    </dataValidation>
    <dataValidation allowBlank="true" errorStyle="warning" operator="between" showDropDown="false" showErrorMessage="false" showInputMessage="false" sqref="U2:U1002" type="list">
      <formula1>Reference!$C$2:$C$7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U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0"/>
    <col collapsed="false" customWidth="true" hidden="false" outlineLevel="0" max="3" min="3" style="0" width="38"/>
    <col collapsed="false" customWidth="true" hidden="false" outlineLevel="0" max="4" min="4" style="0" width="18"/>
    <col collapsed="false" customWidth="true" hidden="false" outlineLevel="0" max="6" min="5" style="0" width="13"/>
    <col collapsed="false" customWidth="true" hidden="false" outlineLevel="0" max="7" min="7" style="0" width="34"/>
    <col collapsed="false" customWidth="true" hidden="false" outlineLevel="0" max="8" min="8" style="0" width="24"/>
    <col collapsed="false" customWidth="true" hidden="false" outlineLevel="0" max="9" min="9" style="0" width="26"/>
    <col collapsed="false" customWidth="true" hidden="false" outlineLevel="0" max="10" min="10" style="0" width="15"/>
    <col collapsed="false" customWidth="true" hidden="false" outlineLevel="0" max="11" min="11" style="0" width="34"/>
    <col collapsed="false" customWidth="true" hidden="false" outlineLevel="0" max="12" min="12" style="0" width="20"/>
    <col collapsed="false" customWidth="true" hidden="false" outlineLevel="0" max="13" min="13" style="0" width="14"/>
    <col collapsed="false" customWidth="true" hidden="false" outlineLevel="0" max="16" min="14" style="0" width="13"/>
    <col collapsed="false" customWidth="true" hidden="false" outlineLevel="0" max="17" min="17" style="0" width="26"/>
    <col collapsed="false" customWidth="true" hidden="false" outlineLevel="0" max="18" min="18" style="0" width="20"/>
    <col collapsed="false" customWidth="true" hidden="false" outlineLevel="0" max="19" min="19" style="0" width="16"/>
    <col collapsed="false" customWidth="true" hidden="false" outlineLevel="0" max="20" min="20" style="0" width="18"/>
    <col collapsed="false" customWidth="true" hidden="false" outlineLevel="0" max="21" min="21" style="0" width="36"/>
  </cols>
  <sheetData>
    <row r="1" customFormat="false" ht="45.75" hidden="false" customHeight="true" outlineLevel="0" collapsed="false">
      <c r="A1" s="13" t="s">
        <v>59</v>
      </c>
      <c r="B1" s="13" t="s">
        <v>60</v>
      </c>
      <c r="C1" s="13" t="s">
        <v>117</v>
      </c>
      <c r="D1" s="13" t="s">
        <v>118</v>
      </c>
      <c r="E1" s="13" t="s">
        <v>63</v>
      </c>
      <c r="F1" s="13" t="s">
        <v>96</v>
      </c>
      <c r="G1" s="13" t="s">
        <v>119</v>
      </c>
      <c r="H1" s="13" t="s">
        <v>120</v>
      </c>
      <c r="I1" s="13" t="s">
        <v>121</v>
      </c>
      <c r="J1" s="13" t="s">
        <v>122</v>
      </c>
      <c r="K1" s="13" t="s">
        <v>123</v>
      </c>
      <c r="L1" s="13" t="s">
        <v>124</v>
      </c>
      <c r="M1" s="13" t="s">
        <v>125</v>
      </c>
      <c r="N1" s="13" t="s">
        <v>103</v>
      </c>
      <c r="O1" s="13" t="s">
        <v>73</v>
      </c>
      <c r="P1" s="13" t="s">
        <v>74</v>
      </c>
      <c r="Q1" s="14" t="s">
        <v>78</v>
      </c>
      <c r="R1" s="14" t="s">
        <v>79</v>
      </c>
      <c r="S1" s="14" t="s">
        <v>80</v>
      </c>
      <c r="T1" s="14" t="s">
        <v>105</v>
      </c>
      <c r="U1" s="14" t="s">
        <v>83</v>
      </c>
    </row>
    <row r="2" customFormat="false" ht="23.85" hidden="false" customHeight="false" outlineLevel="0" collapsed="false">
      <c r="A2" s="15" t="s">
        <v>126</v>
      </c>
      <c r="B2" s="15" t="s">
        <v>110</v>
      </c>
      <c r="C2" s="15" t="s">
        <v>127</v>
      </c>
      <c r="D2" s="16" t="s">
        <v>128</v>
      </c>
      <c r="E2" s="17" t="n">
        <v>45676</v>
      </c>
      <c r="F2" s="17" t="n">
        <v>46238</v>
      </c>
      <c r="G2" s="15" t="s">
        <v>129</v>
      </c>
      <c r="H2" s="16" t="s">
        <v>130</v>
      </c>
      <c r="I2" s="16" t="s">
        <v>131</v>
      </c>
      <c r="J2" s="16" t="s">
        <v>132</v>
      </c>
      <c r="K2" s="15" t="s">
        <v>133</v>
      </c>
      <c r="L2" s="16" t="s">
        <v>134</v>
      </c>
      <c r="M2" s="16" t="s">
        <v>88</v>
      </c>
      <c r="N2" s="16" t="s">
        <v>87</v>
      </c>
      <c r="O2" s="17" t="n">
        <v>46248</v>
      </c>
      <c r="P2" s="16" t="s">
        <v>91</v>
      </c>
      <c r="Q2" s="16"/>
      <c r="R2" s="16"/>
      <c r="S2" s="16"/>
      <c r="T2" s="16"/>
      <c r="U2" s="15"/>
    </row>
  </sheetData>
  <conditionalFormatting sqref="M2:M5000">
    <cfRule type="expression" priority="2" aboveAverage="0" equalAverage="0" bottom="0" percent="0" rank="0" text="" dxfId="6">
      <formula>$M2="Yes"</formula>
    </cfRule>
  </conditionalFormatting>
  <dataValidations count="2">
    <dataValidation allowBlank="true" errorStyle="warning" operator="between" showDropDown="false" showErrorMessage="false" showInputMessage="false" sqref="Q2:Q1002" type="list">
      <formula1>Reference!$B$2:$B$14</formula1>
      <formula2>0</formula2>
    </dataValidation>
    <dataValidation allowBlank="true" errorStyle="warning" operator="between" showDropDown="false" showErrorMessage="false" showInputMessage="false" sqref="S2:S1002" type="list">
      <formula1>Reference!$C$2:$C$7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8"/>
    <col collapsed="false" customWidth="true" hidden="false" outlineLevel="0" max="3" min="3" style="0" width="34"/>
    <col collapsed="false" customWidth="true" hidden="false" outlineLevel="0" max="4" min="4" style="0" width="20"/>
    <col collapsed="false" customWidth="true" hidden="false" outlineLevel="0" max="6" min="5" style="0" width="24"/>
    <col collapsed="false" customWidth="true" hidden="false" outlineLevel="0" max="7" min="7" style="0" width="14"/>
    <col collapsed="false" customWidth="true" hidden="false" outlineLevel="0" max="8" min="8" style="0" width="30"/>
  </cols>
  <sheetData>
    <row r="1" customFormat="false" ht="45.75" hidden="false" customHeight="true" outlineLevel="0" collapsed="false">
      <c r="A1" s="13" t="s">
        <v>59</v>
      </c>
      <c r="B1" s="13" t="s">
        <v>60</v>
      </c>
      <c r="C1" s="13" t="s">
        <v>61</v>
      </c>
      <c r="D1" s="13" t="s">
        <v>135</v>
      </c>
      <c r="E1" s="13" t="s">
        <v>76</v>
      </c>
      <c r="F1" s="13" t="s">
        <v>78</v>
      </c>
      <c r="G1" s="13" t="s">
        <v>136</v>
      </c>
      <c r="H1" s="13" t="s">
        <v>137</v>
      </c>
    </row>
    <row r="2" customFormat="false" ht="23.85" hidden="false" customHeight="false" outlineLevel="0" collapsed="false">
      <c r="A2" s="15" t="s">
        <v>138</v>
      </c>
      <c r="B2" s="15" t="s">
        <v>139</v>
      </c>
      <c r="C2" s="15"/>
      <c r="D2" s="16" t="s">
        <v>140</v>
      </c>
      <c r="E2" s="16"/>
      <c r="F2" s="16"/>
      <c r="G2" s="17" t="n">
        <v>46248</v>
      </c>
      <c r="H2" s="15" t="s">
        <v>141</v>
      </c>
      <c r="J2" s="18"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2"/>
    <col collapsed="false" customWidth="true" hidden="false" outlineLevel="0" max="5" min="4" style="0" width="10"/>
    <col collapsed="false" customWidth="true" hidden="false" outlineLevel="0" max="6" min="6" style="0" width="12"/>
    <col collapsed="false" customWidth="true" hidden="false" outlineLevel="0" max="7" min="7" style="0" width="16"/>
    <col collapsed="false" customWidth="true" hidden="false" outlineLevel="0" max="8" min="8" style="0" width="60"/>
  </cols>
  <sheetData>
    <row r="1" customFormat="false" ht="23.85" hidden="false" customHeight="false" outlineLevel="0" collapsed="false">
      <c r="A1" s="19" t="s">
        <v>143</v>
      </c>
      <c r="B1" s="19" t="s">
        <v>144</v>
      </c>
      <c r="C1" s="19" t="s">
        <v>145</v>
      </c>
      <c r="D1" s="19" t="s">
        <v>146</v>
      </c>
      <c r="E1" s="19" t="s">
        <v>147</v>
      </c>
      <c r="F1" s="19" t="s">
        <v>148</v>
      </c>
      <c r="G1" s="19" t="s">
        <v>149</v>
      </c>
      <c r="H1" s="19" t="s">
        <v>150</v>
      </c>
    </row>
    <row r="2" customFormat="false" ht="15" hidden="false" customHeight="false" outlineLevel="0" collapsed="false">
      <c r="A2" s="20" t="s">
        <v>151</v>
      </c>
      <c r="B2" s="20" t="s">
        <v>140</v>
      </c>
      <c r="C2" s="20" t="n">
        <v>0</v>
      </c>
      <c r="D2" s="20" t="n">
        <v>1</v>
      </c>
      <c r="E2" s="20" t="n">
        <v>1</v>
      </c>
      <c r="F2" s="20" t="n">
        <v>0</v>
      </c>
      <c r="G2" s="20" t="s">
        <v>141</v>
      </c>
      <c r="H2" s="20" t="s">
        <v>152</v>
      </c>
    </row>
  </sheetData>
  <conditionalFormatting sqref="G2:G5000">
    <cfRule type="expression" priority="2" aboveAverage="0" equalAverage="0" bottom="0" percent="0" rank="0" text="" dxfId="7">
      <formula>$G2="ABORTED"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32"/>
  </cols>
  <sheetData>
    <row r="1" customFormat="false" ht="15" hidden="false" customHeight="false" outlineLevel="0" collapsed="false">
      <c r="A1" s="21" t="s">
        <v>153</v>
      </c>
      <c r="B1" s="21" t="s">
        <v>78</v>
      </c>
      <c r="C1" s="21" t="s">
        <v>80</v>
      </c>
      <c r="D1" s="21" t="s">
        <v>154</v>
      </c>
    </row>
    <row r="2" customFormat="false" ht="15" hidden="false" customHeight="false" outlineLevel="0" collapsed="false">
      <c r="A2" s="8" t="s">
        <v>21</v>
      </c>
      <c r="B2" s="8" t="s">
        <v>155</v>
      </c>
      <c r="C2" s="8" t="s">
        <v>156</v>
      </c>
      <c r="D2" s="8" t="s">
        <v>87</v>
      </c>
    </row>
    <row r="3" customFormat="false" ht="15" hidden="false" customHeight="false" outlineLevel="0" collapsed="false">
      <c r="A3" s="8" t="s">
        <v>17</v>
      </c>
      <c r="B3" s="8" t="s">
        <v>157</v>
      </c>
      <c r="C3" s="8" t="s">
        <v>158</v>
      </c>
      <c r="D3" s="8" t="s">
        <v>88</v>
      </c>
    </row>
    <row r="4" customFormat="false" ht="15" hidden="false" customHeight="false" outlineLevel="0" collapsed="false">
      <c r="A4" s="8" t="s">
        <v>18</v>
      </c>
      <c r="B4" s="8" t="s">
        <v>159</v>
      </c>
      <c r="C4" s="8" t="s">
        <v>160</v>
      </c>
      <c r="D4" s="8" t="s">
        <v>161</v>
      </c>
    </row>
    <row r="5" customFormat="false" ht="15" hidden="false" customHeight="false" outlineLevel="0" collapsed="false">
      <c r="A5" s="8" t="s">
        <v>19</v>
      </c>
      <c r="B5" s="8" t="s">
        <v>162</v>
      </c>
      <c r="C5" s="8" t="s">
        <v>163</v>
      </c>
    </row>
    <row r="6" customFormat="false" ht="15" hidden="false" customHeight="false" outlineLevel="0" collapsed="false">
      <c r="A6" s="8" t="s">
        <v>20</v>
      </c>
      <c r="B6" s="8" t="s">
        <v>164</v>
      </c>
      <c r="C6" s="8" t="s">
        <v>165</v>
      </c>
    </row>
    <row r="7" customFormat="false" ht="15" hidden="false" customHeight="false" outlineLevel="0" collapsed="false">
      <c r="A7" s="8" t="s">
        <v>166</v>
      </c>
      <c r="B7" s="8" t="s">
        <v>167</v>
      </c>
      <c r="C7" s="8" t="s">
        <v>168</v>
      </c>
    </row>
    <row r="8" customFormat="false" ht="15" hidden="false" customHeight="false" outlineLevel="0" collapsed="false">
      <c r="A8" s="8" t="s">
        <v>169</v>
      </c>
      <c r="B8" s="8" t="s">
        <v>170</v>
      </c>
    </row>
    <row r="9" customFormat="false" ht="15" hidden="false" customHeight="false" outlineLevel="0" collapsed="false">
      <c r="A9" s="8" t="s">
        <v>171</v>
      </c>
      <c r="B9" s="8" t="s">
        <v>172</v>
      </c>
    </row>
    <row r="10" customFormat="false" ht="15" hidden="false" customHeight="false" outlineLevel="0" collapsed="false">
      <c r="A10" s="8" t="s">
        <v>173</v>
      </c>
      <c r="B10" s="8" t="s">
        <v>174</v>
      </c>
    </row>
    <row r="11" customFormat="false" ht="15" hidden="false" customHeight="false" outlineLevel="0" collapsed="false">
      <c r="A11" s="8" t="s">
        <v>22</v>
      </c>
      <c r="B11" s="8" t="s">
        <v>175</v>
      </c>
    </row>
    <row r="12" customFormat="false" ht="15" hidden="false" customHeight="false" outlineLevel="0" collapsed="false">
      <c r="A12" s="8" t="s">
        <v>176</v>
      </c>
      <c r="B12" s="8" t="s">
        <v>177</v>
      </c>
    </row>
    <row r="13" customFormat="false" ht="15" hidden="false" customHeight="false" outlineLevel="0" collapsed="false">
      <c r="B13" s="8" t="s">
        <v>178</v>
      </c>
    </row>
    <row r="14" customFormat="false" ht="15" hidden="false" customHeight="false" outlineLevel="0" collapsed="false">
      <c r="B14" s="8" t="s">
        <v>179</v>
      </c>
    </row>
    <row r="16" customFormat="false" ht="15" hidden="false" customHeight="false" outlineLevel="0" collapsed="false">
      <c r="A16" s="22"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2026-08-14T05:03:19Z</dcterms:created>
  <dc:creator>openpyxl</dc:creator>
  <dc:description/>
  <dc:language>en-US</dc:language>
  <cp:lastModifiedBy/>
  <dcterms:modified xsi:type="dcterms:W3CDTF">2026-08-14T05:03:19Z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