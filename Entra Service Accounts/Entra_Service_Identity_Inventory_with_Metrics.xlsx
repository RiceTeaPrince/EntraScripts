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vmlDrawing2.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comments9.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8.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harts" sheetId="2" state="visible" r:id="rId4"/>
    <sheet name="How to Use" sheetId="3" state="visible" r:id="rId5"/>
    <sheet name="Accounts" sheetId="4" state="visible" r:id="rId6"/>
    <sheet name="Service Principals" sheetId="5" state="visible" r:id="rId7"/>
    <sheet name="Managed Identities" sheetId="6" state="visible" r:id="rId8"/>
    <sheet name="CA Exclusion Map" sheetId="7" state="visible" r:id="rId9"/>
    <sheet name="Azure Resource Map" sheetId="8" state="visible" r:id="rId10"/>
    <sheet name="Snapshot Log" sheetId="9" state="visible" r:id="rId11"/>
    <sheet name="Reference" sheetId="10" state="visible" r:id="rId12"/>
  </sheets>
  <definedNames>
    <definedName function="false" hidden="true" localSheetId="3" name="_xlnm._FilterDatabase" vbProcedure="false">Accounts!$A$1:$AR$201</definedName>
    <definedName function="false" hidden="true" localSheetId="7" name="_xlnm._FilterDatabase" vbProcedure="false">'Azure Resource Map'!$A$1:$P$2001</definedName>
    <definedName function="false" hidden="true" localSheetId="6" name="_xlnm._FilterDatabase" vbProcedure="false">'CA Exclusion Map'!$A$1:$J$2001</definedName>
    <definedName function="false" hidden="true" localSheetId="5" name="_xlnm._FilterDatabase" vbProcedure="false">'Managed Identities'!$A$1:$AP$201</definedName>
    <definedName function="false" hidden="true" localSheetId="4" name="_xlnm._FilterDatabase" vbProcedure="false">'Service Principals'!$A$1:$AU$201</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Join key for both map tabs. Do not edit.</t>
        </r>
      </text>
    </comment>
    <comment ref="D1" authorId="0">
      <text>
        <r>
          <rPr>
            <sz val="10"/>
            <rFont val="Arial"/>
            <family val="2"/>
          </rPr>
          <t xml:space="preserve">Derived by the import script from userType, sync state, MFA registration and sign-in pattern. Review the ones it guesses - break-glass detection relies on your naming convention.</t>
        </r>
      </text>
    </comment>
    <comment ref="J1" authorId="0">
      <text>
        <r>
          <rPr>
            <sz val="10"/>
            <rFont val="Arial"/>
            <family val="2"/>
          </rPr>
          <t xml:space="preserve">Service accounts often show no interactive sign-in for years while running daily. Judge dormancy on this column, not the one to its left.</t>
        </r>
      </text>
    </comment>
    <comment ref="K1" authorId="0">
      <text>
        <r>
          <rPr>
            <sz val="10"/>
            <rFont val="Arial"/>
            <family val="2"/>
          </rPr>
          <t xml:space="preserve">From the authentication methods registration report, not a per-user enumeration.</t>
        </r>
      </text>
    </comment>
    <comment ref="O1" authorId="0">
      <text>
        <r>
          <rPr>
            <sz val="10"/>
            <rFont val="Arial"/>
            <family val="2"/>
          </rPr>
          <t xml:space="preserve">Seed for ownership. Confirm before relying on it.</t>
        </r>
      </text>
    </comment>
    <comment ref="R1" authorId="0">
      <text>
        <r>
          <rPr>
            <sz val="10"/>
            <rFont val="Arial"/>
            <family val="2"/>
          </rPr>
          <t xml:space="preserve">Account Category is INFERRED by the import script. Mark Yes once a human has agreed it. Charts and the verification metric filter on this - it is what separates 'the script thinks' from 'we have agreed'.</t>
        </r>
      </text>
    </comment>
    <comment ref="S1" authorId="0">
      <text>
        <r>
          <rPr>
            <sz val="10"/>
            <rFont val="Arial"/>
            <family val="2"/>
          </rPr>
          <t xml:space="preserve">LOOKUP from the Azure Resource Map tab. Role and scope together - 'Contributor @ rg-prod' means something very different to 'Contributor @ subscription'.</t>
        </r>
      </text>
    </comment>
    <comment ref="T1" authorId="0">
      <text>
        <r>
          <rPr>
            <sz val="10"/>
            <rFont val="Arial"/>
            <family val="2"/>
          </rPr>
          <t xml:space="preserve">LOOKUP. Ranked Owner &gt; User Access Administrator &gt; RBAC Administrator &gt; Contributor &gt; write roles &gt; read roles.</t>
        </r>
      </text>
    </comment>
    <comment ref="U1" authorId="0">
      <text>
        <r>
          <rPr>
            <sz val="10"/>
            <rFont val="Arial"/>
            <family val="2"/>
          </rPr>
          <t xml:space="preserve">LOOKUP. Yes means at least one role assignment sits at subscription or management group scope rather than on a single resource.</t>
        </r>
      </text>
    </comment>
    <comment ref="V1" authorId="0">
      <text>
        <r>
          <rPr>
            <sz val="10"/>
            <rFont val="Arial"/>
            <family val="2"/>
          </rPr>
          <t xml:space="preserve">LOOKUP - do not type. Yes when this Object ID appears in the CA Exclusion Map tab.</t>
        </r>
      </text>
    </comment>
    <comment ref="W1" authorId="0">
      <text>
        <r>
          <rPr>
            <sz val="10"/>
            <rFont val="Arial"/>
            <family val="2"/>
          </rPr>
          <t xml:space="preserve">LOOKUP. Group membership, Direct exclusion, or both.</t>
        </r>
      </text>
    </comment>
    <comment ref="X1" authorId="0">
      <text>
        <r>
          <rPr>
            <sz val="10"/>
            <rFont val="Arial"/>
            <family val="2"/>
          </rPr>
          <t xml:space="preserve">LOOKUP. Every excluding group, including nested.</t>
        </r>
      </text>
    </comment>
    <comment ref="Y1" authorId="0">
      <text>
        <r>
          <rPr>
            <sz val="10"/>
            <rFont val="Arial"/>
            <family val="2"/>
          </rPr>
          <t xml:space="preserve">LOOKUP. Every CA policy this identity is excluded from.</t>
        </r>
      </text>
    </comment>
    <comment ref="AC1" authorId="0">
      <text>
        <r>
          <rPr>
            <sz val="10"/>
            <rFont val="Arial"/>
            <family val="2"/>
          </rPr>
          <t xml:space="preserve">Time-bound every exclusion. Blank is only defensible for break-glass.</t>
        </r>
      </text>
    </comment>
    <comment ref="AE1" authorId="0">
      <text>
        <r>
          <rPr>
            <sz val="10"/>
            <rFont val="Arial"/>
            <family val="2"/>
          </rPr>
          <t xml:space="preserve">e.g. named location lock, credential in Key Vault with rotation, PIM-gated, SOC alerting.</t>
        </r>
      </text>
    </comment>
    <comment ref="AG1" authorId="0">
      <text>
        <r>
          <rPr>
            <sz val="10"/>
            <rFont val="Arial"/>
            <family val="2"/>
          </rPr>
          <t xml:space="preserve">The accountable person, confirmed. The Graph-registered owner in the import zone is a starting point, not an answer.</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Join key. This is the SP object ID, NOT the application ID.</t>
        </r>
      </text>
    </comment>
    <comment ref="D1" authorId="0">
      <text>
        <r>
          <rPr>
            <sz val="10"/>
            <rFont val="Arial"/>
            <family val="2"/>
          </rPr>
          <t xml:space="preserve">Derived from appOwnerOrganizationId and applicationTemplateId.</t>
        </r>
      </text>
    </comment>
    <comment ref="E1" authorId="0">
      <text>
        <r>
          <rPr>
            <sz val="10"/>
            <rFont val="Arial"/>
            <family val="2"/>
          </rPr>
          <t xml:space="preserve">CA for workload identities can only target single-tenant service principals.</t>
        </r>
      </text>
    </comment>
    <comment ref="H1" authorId="0">
      <text>
        <r>
          <rPr>
            <sz val="10"/>
            <rFont val="Arial"/>
            <family val="2"/>
          </rPr>
          <t xml:space="preserve">From the beta servicePrincipalSignInActivities report. Blank means no recorded sign-in, which is not the same as never used.</t>
        </r>
      </text>
    </comment>
    <comment ref="J1" authorId="0">
      <text>
        <r>
          <rPr>
            <sz val="10"/>
            <rFont val="Arial"/>
            <family val="2"/>
          </rPr>
          <t xml:space="preserve">Earliest future expiry across all secrets and certificates.</t>
        </r>
      </text>
    </comment>
    <comment ref="K1" authorId="0">
      <text>
        <r>
          <rPr>
            <sz val="10"/>
            <rFont val="Arial"/>
            <family val="2"/>
          </rPr>
          <t xml:space="preserve">More than two is usually an orphaned secret nobody dared delete.</t>
        </r>
      </text>
    </comment>
    <comment ref="M1" authorId="0">
      <text>
        <r>
          <rPr>
            <sz val="10"/>
            <rFont val="Arial"/>
            <family val="2"/>
          </rPr>
          <t xml:space="preserve">Script-assigned from a high-risk application permission list.</t>
        </r>
      </text>
    </comment>
    <comment ref="P1" authorId="0">
      <text>
        <r>
          <rPr>
            <sz val="10"/>
            <rFont val="Arial"/>
            <family val="2"/>
          </rPr>
          <t xml:space="preserve">From Get-MgServicePrincipalOwner / Get-MgApplicationOwner. Blank here is itself a finding.</t>
        </r>
      </text>
    </comment>
    <comment ref="V1" authorId="0">
      <text>
        <r>
          <rPr>
            <sz val="10"/>
            <rFont val="Arial"/>
            <family val="2"/>
          </rPr>
          <t xml:space="preserve">LOOKUP from the Azure Resource Map tab. Role and scope together - 'Contributor @ rg-prod' means something very different to 'Contributor @ subscription'.</t>
        </r>
      </text>
    </comment>
    <comment ref="W1" authorId="0">
      <text>
        <r>
          <rPr>
            <sz val="10"/>
            <rFont val="Arial"/>
            <family val="2"/>
          </rPr>
          <t xml:space="preserve">LOOKUP. Ranked Owner &gt; User Access Administrator &gt; RBAC Administrator &gt; Contributor &gt; write roles &gt; read roles.</t>
        </r>
      </text>
    </comment>
    <comment ref="X1" authorId="0">
      <text>
        <r>
          <rPr>
            <sz val="10"/>
            <rFont val="Arial"/>
            <family val="2"/>
          </rPr>
          <t xml:space="preserve">LOOKUP. Yes means at least one role assignment sits at subscription or management group scope rather than on a single resource.</t>
        </r>
      </text>
    </comment>
    <comment ref="Y1" authorId="0">
      <text>
        <r>
          <rPr>
            <sz val="10"/>
            <rFont val="Arial"/>
            <family val="2"/>
          </rPr>
          <t xml:space="preserve">LOOKUP - do not type. Yes when this Object ID appears in the CA Exclusion Map tab.</t>
        </r>
      </text>
    </comment>
    <comment ref="Z1" authorId="0">
      <text>
        <r>
          <rPr>
            <sz val="10"/>
            <rFont val="Arial"/>
            <family val="2"/>
          </rPr>
          <t xml:space="preserve">LOOKUP. Group membership, Direct exclusion, or both.</t>
        </r>
      </text>
    </comment>
    <comment ref="AA1" authorId="0">
      <text>
        <r>
          <rPr>
            <sz val="10"/>
            <rFont val="Arial"/>
            <family val="2"/>
          </rPr>
          <t xml:space="preserve">LOOKUP. Every excluding group, including nested.</t>
        </r>
      </text>
    </comment>
    <comment ref="AB1" authorId="0">
      <text>
        <r>
          <rPr>
            <sz val="10"/>
            <rFont val="Arial"/>
            <family val="2"/>
          </rPr>
          <t xml:space="preserve">LOOKUP. Every CA policy this identity is excluded from.</t>
        </r>
      </text>
    </comment>
    <comment ref="AF1" authorId="0">
      <text>
        <r>
          <rPr>
            <sz val="10"/>
            <rFont val="Arial"/>
            <family val="2"/>
          </rPr>
          <t xml:space="preserve">Time-bound every exclusion. Blank is only defensible for break-glass.</t>
        </r>
      </text>
    </comment>
    <comment ref="AH1" authorId="0">
      <text>
        <r>
          <rPr>
            <sz val="10"/>
            <rFont val="Arial"/>
            <family val="2"/>
          </rPr>
          <t xml:space="preserve">e.g. named location lock, credential in Key Vault with rotation, PIM-gated, SOC alerting.</t>
        </r>
      </text>
    </comment>
    <comment ref="AJ1" authorId="0">
      <text>
        <r>
          <rPr>
            <sz val="10"/>
            <rFont val="Arial"/>
            <family val="2"/>
          </rPr>
          <t xml:space="preserve">The accountable person, confirmed. The Graph-registered owner in the import zone is a starting point, not an answer.</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Join key for both map tabs.</t>
        </r>
      </text>
    </comment>
    <comment ref="D1" authorId="0">
      <text>
        <r>
          <rPr>
            <sz val="10"/>
            <rFont val="Arial"/>
            <family val="2"/>
          </rPr>
          <t xml:space="preserve">Derived from the isExplicit flag in alternativeNames. False means system-assigned.</t>
        </r>
      </text>
    </comment>
    <comment ref="J1" authorId="0">
      <text>
        <r>
          <rPr>
            <sz val="10"/>
            <rFont val="Arial"/>
            <family val="2"/>
          </rPr>
          <t xml:space="preserve">LOOKUP from the Azure Resource Map. For system-assigned identities this is the host resource.</t>
        </r>
      </text>
    </comment>
    <comment ref="N1" authorId="0">
      <text>
        <r>
          <rPr>
            <sz val="10"/>
            <rFont val="Arial"/>
            <family val="2"/>
          </rPr>
          <t xml:space="preserve">LOOKUP. australiaeast / australiasoutheast keep processing onshore - relevant where the workload touches personal information.</t>
        </r>
      </text>
    </comment>
    <comment ref="O1" authorId="0">
      <text>
        <r>
          <rPr>
            <sz val="10"/>
            <rFont val="Arial"/>
            <family val="2"/>
          </rPr>
          <t xml:space="preserve">LOOKUP. Owner tag from the Azure resource. Often the fastest route to a real owner name.</t>
        </r>
      </text>
    </comment>
    <comment ref="P1" authorId="0">
      <text>
        <r>
          <rPr>
            <sz val="10"/>
            <rFont val="Arial"/>
            <family val="2"/>
          </rPr>
          <t xml:space="preserve">LOOKUP from the Azure Resource Map tab. Role and scope together - 'Contributor @ rg-prod' means something very different to 'Contributor @ subscription'.</t>
        </r>
      </text>
    </comment>
    <comment ref="Q1" authorId="0">
      <text>
        <r>
          <rPr>
            <sz val="10"/>
            <rFont val="Arial"/>
            <family val="2"/>
          </rPr>
          <t xml:space="preserve">LOOKUP. Ranked Owner &gt; User Access Administrator &gt; RBAC Administrator &gt; Contributor &gt; write roles &gt; read roles.</t>
        </r>
      </text>
    </comment>
    <comment ref="R1" authorId="0">
      <text>
        <r>
          <rPr>
            <sz val="10"/>
            <rFont val="Arial"/>
            <family val="2"/>
          </rPr>
          <t xml:space="preserve">LOOKUP. Yes means at least one role assignment sits at subscription or management group scope rather than on a single resource.</t>
        </r>
      </text>
    </comment>
    <comment ref="S1" authorId="0">
      <text>
        <r>
          <rPr>
            <sz val="10"/>
            <rFont val="Arial"/>
            <family val="2"/>
          </rPr>
          <t xml:space="preserve">Could this workload use Workload Identity Federation instead of a managed identity plus secret? Tracks the migration backlog.</t>
        </r>
      </text>
    </comment>
    <comment ref="T1" authorId="0">
      <text>
        <r>
          <rPr>
            <sz val="10"/>
            <rFont val="Arial"/>
            <family val="2"/>
          </rPr>
          <t xml:space="preserve">LOOKUP - do not type. Yes when this Object ID appears in the CA Exclusion Map tab.</t>
        </r>
      </text>
    </comment>
    <comment ref="U1" authorId="0">
      <text>
        <r>
          <rPr>
            <sz val="10"/>
            <rFont val="Arial"/>
            <family val="2"/>
          </rPr>
          <t xml:space="preserve">LOOKUP. Group membership, Direct exclusion, or both.</t>
        </r>
      </text>
    </comment>
    <comment ref="V1" authorId="0">
      <text>
        <r>
          <rPr>
            <sz val="10"/>
            <rFont val="Arial"/>
            <family val="2"/>
          </rPr>
          <t xml:space="preserve">LOOKUP. Every excluding group, including nested.</t>
        </r>
      </text>
    </comment>
    <comment ref="W1" authorId="0">
      <text>
        <r>
          <rPr>
            <sz val="10"/>
            <rFont val="Arial"/>
            <family val="2"/>
          </rPr>
          <t xml:space="preserve">LOOKUP. Every CA policy this identity is excluded from.</t>
        </r>
      </text>
    </comment>
    <comment ref="AA1" authorId="0">
      <text>
        <r>
          <rPr>
            <sz val="10"/>
            <rFont val="Arial"/>
            <family val="2"/>
          </rPr>
          <t xml:space="preserve">Time-bound every exclusion. Blank is only defensible for break-glass.</t>
        </r>
      </text>
    </comment>
    <comment ref="AC1" authorId="0">
      <text>
        <r>
          <rPr>
            <sz val="10"/>
            <rFont val="Arial"/>
            <family val="2"/>
          </rPr>
          <t xml:space="preserve">e.g. named location lock, credential in Key Vault with rotation, PIM-gated, SOC alerting.</t>
        </r>
      </text>
    </comment>
    <comment ref="AE1" authorId="0">
      <text>
        <r>
          <rPr>
            <sz val="10"/>
            <rFont val="Arial"/>
            <family val="2"/>
          </rPr>
          <t xml:space="preserve">The accountable person, confirmed. The Graph-registered owner in the import zone is a starting point, not an answer.</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Join key. For service principals this is the enterprise application Object ID, not the Application (Client) ID.</t>
        </r>
      </text>
    </comment>
    <comment ref="C1" authorId="0">
      <text>
        <r>
          <rPr>
            <sz val="10"/>
            <rFont val="Arial"/>
            <family val="2"/>
          </rPr>
          <t xml:space="preserve">User, Group, ServicePrincipal, ManagedIdentity or SpecialToken.</t>
        </r>
      </text>
    </comment>
    <comment ref="D1" authorId="0">
      <text>
        <r>
          <rPr>
            <sz val="10"/>
            <rFont val="Arial"/>
            <family val="2"/>
          </rPr>
          <t xml:space="preserve">Group membership, Direct exclusion, or both.</t>
        </r>
      </text>
    </comment>
    <comment ref="H1" authorId="0">
      <text>
        <r>
          <rPr>
            <sz val="10"/>
            <rFont val="Arial"/>
            <family val="2"/>
          </rPr>
          <t xml:space="preserve">enabled or enabledForReportingButNotEnforced.</t>
        </r>
      </text>
    </comment>
    <comment ref="I1" authorId="0">
      <text>
        <r>
          <rPr>
            <sz val="10"/>
            <rFont val="Arial"/>
            <family val="2"/>
          </rPr>
          <t xml:space="preserve">Re-run anything older than a fortnight before relying on it.</t>
        </r>
      </text>
    </comment>
    <comment ref="J1" authorId="0">
      <text>
        <r>
          <rPr>
            <sz val="10"/>
            <rFont val="Arial"/>
            <family val="2"/>
          </rPr>
          <t xml:space="preserve">CALCULATED - never paste over this column. Flags entries with no matching row in the identity tabs.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Join key. Matches Object ID on the identity tabs.</t>
        </r>
      </text>
    </comment>
    <comment ref="D1" authorId="0">
      <text>
        <r>
          <rPr>
            <sz val="10"/>
            <rFont val="Arial"/>
            <family val="2"/>
          </rPr>
          <t xml:space="preserve">Role @ scope, semicolon separated.</t>
        </r>
      </text>
    </comment>
    <comment ref="E1" authorId="0">
      <text>
        <r>
          <rPr>
            <sz val="10"/>
            <rFont val="Arial"/>
            <family val="2"/>
          </rPr>
          <t xml:space="preserve">Ranked Owner &gt; User Access Administrator &gt; RBAC Administrator &gt; Contributor &gt; write &gt; read.</t>
        </r>
      </text>
    </comment>
    <comment ref="F1" authorId="0">
      <text>
        <r>
          <rPr>
            <sz val="10"/>
            <rFont val="Arial"/>
            <family val="2"/>
          </rPr>
          <t xml:space="preserve">Yes if any assignment sits at subscription or management group scope.</t>
        </r>
      </text>
    </comment>
    <comment ref="H1" authorId="0">
      <text>
        <r>
          <rPr>
            <sz val="10"/>
            <rFont val="Arial"/>
            <family val="2"/>
          </rPr>
          <t xml:space="preserve">Managed identities only - the resource that owns or is attached to the identity.</t>
        </r>
      </text>
    </comment>
    <comment ref="M1" authorId="0">
      <text>
        <r>
          <rPr>
            <sz val="10"/>
            <rFont val="Arial"/>
            <family val="2"/>
          </rPr>
          <t xml:space="preserve">Owner / ApplicationOwner / TechnicalOwner tag from the Azure resource.</t>
        </r>
      </text>
    </comment>
    <comment ref="P1" authorId="0">
      <text>
        <r>
          <rPr>
            <sz val="10"/>
            <rFont val="Arial"/>
            <family val="2"/>
          </rPr>
          <t xml:space="preserve">CALCULATED - never paste over this column. Flags entries with no matching row in the identity tabs.</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Sum across all three tabs.</t>
        </r>
      </text>
    </comment>
    <comment ref="H3" authorId="0">
      <text>
        <r>
          <rPr>
            <sz val="10"/>
            <rFont val="Arial"/>
            <family val="2"/>
          </rPr>
          <t xml:space="preserve">Across all excluded identities.</t>
        </r>
      </text>
    </comment>
  </commentList>
</comments>
</file>

<file path=xl/sharedStrings.xml><?xml version="1.0" encoding="utf-8"?>
<sst xmlns="http://schemas.openxmlformats.org/spreadsheetml/2006/main" count="539" uniqueCount="391">
  <si>
    <t xml:space="preserve">Service Identity Inventory - Dashboard</t>
  </si>
  <si>
    <t xml:space="preserve">Recalculates from the identity and map tabs. Press F9 if calculation is set to manual.</t>
  </si>
  <si>
    <t xml:space="preserve">POPULATION</t>
  </si>
  <si>
    <t xml:space="preserve">Accounts</t>
  </si>
  <si>
    <t xml:space="preserve">Service Principals</t>
  </si>
  <si>
    <t xml:space="preserve">Managed Identities</t>
  </si>
  <si>
    <t xml:space="preserve">Why it matters</t>
  </si>
  <si>
    <t xml:space="preserve">Total identities recorded</t>
  </si>
  <si>
    <t xml:space="preserve">Rows with an Object ID.</t>
  </si>
  <si>
    <t xml:space="preserve">Production</t>
  </si>
  <si>
    <t xml:space="preserve">Production blast radius.</t>
  </si>
  <si>
    <t xml:space="preserve">Critical criticality</t>
  </si>
  <si>
    <t xml:space="preserve">Prioritise for review and hardening.</t>
  </si>
  <si>
    <t xml:space="preserve">CONDITIONAL ACCESS EXCLUSIONS</t>
  </si>
  <si>
    <t xml:space="preserve">Excluded from one or more CA policies</t>
  </si>
  <si>
    <t xml:space="preserve">The core risk metric.</t>
  </si>
  <si>
    <t xml:space="preserve">  ... EXPIRED</t>
  </si>
  <si>
    <t xml:space="preserve">Past the approved end date. Remove today.</t>
  </si>
  <si>
    <t xml:space="preserve">  ... NO EXPIRY SET</t>
  </si>
  <si>
    <t xml:space="preserve">Permanent exclusions with no review date - the usual audit finding.</t>
  </si>
  <si>
    <t xml:space="preserve">  ... expiring within 30 days</t>
  </si>
  <si>
    <t xml:space="preserve">Renew with fresh approval or plan removal.</t>
  </si>
  <si>
    <t xml:space="preserve">  ... no recorded approver</t>
  </si>
  <si>
    <t xml:space="preserve">No accountability trail.</t>
  </si>
  <si>
    <t xml:space="preserve">  ... no compensating control</t>
  </si>
  <si>
    <t xml:space="preserve">Excluded and unmitigated.</t>
  </si>
  <si>
    <t xml:space="preserve">  ... excluded directly, not via a group</t>
  </si>
  <si>
    <t xml:space="preserve">Bypasses group-based governance entirely.</t>
  </si>
  <si>
    <t xml:space="preserve">AZURE PRIVILEGE</t>
  </si>
  <si>
    <t xml:space="preserve">Holds any Azure RBAC role</t>
  </si>
  <si>
    <t xml:space="preserve">Entra identity plus Azure control-plane rights.</t>
  </si>
  <si>
    <t xml:space="preserve">Owner or User Access Administrator</t>
  </si>
  <si>
    <t xml:space="preserve">Can grant itself anything. The shortest list you should have.</t>
  </si>
  <si>
    <t xml:space="preserve">Subscription or management group scoped</t>
  </si>
  <si>
    <t xml:space="preserve">Broad scope multiplies the impact of any credential compromise.</t>
  </si>
  <si>
    <t xml:space="preserve">CA-excluded AND Azure privileged</t>
  </si>
  <si>
    <t xml:space="preserve">No conditional access, broad Azure rights. Work this list first.</t>
  </si>
  <si>
    <t xml:space="preserve">OWNERSHIP</t>
  </si>
  <si>
    <t xml:space="preserve">No owning team</t>
  </si>
  <si>
    <t xml:space="preserve">Orphans cannot be attested or safely decommissioned.</t>
  </si>
  <si>
    <t xml:space="preserve">No confirmed individual owner</t>
  </si>
  <si>
    <t xml:space="preserve">A team alone is not accountable.</t>
  </si>
  <si>
    <t xml:space="preserve">No backup owner</t>
  </si>
  <si>
    <t xml:space="preserve">Single point of knowledge failure.</t>
  </si>
  <si>
    <t xml:space="preserve">HYGIENE</t>
  </si>
  <si>
    <t xml:space="preserve">No sign-in in 90+ days</t>
  </si>
  <si>
    <t xml:space="preserve">Decommission candidates.</t>
  </si>
  <si>
    <t xml:space="preserve">Review OVERDUE or never reviewed</t>
  </si>
  <si>
    <t xml:space="preserve">90-day attestation cycle.</t>
  </si>
  <si>
    <t xml:space="preserve">Disabled but still present</t>
  </si>
  <si>
    <t xml:space="preserve">n/a</t>
  </si>
  <si>
    <t xml:space="preserve">Disabled accounts retain group memberships and permissions.</t>
  </si>
  <si>
    <t xml:space="preserve">SERVICE PRINCIPAL CREDENTIALS</t>
  </si>
  <si>
    <t xml:space="preserve">Value</t>
  </si>
  <si>
    <t xml:space="preserve">Credentials expiring within 30 days</t>
  </si>
  <si>
    <t xml:space="preserve">Outage risk. Rotate now.</t>
  </si>
  <si>
    <t xml:space="preserve">Credentials already expired</t>
  </si>
  <si>
    <t xml:space="preserve">Broken, or there is a second credential you have not inventoried.</t>
  </si>
  <si>
    <t xml:space="preserve">Using client secrets</t>
  </si>
  <si>
    <t xml:space="preserve">Weakest option. Prefer certificates or workload identity federation.</t>
  </si>
  <si>
    <t xml:space="preserve">More than two credentials</t>
  </si>
  <si>
    <t xml:space="preserve">Usually an orphaned secret nobody dared delete.</t>
  </si>
  <si>
    <t xml:space="preserve">High-risk Graph permission</t>
  </si>
  <si>
    <t xml:space="preserve">Directory write, role management, mail send and similar.</t>
  </si>
  <si>
    <t xml:space="preserve">No registered owner in Graph</t>
  </si>
  <si>
    <t xml:space="preserve">Nothing in the directory says who is responsible.</t>
  </si>
  <si>
    <t xml:space="preserve">Multi-tenant AND CA-excluded</t>
  </si>
  <si>
    <t xml:space="preserve">CA cannot target these - compensating controls are mandatory.</t>
  </si>
  <si>
    <t xml:space="preserve">Managed identities that could use federation</t>
  </si>
  <si>
    <t xml:space="preserve">Migration backlog away from long-lived credentials.</t>
  </si>
  <si>
    <t xml:space="preserve">RISK CONCENTRATION</t>
  </si>
  <si>
    <t xml:space="preserve">Privileged accounts with NO MFA registered</t>
  </si>
  <si>
    <t xml:space="preserve">The highest-severity number in this workbook. Standing admin rights with no strong authentication.</t>
  </si>
  <si>
    <t xml:space="preserve">Standing privileged accounts (permanent roles)</t>
  </si>
  <si>
    <t xml:space="preserve">Permanently assigned directory roles.</t>
  </si>
  <si>
    <t xml:space="preserve">PIM-eligible only (activated on demand)</t>
  </si>
  <si>
    <t xml:space="preserve">The ratio of these two rows is your privilege maturity. Higher eligible-only is better.</t>
  </si>
  <si>
    <t xml:space="preserve">Break-glass accounts identified</t>
  </si>
  <si>
    <t xml:space="preserve">You should know this number without looking. Usually two. More than that needs explaining.</t>
  </si>
  <si>
    <t xml:space="preserve">Break-glass accounts NOT excluded from CA</t>
  </si>
  <si>
    <t xml:space="preserve">Should be zero. A break-glass account inside CA scope will be locked out during the exact outage it exists for.</t>
  </si>
  <si>
    <t xml:space="preserve">High-risk permission with NO registered owner</t>
  </si>
  <si>
    <t xml:space="preserve">Broad directory access nobody is accountable for.</t>
  </si>
  <si>
    <t xml:space="preserve">Third-party app with high-risk permission</t>
  </si>
  <si>
    <t xml:space="preserve">Supply-chain exposure: external code holding write access to your directory.</t>
  </si>
  <si>
    <t xml:space="preserve">Account categories still unverified</t>
  </si>
  <si>
    <t xml:space="preserve">Account Category is inferred. This should trend to zero as you confirm them.</t>
  </si>
  <si>
    <t xml:space="preserve">GOVERNANCE PROGRESS</t>
  </si>
  <si>
    <t xml:space="preserve">Excluded identities fully documented</t>
  </si>
  <si>
    <t xml:space="preserve">All five governance fields populated.</t>
  </si>
  <si>
    <t xml:space="preserve">Governance completeness</t>
  </si>
  <si>
    <t xml:space="preserve">The only metric here that measures the work rather than the problem. Everything else counts what is wrong.</t>
  </si>
  <si>
    <t xml:space="preserve">IMPORT COVERAGE</t>
  </si>
  <si>
    <t xml:space="preserve">CA Exclusion Map rows loaded</t>
  </si>
  <si>
    <t xml:space="preserve">Zero means every CA Excluded? cell reads No.</t>
  </si>
  <si>
    <t xml:space="preserve">CA map snapshot date</t>
  </si>
  <si>
    <t xml:space="preserve">Re-run before any attestation.</t>
  </si>
  <si>
    <t xml:space="preserve">Excluded identities NOT in inventory</t>
  </si>
  <si>
    <t xml:space="preserve">Excluded from CA but never inventoried or owned. Work to zero.</t>
  </si>
  <si>
    <t xml:space="preserve">Azure Resource Map rows loaded</t>
  </si>
  <si>
    <t xml:space="preserve">Zero means all Azure RBAC columns stay blank.</t>
  </si>
  <si>
    <t xml:space="preserve">Azure map snapshot date</t>
  </si>
  <si>
    <t xml:space="preserve">Azure-privileged principals NOT in inventory</t>
  </si>
  <si>
    <t xml:space="preserve">Principals with Azure rights that are not in any of your three tabs. Often the most interesting number on this page.</t>
  </si>
  <si>
    <t xml:space="preserve">The example row on each tab is counted until you delete it.</t>
  </si>
  <si>
    <t xml:space="preserve">Charts</t>
  </si>
  <si>
    <t xml:space="preserve">Helper tables feed the charts. Only the exclusion group names need entering by hand.</t>
  </si>
  <si>
    <t xml:space="preserve">1. Exclusion concentration</t>
  </si>
  <si>
    <t xml:space="preserve">Enter your exclusion group names in the yellow cells. Counts update automatically. Exclusions cluster hard - this usually turns 'review 40 exclusions' into 'review 3 groups'.</t>
  </si>
  <si>
    <t xml:space="preserve">Exclusion group name (enter these)</t>
  </si>
  <si>
    <t xml:space="preserve">Identities</t>
  </si>
  <si>
    <t xml:space="preserve">CA-Excl-ServiceAccounts</t>
  </si>
  <si>
    <t xml:space="preserve">CA-Excl-WorkloadIdentities</t>
  </si>
  <si>
    <t xml:space="preserve">2. Account category by exclusion status</t>
  </si>
  <si>
    <t xml:space="preserve">Hunt the anomaly: exclusions in the Standard User bar are either miscategorised service accounts or real people quietly exempted from MFA.</t>
  </si>
  <si>
    <t xml:space="preserve">Account category</t>
  </si>
  <si>
    <t xml:space="preserve">Excluded</t>
  </si>
  <si>
    <t xml:space="preserve">Not excluded</t>
  </si>
  <si>
    <t xml:space="preserve">Standard User</t>
  </si>
  <si>
    <t xml:space="preserve">Service Account</t>
  </si>
  <si>
    <t xml:space="preserve">Privileged / Admin</t>
  </si>
  <si>
    <t xml:space="preserve">Break-Glass</t>
  </si>
  <si>
    <t xml:space="preserve">Guest</t>
  </si>
  <si>
    <t xml:space="preserve">Shared</t>
  </si>
  <si>
    <t xml:space="preserve">Test Account</t>
  </si>
  <si>
    <t xml:space="preserve">3. Service principal credential expiry timeline</t>
  </si>
  <si>
    <t xml:space="preserve">Sizes the rotation workload and shows when it lands. A tall bar in the first two buckets is an outage risk, not a planning problem.</t>
  </si>
  <si>
    <t xml:space="preserve">Window</t>
  </si>
  <si>
    <t xml:space="preserve">Credentials</t>
  </si>
  <si>
    <t xml:space="preserve">Already expired</t>
  </si>
  <si>
    <t xml:space="preserve">0-30 days</t>
  </si>
  <si>
    <t xml:space="preserve">31-60 days</t>
  </si>
  <si>
    <t xml:space="preserve">61-90 days</t>
  </si>
  <si>
    <t xml:space="preserve">91-180 days</t>
  </si>
  <si>
    <t xml:space="preserve">181-365 days</t>
  </si>
  <si>
    <t xml:space="preserve">Over 365 days</t>
  </si>
  <si>
    <t xml:space="preserve">4. Dormancy distribution</t>
  </si>
  <si>
    <t xml:space="preserve">Sizes the decommission opportunity across all three identity types. The long tail is usually worse than anyone expects.</t>
  </si>
  <si>
    <t xml:space="preserve">Days since last sign-in</t>
  </si>
  <si>
    <t xml:space="preserve">0-30</t>
  </si>
  <si>
    <t xml:space="preserve">31-90</t>
  </si>
  <si>
    <t xml:space="preserve">91-180</t>
  </si>
  <si>
    <t xml:space="preserve">181-365</t>
  </si>
  <si>
    <t xml:space="preserve">Over 365</t>
  </si>
  <si>
    <t xml:space="preserve">No sign-in recorded</t>
  </si>
  <si>
    <t xml:space="preserve">How to use this workbook</t>
  </si>
  <si>
    <t xml:space="preserve">Three identity tabs over a Microsoft Entra ID tenant, fed by three read-only PowerShell scripts. Everything the directory can tell you is imported; what remains is the governance context only a human can supply.</t>
  </si>
  <si>
    <t xml:space="preserve">Column colour code</t>
  </si>
  <si>
    <t xml:space="preserve">DARK BLUE - Graph import zone. Contiguous from column A. This is where you paste script output, and nothing in it is a formula.</t>
  </si>
  <si>
    <t xml:space="preserve">TEAL - lookups against the Azure Resource Map tab.   GREY - calculated.   Neither should ever be typed in or pasted over.</t>
  </si>
  <si>
    <t xml:space="preserve">BROWN - Conditional Access exclusion governance you enter.   GREEN - ownership you enter.   MID BLUE - other manual fields.</t>
  </si>
  <si>
    <t xml:space="preserve">Pale yellow row 2 on every tab is a worked example. Delete it before loading real data. Headers with a red corner marker carry a comment - hover for guidance.</t>
  </si>
  <si>
    <t xml:space="preserve">The refresh cycle</t>
  </si>
  <si>
    <t xml:space="preserve">1. Build-CAExclusionMap.ps1     -&gt;  paste into 'CA Exclusion Map' at A2, columns A-I only.</t>
  </si>
  <si>
    <t xml:space="preserve">2. Build-AzureResourceMap.ps1   -&gt;  paste into 'Azure Resource Map' at A2, columns A-O only.</t>
  </si>
  <si>
    <t xml:space="preserve">3. Build-IdentityInventory.ps1  -&gt;  three CSVs, paste each into its tab at A2.</t>
  </si>
  <si>
    <t xml:space="preserve">On each map tab the final column is a formula that flags entries with no matching inventory row - never paste over it. Select the existing data and clear it before pasting a fresh snapshot rather than pasting on top, or stale rows will linger.</t>
  </si>
  <si>
    <t xml:space="preserve">Order matters only for readability. The lookups resolve on Object ID whenever both sides are present.</t>
  </si>
  <si>
    <t xml:space="preserve">The paste zones, precisely</t>
  </si>
  <si>
    <t xml:space="preserve">Accounts:            columns A to P   (16)</t>
  </si>
  <si>
    <t xml:space="preserve">Service Principals:  columns A to Q   (17)</t>
  </si>
  <si>
    <t xml:space="preserve">Managed Identities:  columns A to H   (8)</t>
  </si>
  <si>
    <t xml:space="preserve">The scripts emit exactly these columns in exactly this order, so a straight paste into A2 lands correctly. If you add columns, add them to the right of the import zone, never inside it.</t>
  </si>
  <si>
    <t xml:space="preserve">What the scripts populate, and what they cannot</t>
  </si>
  <si>
    <t xml:space="preserve">Imported: identity attributes, sign-in activity, MFA registration, role assignments both active and PIM-eligible, licences, credential type and expiry, Graph permissions with a risk rating, registered owners, managed identity type, and every Azure RBAC assignment with its scope.</t>
  </si>
  <si>
    <t xml:space="preserve">Not imported, and deliberately so: exclusion justification, approver, approval and expiry dates, compensating controls, business criticality, cost centre and the confirmed owner. Those seven fields are the audit trail. If a script could write them they would mean nothing.</t>
  </si>
  <si>
    <t xml:space="preserve">Account Category is a heuristic, not a fact. The script infers it from user type, sync state, MFA registration and sign-in pattern. Break-glass accounts can only be identified by your own naming convention or group membership - check that column before trusting it.</t>
  </si>
  <si>
    <t xml:space="preserve">Azure RBAC comes from Resource Graph, not Graph</t>
  </si>
  <si>
    <t xml:space="preserve">Role assignments live in Azure Resource Manager. Build-AzureResourceMap.ps1 uses Azure Resource Graph, which queries every subscription in one call rather than looping Get-AzRoleAssignment per subscription. It also returns the resource behind each managed identity, so the resource, resource group, subscription, region and owner tag columns on the Managed Identities tab all come from that one snapshot.</t>
  </si>
  <si>
    <t xml:space="preserve">Two columns on the Dashboard are worth watching more than the rest: identities that are both CA-excluded and subscription-scoped in Azure, and Azure-privileged principals that appear nowhere in the inventory.</t>
  </si>
  <si>
    <t xml:space="preserve">Charts and Snapshot Log</t>
  </si>
  <si>
    <t xml:space="preserve">The Charts tab holds four charts fed by helper tables. Three update themselves. The first - exclusion concentration - needs your exclusion group names typed into the yellow cells in column A; counts follow automatically. Exclusions cluster hard, so this chart usually converts 'review forty exclusions' into 'review three groups'.</t>
  </si>
  <si>
    <t xml:space="preserve">Chart 2 plots account category against exclusion status. You are hunting the anomaly: exclusions appearing in the Standard User bar are either miscategorised service accounts or real people quietly exempted from MFA. Filter to confirmed categories first - see below.</t>
  </si>
  <si>
    <t xml:space="preserve">Account Category is inferred by the import script, so the Accounts tab now carries a 'Category Confirmed?' column immediately right of the import zone. Mark Yes once a human has agreed the category. The Dashboard counts what is still unverified, and it should trend to zero.</t>
  </si>
  <si>
    <t xml:space="preserve">The Snapshot Log holds no history until you build it. Row 4 reads live from the Dashboard. Once a month, copy row 4 and Paste Special &gt; Values into the next empty row. After three months you have trend lines for exclusions and governance completeness, which are the two most persuasive figures you can put in front of a steering group - and the only ones that show the programme working rather than the problem existing.</t>
  </si>
  <si>
    <t xml:space="preserve">Points to verify against current Microsoft documentation</t>
  </si>
  <si>
    <t xml:space="preserve">Service principal sign-in activity is still a beta Graph endpoint and beta APIs are not supported for production use - treat the Last Sign-In column for service principals as indicative. The user signInActivity property and the authentication methods registration report both require Entra ID P1.</t>
  </si>
  <si>
    <t xml:space="preserve">Conditional Access for workload identities targets single-tenant service principals and requires a Workload ID Premium licence per identity. Multi-tenant and third-party SaaS service principals generally cannot be targeted, which is why Compensating Controls matters most on those rows.</t>
  </si>
  <si>
    <t xml:space="preserve">Australian context</t>
  </si>
  <si>
    <t xml:space="preserve">The ACSC Essential Eight expects restricted administrative privileges with regular revalidation and privileged access logged and monitored. Kept current, this workbook is reasonable evidence for both.</t>
  </si>
  <si>
    <t xml:space="preserve">For APRA-regulated entities, CPS 234 requires information assets to be identified and classified with clear accountability, which maps onto the Owner Team, Owner Name and Business Criticality columns.</t>
  </si>
  <si>
    <t xml:space="preserve">Entra retains sign-in logs for 30 days. Export to a Log Analytics workspace in Australia East if you need longer history for attestation evidence, and note the Region column where a managed identity processes personal information. Privacy Act advice should come from your own advisers.</t>
  </si>
  <si>
    <t xml:space="preserve">Display Name</t>
  </si>
  <si>
    <t xml:space="preserve">User Principal Name</t>
  </si>
  <si>
    <t xml:space="preserve">Object ID</t>
  </si>
  <si>
    <t xml:space="preserve">Account Category</t>
  </si>
  <si>
    <t xml:space="preserve">User Type</t>
  </si>
  <si>
    <t xml:space="preserve">Identity Source</t>
  </si>
  <si>
    <t xml:space="preserve">Account Enabled?</t>
  </si>
  <si>
    <t xml:space="preserve">Created Date</t>
  </si>
  <si>
    <t xml:space="preserve">Last Interactive Sign-In</t>
  </si>
  <si>
    <t xml:space="preserve">Last Non-Interactive Sign-In</t>
  </si>
  <si>
    <t xml:space="preserve">MFA / Strong Auth Status</t>
  </si>
  <si>
    <t xml:space="preserve">Privileged Roles (Active)</t>
  </si>
  <si>
    <t xml:space="preserve">Privileged Roles (PIM Eligible)</t>
  </si>
  <si>
    <t xml:space="preserve">Licence Assigned</t>
  </si>
  <si>
    <t xml:space="preserve">Manager (Graph)</t>
  </si>
  <si>
    <t xml:space="preserve">Manager Email (Graph)</t>
  </si>
  <si>
    <t xml:space="preserve">Days Since Sign-In</t>
  </si>
  <si>
    <t xml:space="preserve">Category Confirmed?</t>
  </si>
  <si>
    <t xml:space="preserve">Azure RBAC Roles</t>
  </si>
  <si>
    <t xml:space="preserve">Highest Azure Role</t>
  </si>
  <si>
    <t xml:space="preserve">Sub / MG Scoped?</t>
  </si>
  <si>
    <t xml:space="preserve">CA Excluded?</t>
  </si>
  <si>
    <t xml:space="preserve">Exclusion Mechanism</t>
  </si>
  <si>
    <t xml:space="preserve">Exclusion Group Name</t>
  </si>
  <si>
    <t xml:space="preserve">Policies Excluded From</t>
  </si>
  <si>
    <t xml:space="preserve">Exclusion Justification</t>
  </si>
  <si>
    <t xml:space="preserve">Exclusion Approved By</t>
  </si>
  <si>
    <t xml:space="preserve">Exclusion Approved Date</t>
  </si>
  <si>
    <t xml:space="preserve">Exclusion Expiry Date</t>
  </si>
  <si>
    <t xml:space="preserve">Exclusion Status</t>
  </si>
  <si>
    <t xml:space="preserve">Compensating Controls</t>
  </si>
  <si>
    <t xml:space="preserve">Owner Team</t>
  </si>
  <si>
    <t xml:space="preserve">Owner Name (Confirmed)</t>
  </si>
  <si>
    <t xml:space="preserve">Owner Email</t>
  </si>
  <si>
    <t xml:space="preserve">Backup / Secondary Owner</t>
  </si>
  <si>
    <t xml:space="preserve">Cost Centre / App ID</t>
  </si>
  <si>
    <t xml:space="preserve">Environment</t>
  </si>
  <si>
    <t xml:space="preserve">Business Criticality</t>
  </si>
  <si>
    <t xml:space="preserve">Last Reviewed</t>
  </si>
  <si>
    <t xml:space="preserve">Reviewed By</t>
  </si>
  <si>
    <t xml:space="preserve">Review Disposition</t>
  </si>
  <si>
    <t xml:space="preserve">Next Review Due</t>
  </si>
  <si>
    <t xml:space="preserve">Review Status</t>
  </si>
  <si>
    <t xml:space="preserve">Notes</t>
  </si>
  <si>
    <t xml:space="preserve">SVC Payroll Integration</t>
  </si>
  <si>
    <t xml:space="preserve">svc-payroll-int@contoso.com.au</t>
  </si>
  <si>
    <t xml:space="preserve">8f1a2c34-5b6d-4e7f-9a0b-1c2d3e4f5a6b</t>
  </si>
  <si>
    <t xml:space="preserve">Service Account (inferred)</t>
  </si>
  <si>
    <t xml:space="preserve">Member</t>
  </si>
  <si>
    <t xml:space="preserve">Cloud-only</t>
  </si>
  <si>
    <t xml:space="preserve">Yes</t>
  </si>
  <si>
    <t xml:space="preserve">Not Registered</t>
  </si>
  <si>
    <t xml:space="preserve">None</t>
  </si>
  <si>
    <t xml:space="preserve">Microsoft 365 E3</t>
  </si>
  <si>
    <t xml:space="preserve">Priya Raman</t>
  </si>
  <si>
    <t xml:space="preserve">priya.raman@contoso.com.au</t>
  </si>
  <si>
    <t xml:space="preserve">Non-interactive batch account for the Chris21 payroll integration; cannot complete MFA.</t>
  </si>
  <si>
    <t xml:space="preserve">J. Nguyen (CISO)</t>
  </si>
  <si>
    <t xml:space="preserve">Named location lock (Sydney DC egress); password in Key Vault, 90-day rotation; SOC alerting.</t>
  </si>
  <si>
    <t xml:space="preserve">People &amp; Culture Systems</t>
  </si>
  <si>
    <t xml:space="preserve">Tom Fitzgerald</t>
  </si>
  <si>
    <t xml:space="preserve">CC-4820</t>
  </si>
  <si>
    <t xml:space="preserve">Critical</t>
  </si>
  <si>
    <t xml:space="preserve">IAM Team</t>
  </si>
  <si>
    <t xml:space="preserve">Convert to managed identity</t>
  </si>
  <si>
    <t xml:space="preserve">EXAMPLE ROW - delete before use.</t>
  </si>
  <si>
    <t xml:space="preserve">Application (Client) ID</t>
  </si>
  <si>
    <t xml:space="preserve">Object ID (Enterprise App)</t>
  </si>
  <si>
    <t xml:space="preserve">App Origin</t>
  </si>
  <si>
    <t xml:space="preserve">Sign-in Audience</t>
  </si>
  <si>
    <t xml:space="preserve">Enabled?</t>
  </si>
  <si>
    <t xml:space="preserve">Last Sign-In</t>
  </si>
  <si>
    <t xml:space="preserve">Credential Type</t>
  </si>
  <si>
    <t xml:space="preserve">Next Credential Expiry</t>
  </si>
  <si>
    <t xml:space="preserve">Credential Count</t>
  </si>
  <si>
    <t xml:space="preserve">Highest Graph / API Permission</t>
  </si>
  <si>
    <t xml:space="preserve">Permission Risk</t>
  </si>
  <si>
    <t xml:space="preserve">Delegated Permissions</t>
  </si>
  <si>
    <t xml:space="preserve">Admin Consent Granted?</t>
  </si>
  <si>
    <t xml:space="preserve">Registered Owner (Graph)</t>
  </si>
  <si>
    <t xml:space="preserve">Registered Owner Email</t>
  </si>
  <si>
    <t xml:space="preserve">Days to Credential Expiry</t>
  </si>
  <si>
    <t xml:space="preserve">Credential Stored In</t>
  </si>
  <si>
    <t xml:space="preserve">Workload ID Premium Licensed?</t>
  </si>
  <si>
    <t xml:space="preserve">Invoice Reconciliation API</t>
  </si>
  <si>
    <t xml:space="preserve">c7d2e4f6-1a3b-4c5d-8e9f-0a1b2c3d4e5f</t>
  </si>
  <si>
    <t xml:space="preserve">2b4d6f80-9c1e-4a3b-b5d7-e8f9a0b1c2d3</t>
  </si>
  <si>
    <t xml:space="preserve">In-house</t>
  </si>
  <si>
    <t xml:space="preserve">Single tenant</t>
  </si>
  <si>
    <t xml:space="preserve">Certificate</t>
  </si>
  <si>
    <t xml:space="preserve">Files.ReadWrite.All</t>
  </si>
  <si>
    <t xml:space="preserve">High</t>
  </si>
  <si>
    <t xml:space="preserve">Daniel Okafor</t>
  </si>
  <si>
    <t xml:space="preserve">daniel.okafor@contoso.com.au</t>
  </si>
  <si>
    <t xml:space="preserve">Azure Key Vault</t>
  </si>
  <si>
    <t xml:space="preserve">CA020 restricts sign-in to Australia East service tags.</t>
  </si>
  <si>
    <t xml:space="preserve">Finance Systems</t>
  </si>
  <si>
    <t xml:space="preserve">Finance Systems DL</t>
  </si>
  <si>
    <t xml:space="preserve">CC-2210</t>
  </si>
  <si>
    <t xml:space="preserve">Cyber Security Operations</t>
  </si>
  <si>
    <t xml:space="preserve">Rotate credential</t>
  </si>
  <si>
    <t xml:space="preserve">Client ID</t>
  </si>
  <si>
    <t xml:space="preserve">Object (Principal) ID</t>
  </si>
  <si>
    <t xml:space="preserve">Managed Identity Type</t>
  </si>
  <si>
    <t xml:space="preserve">Graph / App Role Assignments</t>
  </si>
  <si>
    <t xml:space="preserve">Graph Permission Risk</t>
  </si>
  <si>
    <t xml:space="preserve">Associated Azure Resource</t>
  </si>
  <si>
    <t xml:space="preserve">Resource Type</t>
  </si>
  <si>
    <t xml:space="preserve">Resource Group</t>
  </si>
  <si>
    <t xml:space="preserve">Subscription</t>
  </si>
  <si>
    <t xml:space="preserve">Region</t>
  </si>
  <si>
    <t xml:space="preserve">Azure Owner Tag</t>
  </si>
  <si>
    <t xml:space="preserve">Federated Credential Alternative?</t>
  </si>
  <si>
    <t xml:space="preserve">mi-datafactory-prod-ause</t>
  </si>
  <si>
    <t xml:space="preserve">5e6f7a8b-9c0d-4e1f-a2b3-c4d5e6f7a8b9</t>
  </si>
  <si>
    <t xml:space="preserve">9a8b7c6d-5e4f-4a3b-9c2d-1e0f9a8b7c6d</t>
  </si>
  <si>
    <t xml:space="preserve">User-assigned</t>
  </si>
  <si>
    <t xml:space="preserve">Low</t>
  </si>
  <si>
    <t xml:space="preserve">No</t>
  </si>
  <si>
    <t xml:space="preserve">Pipeline runs from an Azure-hosted integration runtime with dynamic egress IPs outside the approved named location.</t>
  </si>
  <si>
    <t xml:space="preserve">M. Whitlam (Head of Cloud)</t>
  </si>
  <si>
    <t xml:space="preserve">Private endpoints only; no public network access; Defender for Cloud alerting.</t>
  </si>
  <si>
    <t xml:space="preserve">Data &amp; Analytics</t>
  </si>
  <si>
    <t xml:space="preserve">Aisha Karim</t>
  </si>
  <si>
    <t xml:space="preserve">aisha.karim@contoso.com.au</t>
  </si>
  <si>
    <t xml:space="preserve">Cloud Platform Engineering</t>
  </si>
  <si>
    <t xml:space="preserve">CC-6105</t>
  </si>
  <si>
    <t xml:space="preserve">Retain</t>
  </si>
  <si>
    <t xml:space="preserve">ObjectId</t>
  </si>
  <si>
    <t xml:space="preserve">DisplayName</t>
  </si>
  <si>
    <t xml:space="preserve">IdentityType</t>
  </si>
  <si>
    <t xml:space="preserve">ExclusionMechanism</t>
  </si>
  <si>
    <t xml:space="preserve">ExclusionGroups</t>
  </si>
  <si>
    <t xml:space="preserve">ExcludedPolicies</t>
  </si>
  <si>
    <t xml:space="preserve">PolicyCount</t>
  </si>
  <si>
    <t xml:space="preserve">PolicyStates</t>
  </si>
  <si>
    <t xml:space="preserve">SnapshotDate</t>
  </si>
  <si>
    <t xml:space="preserve">In Inventory?</t>
  </si>
  <si>
    <t xml:space="preserve">User</t>
  </si>
  <si>
    <t xml:space="preserve">Group membership</t>
  </si>
  <si>
    <t xml:space="preserve">CA001-Require MFA All Users; CA003-Require Compliant Device</t>
  </si>
  <si>
    <t xml:space="preserve">enabled</t>
  </si>
  <si>
    <t xml:space="preserve">04/08/2026</t>
  </si>
  <si>
    <t xml:space="preserve">ManagedIdentity</t>
  </si>
  <si>
    <t xml:space="preserve">CA015-Workload Identity Location Restriction</t>
  </si>
  <si>
    <t xml:space="preserve">PrincipalId</t>
  </si>
  <si>
    <t xml:space="preserve">PrincipalType</t>
  </si>
  <si>
    <t xml:space="preserve">AzureRoleAssignments</t>
  </si>
  <si>
    <t xml:space="preserve">HighestAzureRole</t>
  </si>
  <si>
    <t xml:space="preserve">SubOrMgScoped</t>
  </si>
  <si>
    <t xml:space="preserve">AssignmentCount</t>
  </si>
  <si>
    <t xml:space="preserve">AzureResourceId</t>
  </si>
  <si>
    <t xml:space="preserve">ResourceType</t>
  </si>
  <si>
    <t xml:space="preserve">ResourceGroup</t>
  </si>
  <si>
    <t xml:space="preserve">Location</t>
  </si>
  <si>
    <t xml:space="preserve">OwnerTag</t>
  </si>
  <si>
    <t xml:space="preserve">CostCentreTag</t>
  </si>
  <si>
    <t xml:space="preserve">ServicePrincipal</t>
  </si>
  <si>
    <t xml:space="preserve">Storage Blob Data Reader @ /subscriptions/.../rg-fin-prod-ause</t>
  </si>
  <si>
    <t xml:space="preserve">Storage Blob Data Reader</t>
  </si>
  <si>
    <t xml:space="preserve">SUB-PROD-FIN</t>
  </si>
  <si>
    <t xml:space="preserve">Storage Blob Data Contributor @ st-datalake-prod; Key Vault Secrets User @ kv-data-prod</t>
  </si>
  <si>
    <t xml:space="preserve">Storage Blob Data Contributor</t>
  </si>
  <si>
    <t xml:space="preserve">/subscriptions/a1b2.../resourceGroups/rg-analytics-prod-ause/providers/Microsoft.ManagedIdentity/userAssignedIdentities/mi-datafactory-prod-ause</t>
  </si>
  <si>
    <t xml:space="preserve">microsoft.managedidentity/userassignedidentities</t>
  </si>
  <si>
    <t xml:space="preserve">rg-analytics-prod-ause</t>
  </si>
  <si>
    <t xml:space="preserve">SUB-PROD-DATA</t>
  </si>
  <si>
    <t xml:space="preserve">australiaeast</t>
  </si>
  <si>
    <t xml:space="preserve">Snapshot Log</t>
  </si>
  <si>
    <t xml:space="preserve">Row 4 reads live from the Dashboard. Each month: copy row 4, then Paste Special &gt; Values into the next empty row below. Thirty seconds, and after three months you have trend lines.</t>
  </si>
  <si>
    <t xml:space="preserve">Snapshot Date</t>
  </si>
  <si>
    <t xml:space="preserve">Total Identities</t>
  </si>
  <si>
    <t xml:space="preserve">CA Excluded</t>
  </si>
  <si>
    <t xml:space="preserve">Expired Exclusions</t>
  </si>
  <si>
    <t xml:space="preserve">No Expiry Set</t>
  </si>
  <si>
    <t xml:space="preserve">No Owner Team</t>
  </si>
  <si>
    <t xml:space="preserve">Privileged, No MFA</t>
  </si>
  <si>
    <t xml:space="preserve">Governance Complete %</t>
  </si>
  <si>
    <t xml:space="preserve">CA-Excl + Azure Priv</t>
  </si>
  <si>
    <t xml:space="preserve">Excluded Not In Inventory</t>
  </si>
  <si>
    <t xml:space="preserve">CURRENT - copy and paste-as-values below</t>
  </si>
  <si>
    <t xml:space="preserve">Yes / No</t>
  </si>
  <si>
    <t xml:space="preserve">Credential Store</t>
  </si>
  <si>
    <t xml:space="preserve">Identity &amp; Access Management</t>
  </si>
  <si>
    <t xml:space="preserve">Non-Production</t>
  </si>
  <si>
    <t xml:space="preserve">Retain - reduce permissions</t>
  </si>
  <si>
    <t xml:space="preserve">HashiCorp Vault</t>
  </si>
  <si>
    <t xml:space="preserve">Development</t>
  </si>
  <si>
    <t xml:space="preserve">Medium</t>
  </si>
  <si>
    <t xml:space="preserve">Unknown</t>
  </si>
  <si>
    <t xml:space="preserve">Remove exclusion</t>
  </si>
  <si>
    <t xml:space="preserve">CyberArk</t>
  </si>
  <si>
    <t xml:space="preserve">Infrastructure &amp; Network Services</t>
  </si>
  <si>
    <t xml:space="preserve">Test / UAT</t>
  </si>
  <si>
    <t xml:space="preserve">N/A</t>
  </si>
  <si>
    <t xml:space="preserve">GitHub Actions secret</t>
  </si>
  <si>
    <t xml:space="preserve">Enterprise Applications</t>
  </si>
  <si>
    <t xml:space="preserve">Production + Non-Prod</t>
  </si>
  <si>
    <t xml:space="preserve">Decommission Candidate</t>
  </si>
  <si>
    <t xml:space="preserve">Azure DevOps variable group</t>
  </si>
  <si>
    <t xml:space="preserve">Decommission</t>
  </si>
  <si>
    <t xml:space="preserve">Not stored centrally - REMEDIATE</t>
  </si>
  <si>
    <t xml:space="preserve">Digital Channels</t>
  </si>
  <si>
    <t xml:space="preserve">Pending review</t>
  </si>
  <si>
    <t xml:space="preserve">Integration Services</t>
  </si>
  <si>
    <t xml:space="preserve">Service Desk</t>
  </si>
  <si>
    <t xml:space="preserve">External Vendor / MSP</t>
  </si>
  <si>
    <t xml:space="preserve">UNASSIGNED - NEEDS OWNER</t>
  </si>
  <si>
    <t xml:space="preserve">Edit these lists to match your standards. Only manually-entered columns use them; script-populated columns are not constrained.</t>
  </si>
</sst>
</file>

<file path=xl/styles.xml><?xml version="1.0" encoding="utf-8"?>
<styleSheet xmlns="http://schemas.openxmlformats.org/spreadsheetml/2006/main">
  <numFmts count="6">
    <numFmt numFmtId="164" formatCode="General"/>
    <numFmt numFmtId="165" formatCode="#,##0"/>
    <numFmt numFmtId="166" formatCode="0%"/>
    <numFmt numFmtId="167" formatCode="@"/>
    <numFmt numFmtId="168" formatCode="dd/mm/yyyy"/>
    <numFmt numFmtId="169" formatCode="General"/>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i val="true"/>
      <sz val="9"/>
      <color rgb="FF595959"/>
      <name val="Arial"/>
      <family val="0"/>
      <charset val="1"/>
    </font>
    <font>
      <sz val="10"/>
      <name val="Arial"/>
      <family val="0"/>
      <charset val="1"/>
    </font>
    <font>
      <i val="true"/>
      <sz val="9"/>
      <color rgb="FFC00000"/>
      <name val="Arial"/>
      <family val="0"/>
      <charset val="1"/>
    </font>
    <font>
      <b val="true"/>
      <sz val="12"/>
      <color rgb="FF1F3864"/>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00"/>
      <name val="Arial"/>
      <family val="0"/>
      <charset val="1"/>
    </font>
    <font>
      <sz val="10"/>
      <name val="Arial"/>
      <family val="2"/>
    </font>
    <font>
      <b val="true"/>
      <sz val="10"/>
      <color rgb="FF1F3864"/>
      <name val="Arial"/>
      <family val="0"/>
      <charset val="1"/>
    </font>
    <font>
      <i val="true"/>
      <sz val="10"/>
      <color rgb="FFC00000"/>
      <name val="Arial"/>
      <family val="0"/>
      <charset val="1"/>
    </font>
  </fonts>
  <fills count="13">
    <fill>
      <patternFill patternType="none"/>
    </fill>
    <fill>
      <patternFill patternType="gray125"/>
    </fill>
    <fill>
      <patternFill patternType="solid">
        <fgColor rgb="FF1F3864"/>
        <bgColor rgb="FF1F4E79"/>
      </patternFill>
    </fill>
    <fill>
      <patternFill patternType="solid">
        <fgColor rgb="FF2E5496"/>
        <bgColor rgb="FF1F4E79"/>
      </patternFill>
    </fill>
    <fill>
      <patternFill patternType="solid">
        <fgColor rgb="FFFFF2CC"/>
        <bgColor rgb="FFFFEB9C"/>
      </patternFill>
    </fill>
    <fill>
      <patternFill patternType="solid">
        <fgColor rgb="FF1F4E79"/>
        <bgColor rgb="FF2E5496"/>
      </patternFill>
    </fill>
    <fill>
      <patternFill patternType="solid">
        <fgColor rgb="FF595959"/>
        <bgColor rgb="FF385723"/>
      </patternFill>
    </fill>
    <fill>
      <patternFill patternType="solid">
        <fgColor rgb="FF1F6F6F"/>
        <bgColor rgb="FF2E75B6"/>
      </patternFill>
    </fill>
    <fill>
      <patternFill patternType="solid">
        <fgColor rgb="FF7B3F00"/>
        <bgColor rgb="FF9C6500"/>
      </patternFill>
    </fill>
    <fill>
      <patternFill patternType="solid">
        <fgColor rgb="FF385723"/>
        <bgColor rgb="FF595959"/>
      </patternFill>
    </fill>
    <fill>
      <patternFill patternType="solid">
        <fgColor rgb="FFC55A11"/>
        <bgColor rgb="FFC0504D"/>
      </patternFill>
    </fill>
    <fill>
      <patternFill patternType="solid">
        <fgColor rgb="FFBF9000"/>
        <bgColor rgb="FF9C6500"/>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bottom" textRotation="0" wrapText="true" indent="0" shrinkToFit="false"/>
      <protection locked="true" hidden="false"/>
    </xf>
    <xf numFmtId="164" fontId="12" fillId="3" borderId="1" xfId="0" applyFont="true" applyBorder="true" applyAlignment="true" applyProtection="false">
      <alignment horizontal="center" vertical="bottom"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general" vertical="top" textRotation="0" wrapText="false" indent="0" shrinkToFit="false"/>
      <protection locked="true" hidden="false"/>
    </xf>
    <xf numFmtId="168" fontId="16" fillId="4" borderId="1" xfId="0" applyFont="true" applyBorder="true" applyAlignment="true" applyProtection="false">
      <alignment horizontal="general" vertical="top" textRotation="0" wrapText="false" indent="0" shrinkToFit="false"/>
      <protection locked="true" hidden="false"/>
    </xf>
    <xf numFmtId="169" fontId="5"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8" fontId="5" fillId="4"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8" fontId="1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8" fontId="18" fillId="0" borderId="1" xfId="0" applyFont="true" applyBorder="true" applyAlignment="true" applyProtection="false">
      <alignment horizontal="center" vertical="bottom" textRotation="0" wrapText="false" indent="0" shrinkToFit="false"/>
      <protection locked="true" hidden="false"/>
    </xf>
    <xf numFmtId="165" fontId="18" fillId="0" borderId="1" xfId="0" applyFont="true" applyBorder="true" applyAlignment="true" applyProtection="false">
      <alignment horizontal="center" vertical="bottom" textRotation="0" wrapText="false" indent="0" shrinkToFit="false"/>
      <protection locked="true" hidden="false"/>
    </xf>
    <xf numFmtId="166" fontId="18"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18" fillId="12" borderId="1" xfId="0" applyFont="true" applyBorder="true" applyAlignment="true" applyProtection="false">
      <alignment horizontal="center"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4E79"/>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2E5496"/>
          <bgColor rgb="FF000000"/>
        </patternFill>
      </fill>
    </dxf>
    <dxf>
      <fill>
        <patternFill patternType="solid">
          <fgColor rgb="FF1F6F6F"/>
          <bgColor rgb="FF000000"/>
        </patternFill>
      </fill>
    </dxf>
    <dxf>
      <fill>
        <patternFill patternType="solid">
          <fgColor rgb="FFFFEB9C"/>
          <bgColor rgb="FF000000"/>
        </patternFill>
      </fill>
    </dxf>
    <dxf>
      <fill>
        <patternFill patternType="solid">
          <fgColor rgb="FF9C6500"/>
          <bgColor rgb="FF000000"/>
        </patternFill>
      </fill>
    </dxf>
    <dxf>
      <fill>
        <patternFill patternType="solid">
          <fgColor rgb="FF7B3F00"/>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385723"/>
          <bgColor rgb="FF000000"/>
        </patternFill>
      </fill>
    </dxf>
    <dxf>
      <font>
        <name val="Arial"/>
        <charset val="1"/>
        <family val="0"/>
        <b val="1"/>
        <color rgb="FF9C0006"/>
        <sz val="10"/>
      </font>
      <fill>
        <patternFill>
          <bgColor rgb="FFFFC7CE"/>
        </patternFill>
      </fill>
    </dxf>
    <dxf>
      <font>
        <name val="Arial"/>
        <charset val="1"/>
        <family val="0"/>
        <color rgb="FF9C6500"/>
        <sz val="10"/>
      </font>
      <fill>
        <patternFill>
          <bgColor rgb="FFFFEB9C"/>
        </patternFill>
      </fill>
    </dxf>
    <dxf>
      <font>
        <name val="Arial"/>
        <charset val="1"/>
        <family val="0"/>
        <color rgb="FF006100"/>
        <sz val="10"/>
      </font>
      <fill>
        <patternFill>
          <bgColor rgb="FFC6EFCE"/>
        </patternFill>
      </fill>
    </dxf>
    <dxf>
      <fill>
        <patternFill patternType="solid">
          <fgColor rgb="FFFFC7CE"/>
          <bgColor rgb="FF000000"/>
        </patternFill>
      </fill>
    </dxf>
    <dxf>
      <fill>
        <patternFill patternType="solid">
          <fgColor rgb="FF9C0006"/>
          <bgColor rgb="FF000000"/>
        </patternFill>
      </fill>
    </dxf>
    <dxf>
      <fill>
        <patternFill patternType="solid">
          <fgColor rgb="FFC55A11"/>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1F6F6F"/>
      <rgbColor rgb="FFBFBFBF"/>
      <rgbColor rgb="FF808080"/>
      <rgbColor rgb="FF9999FF"/>
      <rgbColor rgb="FF7030A0"/>
      <rgbColor rgb="FFFFF2CC"/>
      <rgbColor rgb="FFD9E2F3"/>
      <rgbColor rgb="FF660066"/>
      <rgbColor rgb="FFFF8080"/>
      <rgbColor rgb="FF1F4E79"/>
      <rgbColor rgb="FFD9D9D9"/>
      <rgbColor rgb="FF000080"/>
      <rgbColor rgb="FFFF00FF"/>
      <rgbColor rgb="FFFFFF00"/>
      <rgbColor rgb="FF00FFFF"/>
      <rgbColor rgb="FF800080"/>
      <rgbColor rgb="FF800000"/>
      <rgbColor rgb="FF4F81BD"/>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BF9000"/>
      <rgbColor rgb="FFC55A11"/>
      <rgbColor rgb="FF595959"/>
      <rgbColor rgb="FF878787"/>
      <rgbColor rgb="FF1F3864"/>
      <rgbColor rgb="FF00B050"/>
      <rgbColor rgb="FF003300"/>
      <rgbColor rgb="FF333300"/>
      <rgbColor rgb="FF7B3F00"/>
      <rgbColor rgb="FFC0504D"/>
      <rgbColor rgb="FF2E5496"/>
      <rgbColor rgb="FF385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Identities excluded, by exclusion group</a:t>
            </a:r>
          </a:p>
        </c:rich>
      </c:tx>
      <c:overlay val="0"/>
      <c:spPr>
        <a:noFill/>
        <a:ln w="0">
          <a:noFill/>
        </a:ln>
      </c:spPr>
    </c:title>
    <c:autoTitleDeleted val="0"/>
    <c:plotArea>
      <c:barChart>
        <c:barDir val="bar"/>
        <c:grouping val="clustered"/>
        <c:varyColors val="0"/>
        <c:ser>
          <c:idx val="0"/>
          <c:order val="0"/>
          <c:tx>
            <c:strRef>
              <c:f>Charts!B6</c:f>
              <c:strCache>
                <c:ptCount val="1"/>
                <c:pt idx="0">
                  <c:v>Identities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Charts!$A$7:$A$21</c:f>
              <c:strCache>
                <c:ptCount val="15"/>
                <c:pt idx="0">
                  <c:v>CA-Excl-ServiceAccounts</c:v>
                </c:pt>
                <c:pt idx="1">
                  <c:v>CA-Excl-WorkloadIdentities</c:v>
                </c:pt>
                <c:pt idx="2">
                  <c:v/>
                </c:pt>
                <c:pt idx="3">
                  <c:v/>
                </c:pt>
                <c:pt idx="4">
                  <c:v/>
                </c:pt>
                <c:pt idx="5">
                  <c:v/>
                </c:pt>
                <c:pt idx="6">
                  <c:v/>
                </c:pt>
                <c:pt idx="7">
                  <c:v/>
                </c:pt>
                <c:pt idx="8">
                  <c:v/>
                </c:pt>
                <c:pt idx="9">
                  <c:v/>
                </c:pt>
                <c:pt idx="10">
                  <c:v/>
                </c:pt>
                <c:pt idx="11">
                  <c:v/>
                </c:pt>
                <c:pt idx="12">
                  <c:v/>
                </c:pt>
                <c:pt idx="13">
                  <c:v/>
                </c:pt>
                <c:pt idx="14">
                  <c:v/>
                </c:pt>
              </c:strCache>
            </c:strRef>
          </c:cat>
          <c:val>
            <c:numRef>
              <c:f>Charts!$B$7:$B$21</c:f>
              <c:numCache>
                <c:formatCode>#,##0</c:formatCode>
                <c:ptCount val="15"/>
                <c:pt idx="0">
                  <c:v>1</c:v>
                </c:pt>
                <c:pt idx="1">
                  <c:v>1</c:v>
                </c:pt>
              </c:numCache>
            </c:numRef>
          </c:val>
        </c:ser>
        <c:gapWidth val="150"/>
        <c:overlap val="0"/>
        <c:axId val="44745638"/>
        <c:axId val="70584085"/>
      </c:barChart>
      <c:catAx>
        <c:axId val="447456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584085"/>
        <c:crosses val="autoZero"/>
        <c:auto val="1"/>
        <c:lblAlgn val="ctr"/>
        <c:lblOffset val="100"/>
        <c:noMultiLvlLbl val="0"/>
      </c:catAx>
      <c:valAx>
        <c:axId val="70584085"/>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Identities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74563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Account category by CA exclusion status</a:t>
            </a:r>
          </a:p>
        </c:rich>
      </c:tx>
      <c:overlay val="0"/>
      <c:spPr>
        <a:noFill/>
        <a:ln w="0">
          <a:noFill/>
        </a:ln>
      </c:spPr>
    </c:title>
    <c:autoTitleDeleted val="0"/>
    <c:plotArea>
      <c:barChart>
        <c:barDir val="col"/>
        <c:grouping val="stacked"/>
        <c:varyColors val="0"/>
        <c:ser>
          <c:idx val="0"/>
          <c:order val="0"/>
          <c:tx>
            <c:strRef>
              <c:f>Charts!B26</c:f>
              <c:strCache>
                <c:ptCount val="1"/>
                <c:pt idx="0">
                  <c:v>Excluded</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Charts!$A$27:$A$33</c:f>
              <c:strCache>
                <c:ptCount val="7"/>
                <c:pt idx="0">
                  <c:v>Standard User</c:v>
                </c:pt>
                <c:pt idx="1">
                  <c:v>Service Account</c:v>
                </c:pt>
                <c:pt idx="2">
                  <c:v>Privileged / Admin</c:v>
                </c:pt>
                <c:pt idx="3">
                  <c:v>Break-Glass</c:v>
                </c:pt>
                <c:pt idx="4">
                  <c:v>Guest</c:v>
                </c:pt>
                <c:pt idx="5">
                  <c:v>Shared</c:v>
                </c:pt>
                <c:pt idx="6">
                  <c:v>Test Account</c:v>
                </c:pt>
              </c:strCache>
            </c:strRef>
          </c:cat>
          <c:val>
            <c:numRef>
              <c:f>Charts!$B$27:$B$33</c:f>
              <c:numCache>
                <c:formatCode>#,##0</c:formatCode>
                <c:ptCount val="7"/>
                <c:pt idx="0">
                  <c:v>0</c:v>
                </c:pt>
                <c:pt idx="1">
                  <c:v>1</c:v>
                </c:pt>
                <c:pt idx="2">
                  <c:v>0</c:v>
                </c:pt>
                <c:pt idx="3">
                  <c:v>0</c:v>
                </c:pt>
                <c:pt idx="4">
                  <c:v>0</c:v>
                </c:pt>
                <c:pt idx="5">
                  <c:v>0</c:v>
                </c:pt>
                <c:pt idx="6">
                  <c:v>0</c:v>
                </c:pt>
              </c:numCache>
            </c:numRef>
          </c:val>
        </c:ser>
        <c:ser>
          <c:idx val="1"/>
          <c:order val="1"/>
          <c:tx>
            <c:strRef>
              <c:f>Charts!C26</c:f>
              <c:strCache>
                <c:ptCount val="1"/>
                <c:pt idx="0">
                  <c:v>Not excluded</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Charts!$A$27:$A$33</c:f>
              <c:strCache>
                <c:ptCount val="7"/>
                <c:pt idx="0">
                  <c:v>Standard User</c:v>
                </c:pt>
                <c:pt idx="1">
                  <c:v>Service Account</c:v>
                </c:pt>
                <c:pt idx="2">
                  <c:v>Privileged / Admin</c:v>
                </c:pt>
                <c:pt idx="3">
                  <c:v>Break-Glass</c:v>
                </c:pt>
                <c:pt idx="4">
                  <c:v>Guest</c:v>
                </c:pt>
                <c:pt idx="5">
                  <c:v>Shared</c:v>
                </c:pt>
                <c:pt idx="6">
                  <c:v>Test Account</c:v>
                </c:pt>
              </c:strCache>
            </c:strRef>
          </c:cat>
          <c:val>
            <c:numRef>
              <c:f>Charts!$C$27:$C$33</c:f>
              <c:numCache>
                <c:formatCode>#,##0</c:formatCode>
                <c:ptCount val="7"/>
                <c:pt idx="0">
                  <c:v>0</c:v>
                </c:pt>
                <c:pt idx="1">
                  <c:v>0</c:v>
                </c:pt>
                <c:pt idx="2">
                  <c:v>0</c:v>
                </c:pt>
                <c:pt idx="3">
                  <c:v>0</c:v>
                </c:pt>
                <c:pt idx="4">
                  <c:v>0</c:v>
                </c:pt>
                <c:pt idx="5">
                  <c:v>0</c:v>
                </c:pt>
                <c:pt idx="6">
                  <c:v>0</c:v>
                </c:pt>
              </c:numCache>
            </c:numRef>
          </c:val>
        </c:ser>
        <c:gapWidth val="150"/>
        <c:overlap val="100"/>
        <c:axId val="59733466"/>
        <c:axId val="27262539"/>
      </c:barChart>
      <c:catAx>
        <c:axId val="597334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262539"/>
        <c:crosses val="autoZero"/>
        <c:auto val="1"/>
        <c:lblAlgn val="ctr"/>
        <c:lblOffset val="100"/>
        <c:noMultiLvlLbl val="0"/>
      </c:catAx>
      <c:valAx>
        <c:axId val="2726253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Accounts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7334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Credential expiry timeline</a:t>
            </a:r>
          </a:p>
        </c:rich>
      </c:tx>
      <c:overlay val="0"/>
      <c:spPr>
        <a:noFill/>
        <a:ln w="0">
          <a:noFill/>
        </a:ln>
      </c:spPr>
    </c:title>
    <c:autoTitleDeleted val="0"/>
    <c:plotArea>
      <c:barChart>
        <c:barDir val="col"/>
        <c:grouping val="clustered"/>
        <c:varyColors val="0"/>
        <c:ser>
          <c:idx val="0"/>
          <c:order val="0"/>
          <c:tx>
            <c:strRef>
              <c:f>Charts!B38</c:f>
              <c:strCache>
                <c:ptCount val="1"/>
                <c:pt idx="0">
                  <c:v>Credentials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Charts!$A$39:$A$45</c:f>
              <c:strCache>
                <c:ptCount val="7"/>
                <c:pt idx="0">
                  <c:v>Already expired</c:v>
                </c:pt>
                <c:pt idx="1">
                  <c:v>0-30 days</c:v>
                </c:pt>
                <c:pt idx="2">
                  <c:v>31-60 days</c:v>
                </c:pt>
                <c:pt idx="3">
                  <c:v>61-90 days</c:v>
                </c:pt>
                <c:pt idx="4">
                  <c:v>91-180 days</c:v>
                </c:pt>
                <c:pt idx="5">
                  <c:v>181-365 days</c:v>
                </c:pt>
                <c:pt idx="6">
                  <c:v>Over 365 days</c:v>
                </c:pt>
              </c:strCache>
            </c:strRef>
          </c:cat>
          <c:val>
            <c:numRef>
              <c:f>Charts!$B$39:$B$45</c:f>
              <c:numCache>
                <c:formatCode>#,##0</c:formatCode>
                <c:ptCount val="7"/>
                <c:pt idx="0">
                  <c:v>0</c:v>
                </c:pt>
                <c:pt idx="1">
                  <c:v>0</c:v>
                </c:pt>
                <c:pt idx="2">
                  <c:v>1</c:v>
                </c:pt>
                <c:pt idx="3">
                  <c:v>0</c:v>
                </c:pt>
                <c:pt idx="4">
                  <c:v>0</c:v>
                </c:pt>
                <c:pt idx="5">
                  <c:v>0</c:v>
                </c:pt>
                <c:pt idx="6">
                  <c:v>0</c:v>
                </c:pt>
              </c:numCache>
            </c:numRef>
          </c:val>
        </c:ser>
        <c:gapWidth val="150"/>
        <c:overlap val="0"/>
        <c:axId val="6510084"/>
        <c:axId val="29443008"/>
      </c:barChart>
      <c:catAx>
        <c:axId val="65100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443008"/>
        <c:crosses val="autoZero"/>
        <c:auto val="1"/>
        <c:lblAlgn val="ctr"/>
        <c:lblOffset val="100"/>
        <c:noMultiLvlLbl val="0"/>
      </c:catAx>
      <c:valAx>
        <c:axId val="2944300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Credentials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100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Days since last sign-in</a:t>
            </a:r>
          </a:p>
        </c:rich>
      </c:tx>
      <c:overlay val="0"/>
      <c:spPr>
        <a:noFill/>
        <a:ln w="0">
          <a:noFill/>
        </a:ln>
      </c:spPr>
    </c:title>
    <c:autoTitleDeleted val="0"/>
    <c:plotArea>
      <c:barChart>
        <c:barDir val="col"/>
        <c:grouping val="clustered"/>
        <c:varyColors val="0"/>
        <c:ser>
          <c:idx val="0"/>
          <c:order val="0"/>
          <c:tx>
            <c:strRef>
              <c:f>Charts!B50</c:f>
              <c:strCache>
                <c:ptCount val="1"/>
                <c:pt idx="0">
                  <c:v>Identities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Charts!$A$51:$A$56</c:f>
              <c:strCache>
                <c:ptCount val="6"/>
                <c:pt idx="0">
                  <c:v>0-30</c:v>
                </c:pt>
                <c:pt idx="1">
                  <c:v>31-90</c:v>
                </c:pt>
                <c:pt idx="2">
                  <c:v>91-180</c:v>
                </c:pt>
                <c:pt idx="3">
                  <c:v>181-365</c:v>
                </c:pt>
                <c:pt idx="4">
                  <c:v>Over 365</c:v>
                </c:pt>
                <c:pt idx="5">
                  <c:v>No sign-in recorded</c:v>
                </c:pt>
              </c:strCache>
            </c:strRef>
          </c:cat>
          <c:val>
            <c:numRef>
              <c:f>Charts!$B$51:$B$56</c:f>
              <c:numCache>
                <c:formatCode>#,##0</c:formatCode>
                <c:ptCount val="6"/>
                <c:pt idx="0">
                  <c:v>3</c:v>
                </c:pt>
                <c:pt idx="1">
                  <c:v>0</c:v>
                </c:pt>
                <c:pt idx="2">
                  <c:v>0</c:v>
                </c:pt>
                <c:pt idx="3">
                  <c:v>0</c:v>
                </c:pt>
                <c:pt idx="4">
                  <c:v>0</c:v>
                </c:pt>
                <c:pt idx="5">
                  <c:v>0</c:v>
                </c:pt>
              </c:numCache>
            </c:numRef>
          </c:val>
        </c:ser>
        <c:gapWidth val="150"/>
        <c:overlap val="0"/>
        <c:axId val="40505569"/>
        <c:axId val="2901614"/>
      </c:barChart>
      <c:catAx>
        <c:axId val="405055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01614"/>
        <c:crosses val="autoZero"/>
        <c:auto val="1"/>
        <c:lblAlgn val="ctr"/>
        <c:lblOffset val="100"/>
        <c:noMultiLvlLbl val="0"/>
      </c:catAx>
      <c:valAx>
        <c:axId val="290161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Identities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5055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xdr:row>
      <xdr:rowOff>131040</xdr:rowOff>
    </xdr:from>
    <xdr:to>
      <xdr:col>15</xdr:col>
      <xdr:colOff>364680</xdr:colOff>
      <xdr:row>21</xdr:row>
      <xdr:rowOff>132120</xdr:rowOff>
    </xdr:to>
    <xdr:graphicFrame>
      <xdr:nvGraphicFramePr>
        <xdr:cNvPr id="0" name="Chart 1"/>
        <xdr:cNvGraphicFramePr/>
      </xdr:nvGraphicFramePr>
      <xdr:xfrm>
        <a:off x="5968440" y="9525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24</xdr:row>
      <xdr:rowOff>130680</xdr:rowOff>
    </xdr:from>
    <xdr:to>
      <xdr:col>15</xdr:col>
      <xdr:colOff>364680</xdr:colOff>
      <xdr:row>41</xdr:row>
      <xdr:rowOff>131760</xdr:rowOff>
    </xdr:to>
    <xdr:graphicFrame>
      <xdr:nvGraphicFramePr>
        <xdr:cNvPr id="1" name="Chart 2"/>
        <xdr:cNvGraphicFramePr/>
      </xdr:nvGraphicFramePr>
      <xdr:xfrm>
        <a:off x="5968440" y="47624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36</xdr:row>
      <xdr:rowOff>130680</xdr:rowOff>
    </xdr:from>
    <xdr:to>
      <xdr:col>15</xdr:col>
      <xdr:colOff>364680</xdr:colOff>
      <xdr:row>53</xdr:row>
      <xdr:rowOff>131760</xdr:rowOff>
    </xdr:to>
    <xdr:graphicFrame>
      <xdr:nvGraphicFramePr>
        <xdr:cNvPr id="2" name="Chart 3"/>
        <xdr:cNvGraphicFramePr/>
      </xdr:nvGraphicFramePr>
      <xdr:xfrm>
        <a:off x="5968440" y="704844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48</xdr:row>
      <xdr:rowOff>130680</xdr:rowOff>
    </xdr:from>
    <xdr:to>
      <xdr:col>15</xdr:col>
      <xdr:colOff>364680</xdr:colOff>
      <xdr:row>65</xdr:row>
      <xdr:rowOff>131760</xdr:rowOff>
    </xdr:to>
    <xdr:graphicFrame>
      <xdr:nvGraphicFramePr>
        <xdr:cNvPr id="3" name="Chart 4"/>
        <xdr:cNvGraphicFramePr/>
      </xdr:nvGraphicFramePr>
      <xdr:xfrm>
        <a:off x="5968440" y="933444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xml"/><Relationship Id="rId3"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6.xml"/><Relationship Id="rId3"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2:F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5" min="3" style="0" width="21"/>
    <col collapsed="false" customWidth="true" hidden="false" outlineLevel="0" max="6" min="6" style="0" width="58"/>
  </cols>
  <sheetData>
    <row r="2" customFormat="false" ht="27.75" hidden="false" customHeight="true" outlineLevel="0" collapsed="false">
      <c r="B2" s="1" t="s">
        <v>0</v>
      </c>
      <c r="C2" s="1"/>
      <c r="D2" s="1"/>
      <c r="E2" s="1"/>
      <c r="F2" s="1"/>
    </row>
    <row r="3" customFormat="false" ht="15" hidden="false" customHeight="false" outlineLevel="0" collapsed="false">
      <c r="B3" s="2" t="s">
        <v>1</v>
      </c>
    </row>
    <row r="5" customFormat="false" ht="15" hidden="false" customHeight="false" outlineLevel="0" collapsed="false">
      <c r="B5" s="3" t="s">
        <v>2</v>
      </c>
      <c r="C5" s="4" t="s">
        <v>3</v>
      </c>
      <c r="D5" s="4" t="s">
        <v>4</v>
      </c>
      <c r="E5" s="4" t="s">
        <v>5</v>
      </c>
      <c r="F5" s="3" t="s">
        <v>6</v>
      </c>
    </row>
    <row r="6" customFormat="false" ht="27.75" hidden="false" customHeight="true" outlineLevel="0" collapsed="false">
      <c r="B6" s="5" t="s">
        <v>7</v>
      </c>
      <c r="C6" s="6" t="n">
        <f aca="false">COUNTA(Accounts!$C$2:$C$201)</f>
        <v>1</v>
      </c>
      <c r="D6" s="6" t="n">
        <f aca="false">COUNTA('Service Principals'!$C$2:$C$201)</f>
        <v>1</v>
      </c>
      <c r="E6" s="6" t="n">
        <f aca="false">COUNTA('Managed Identities'!$C$2:$C$201)</f>
        <v>1</v>
      </c>
      <c r="F6" s="7" t="s">
        <v>8</v>
      </c>
    </row>
    <row r="7" customFormat="false" ht="27.75" hidden="false" customHeight="true" outlineLevel="0" collapsed="false">
      <c r="B7" s="8" t="s">
        <v>9</v>
      </c>
      <c r="C7" s="9" t="n">
        <f aca="false">COUNTIF(Accounts!$AK$2:$AK$201,"Production")</f>
        <v>1</v>
      </c>
      <c r="D7" s="9" t="n">
        <f aca="false">COUNTIF('Service Principals'!$AN$2:$AN$201,"Production")</f>
        <v>1</v>
      </c>
      <c r="E7" s="9" t="n">
        <f aca="false">COUNTIF('Managed Identities'!$AI$2:$AI$201,"Production")</f>
        <v>1</v>
      </c>
      <c r="F7" s="7" t="s">
        <v>10</v>
      </c>
    </row>
    <row r="8" customFormat="false" ht="27.75" hidden="false" customHeight="true" outlineLevel="0" collapsed="false">
      <c r="B8" s="8" t="s">
        <v>11</v>
      </c>
      <c r="C8" s="9" t="n">
        <f aca="false">COUNTIF(Accounts!$AL$2:$AL$201,"Critical")</f>
        <v>1</v>
      </c>
      <c r="D8" s="9" t="n">
        <f aca="false">COUNTIF('Service Principals'!$AO$2:$AO$201,"Critical")</f>
        <v>0</v>
      </c>
      <c r="E8" s="9" t="n">
        <f aca="false">COUNTIF('Managed Identities'!$AJ$2:$AJ$201,"Critical")</f>
        <v>0</v>
      </c>
      <c r="F8" s="7" t="s">
        <v>12</v>
      </c>
    </row>
    <row r="10" customFormat="false" ht="15" hidden="false" customHeight="false" outlineLevel="0" collapsed="false">
      <c r="B10" s="3" t="s">
        <v>13</v>
      </c>
      <c r="C10" s="4" t="s">
        <v>3</v>
      </c>
      <c r="D10" s="4" t="s">
        <v>4</v>
      </c>
      <c r="E10" s="4" t="s">
        <v>5</v>
      </c>
      <c r="F10" s="3" t="s">
        <v>6</v>
      </c>
    </row>
    <row r="11" customFormat="false" ht="27.75" hidden="false" customHeight="true" outlineLevel="0" collapsed="false">
      <c r="B11" s="5" t="s">
        <v>14</v>
      </c>
      <c r="C11" s="6" t="n">
        <f aca="false">COUNTIF(Accounts!$V$2:$V$201,"Yes")</f>
        <v>1</v>
      </c>
      <c r="D11" s="6" t="n">
        <f aca="false">COUNTIF('Service Principals'!$Y$2:$Y$201,"Yes")</f>
        <v>0</v>
      </c>
      <c r="E11" s="6" t="n">
        <f aca="false">COUNTIF('Managed Identities'!$T$2:$T$201,"Yes")</f>
        <v>1</v>
      </c>
      <c r="F11" s="7" t="s">
        <v>15</v>
      </c>
    </row>
    <row r="12" customFormat="false" ht="27.75" hidden="false" customHeight="true" outlineLevel="0" collapsed="false">
      <c r="B12" s="8" t="s">
        <v>16</v>
      </c>
      <c r="C12" s="9" t="n">
        <f aca="false">COUNTIF(Accounts!$AD$2:$AD$201,"EXPIRED")</f>
        <v>0</v>
      </c>
      <c r="D12" s="9" t="n">
        <f aca="false">COUNTIF('Service Principals'!$AG$2:$AG$201,"EXPIRED")</f>
        <v>0</v>
      </c>
      <c r="E12" s="9" t="n">
        <f aca="false">COUNTIF('Managed Identities'!$AB$2:$AB$201,"EXPIRED")</f>
        <v>0</v>
      </c>
      <c r="F12" s="7" t="s">
        <v>17</v>
      </c>
    </row>
    <row r="13" customFormat="false" ht="27.75" hidden="false" customHeight="true" outlineLevel="0" collapsed="false">
      <c r="B13" s="8" t="s">
        <v>18</v>
      </c>
      <c r="C13" s="9" t="n">
        <f aca="false">COUNTIF(Accounts!$AD$2:$AD$201,"NO EXPIRY SET")</f>
        <v>0</v>
      </c>
      <c r="D13" s="9" t="n">
        <f aca="false">COUNTIF('Service Principals'!$AG$2:$AG$201,"NO EXPIRY SET")</f>
        <v>0</v>
      </c>
      <c r="E13" s="9" t="n">
        <f aca="false">COUNTIF('Managed Identities'!$AB$2:$AB$201,"NO EXPIRY SET")</f>
        <v>0</v>
      </c>
      <c r="F13" s="7" t="s">
        <v>19</v>
      </c>
    </row>
    <row r="14" customFormat="false" ht="27.75" hidden="false" customHeight="true" outlineLevel="0" collapsed="false">
      <c r="B14" s="8" t="s">
        <v>20</v>
      </c>
      <c r="C14" s="9" t="n">
        <f aca="false">COUNTIF(Accounts!$AD$2:$AD$201,"Expiring Soon")</f>
        <v>0</v>
      </c>
      <c r="D14" s="9" t="n">
        <f aca="false">COUNTIF('Service Principals'!$AG$2:$AG$201,"Expiring Soon")</f>
        <v>0</v>
      </c>
      <c r="E14" s="9" t="n">
        <f aca="false">COUNTIF('Managed Identities'!$AB$2:$AB$201,"Expiring Soon")</f>
        <v>0</v>
      </c>
      <c r="F14" s="7" t="s">
        <v>21</v>
      </c>
    </row>
    <row r="15" customFormat="false" ht="27.75" hidden="false" customHeight="true" outlineLevel="0" collapsed="false">
      <c r="B15" s="8" t="s">
        <v>22</v>
      </c>
      <c r="C15" s="9" t="n">
        <f aca="false">COUNTIFS(Accounts!$V$2:$V$201,"Yes",Accounts!$AA$2:$AA$201,"")</f>
        <v>0</v>
      </c>
      <c r="D15" s="9" t="n">
        <f aca="false">COUNTIFS('Service Principals'!$Y$2:$Y$201,"Yes",'Service Principals'!$AD$2:$AD$201,"")</f>
        <v>0</v>
      </c>
      <c r="E15" s="9" t="n">
        <f aca="false">COUNTIFS('Managed Identities'!$T$2:$T$201,"Yes",'Managed Identities'!$Y$2:$Y$201,"")</f>
        <v>0</v>
      </c>
      <c r="F15" s="7" t="s">
        <v>23</v>
      </c>
    </row>
    <row r="16" customFormat="false" ht="27.75" hidden="false" customHeight="true" outlineLevel="0" collapsed="false">
      <c r="B16" s="8" t="s">
        <v>24</v>
      </c>
      <c r="C16" s="9" t="n">
        <f aca="false">COUNTIFS(Accounts!$V$2:$V$201,"Yes",Accounts!$AE$2:$AE$201,"")</f>
        <v>0</v>
      </c>
      <c r="D16" s="9" t="n">
        <f aca="false">COUNTIFS('Service Principals'!$Y$2:$Y$201,"Yes",'Service Principals'!$AH$2:$AH$201,"")</f>
        <v>0</v>
      </c>
      <c r="E16" s="9" t="n">
        <f aca="false">COUNTIFS('Managed Identities'!$T$2:$T$201,"Yes",'Managed Identities'!$AC$2:$AC$201,"")</f>
        <v>0</v>
      </c>
      <c r="F16" s="7" t="s">
        <v>25</v>
      </c>
    </row>
    <row r="17" customFormat="false" ht="27.75" hidden="false" customHeight="true" outlineLevel="0" collapsed="false">
      <c r="B17" s="8" t="s">
        <v>26</v>
      </c>
      <c r="C17" s="9" t="n">
        <f aca="false">COUNTIF(Accounts!$W$2:$W$201,"*Direct*")</f>
        <v>0</v>
      </c>
      <c r="D17" s="9" t="n">
        <f aca="false">COUNTIF('Service Principals'!$Z$2:$Z$201,"*Direct*")</f>
        <v>0</v>
      </c>
      <c r="E17" s="9" t="n">
        <f aca="false">COUNTIF('Managed Identities'!$U$2:$U$201,"*Direct*")</f>
        <v>0</v>
      </c>
      <c r="F17" s="7" t="s">
        <v>27</v>
      </c>
    </row>
    <row r="19" customFormat="false" ht="15" hidden="false" customHeight="false" outlineLevel="0" collapsed="false">
      <c r="B19" s="3" t="s">
        <v>28</v>
      </c>
      <c r="C19" s="4" t="s">
        <v>3</v>
      </c>
      <c r="D19" s="4" t="s">
        <v>4</v>
      </c>
      <c r="E19" s="4" t="s">
        <v>5</v>
      </c>
      <c r="F19" s="3" t="s">
        <v>6</v>
      </c>
    </row>
    <row r="20" customFormat="false" ht="27.75" hidden="false" customHeight="true" outlineLevel="0" collapsed="false">
      <c r="B20" s="5" t="s">
        <v>29</v>
      </c>
      <c r="C20" s="6" t="n">
        <f aca="false">COUNTIF(Accounts!$T$2:$T$201,"&lt;&gt;")-COUNTIF(Accounts!$T$2:$T$201,"")</f>
        <v>0</v>
      </c>
      <c r="D20" s="6" t="n">
        <f aca="false">COUNTIF('Service Principals'!$W$2:$W$201,"&lt;&gt;")-COUNTIF('Service Principals'!$W$2:$W$201,"")</f>
        <v>1</v>
      </c>
      <c r="E20" s="6" t="n">
        <f aca="false">COUNTIF('Managed Identities'!$Q$2:$Q$201,"&lt;&gt;")-COUNTIF('Managed Identities'!$Q$2:$Q$201,"")</f>
        <v>1</v>
      </c>
      <c r="F20" s="7" t="s">
        <v>30</v>
      </c>
    </row>
    <row r="21" customFormat="false" ht="27.75" hidden="false" customHeight="true" outlineLevel="0" collapsed="false">
      <c r="B21" s="5" t="s">
        <v>31</v>
      </c>
      <c r="C21" s="6" t="n">
        <f aca="false">COUNTIF(Accounts!$T$2:$T$201,"Owner")+COUNTIF(Accounts!$T$2:$T$201,"User Access Administrator")</f>
        <v>0</v>
      </c>
      <c r="D21" s="6" t="n">
        <f aca="false">COUNTIF('Service Principals'!$W$2:$W$201,"Owner")+COUNTIF('Service Principals'!$W$2:$W$201,"User Access Administrator")</f>
        <v>0</v>
      </c>
      <c r="E21" s="6" t="n">
        <f aca="false">COUNTIF('Managed Identities'!$Q$2:$Q$201,"Owner")+COUNTIF('Managed Identities'!$Q$2:$Q$201,"User Access Administrator")</f>
        <v>0</v>
      </c>
      <c r="F21" s="7" t="s">
        <v>32</v>
      </c>
    </row>
    <row r="22" customFormat="false" ht="27.75" hidden="false" customHeight="true" outlineLevel="0" collapsed="false">
      <c r="B22" s="8" t="s">
        <v>33</v>
      </c>
      <c r="C22" s="9" t="n">
        <f aca="false">COUNTIF(Accounts!$U$2:$U$201,"Yes")</f>
        <v>0</v>
      </c>
      <c r="D22" s="9" t="n">
        <f aca="false">COUNTIF('Service Principals'!$X$2:$X$201,"Yes")</f>
        <v>0</v>
      </c>
      <c r="E22" s="9" t="n">
        <f aca="false">COUNTIF('Managed Identities'!$R$2:$R$201,"Yes")</f>
        <v>0</v>
      </c>
      <c r="F22" s="7" t="s">
        <v>34</v>
      </c>
    </row>
    <row r="23" customFormat="false" ht="27.75" hidden="false" customHeight="true" outlineLevel="0" collapsed="false">
      <c r="B23" s="5" t="s">
        <v>35</v>
      </c>
      <c r="C23" s="6" t="n">
        <f aca="false">COUNTIFS(Accounts!$V$2:$V$201,"Yes",Accounts!$U$2:$U$201,"Yes")</f>
        <v>0</v>
      </c>
      <c r="D23" s="6" t="n">
        <f aca="false">COUNTIFS('Service Principals'!$Y$2:$Y$201,"Yes",'Service Principals'!$X$2:$X$201,"Yes")</f>
        <v>0</v>
      </c>
      <c r="E23" s="6" t="n">
        <f aca="false">COUNTIFS('Managed Identities'!$T$2:$T$201,"Yes",'Managed Identities'!$R$2:$R$201,"Yes")</f>
        <v>0</v>
      </c>
      <c r="F23" s="7" t="s">
        <v>36</v>
      </c>
    </row>
    <row r="25" customFormat="false" ht="15" hidden="false" customHeight="false" outlineLevel="0" collapsed="false">
      <c r="B25" s="3" t="s">
        <v>37</v>
      </c>
      <c r="C25" s="4" t="s">
        <v>3</v>
      </c>
      <c r="D25" s="4" t="s">
        <v>4</v>
      </c>
      <c r="E25" s="4" t="s">
        <v>5</v>
      </c>
      <c r="F25" s="3" t="s">
        <v>6</v>
      </c>
    </row>
    <row r="26" customFormat="false" ht="27.75" hidden="false" customHeight="true" outlineLevel="0" collapsed="false">
      <c r="B26" s="5" t="s">
        <v>38</v>
      </c>
      <c r="C26" s="6" t="n">
        <f aca="false">COUNTIFS(Accounts!$C$2:$C$201,"&lt;&gt;",Accounts!$AF$2:$AF$201,"")+COUNTIF(Accounts!$AF$2:$AF$201,"UNASSIGNED - NEEDS OWNER")</f>
        <v>0</v>
      </c>
      <c r="D26" s="6" t="n">
        <f aca="false">COUNTIFS('Service Principals'!$C$2:$C$201,"&lt;&gt;",'Service Principals'!$AI$2:$AI$201,"")+COUNTIF('Service Principals'!$AI$2:$AI$201,"UNASSIGNED - NEEDS OWNER")</f>
        <v>0</v>
      </c>
      <c r="E26" s="6" t="n">
        <f aca="false">COUNTIFS('Managed Identities'!$C$2:$C$201,"&lt;&gt;",'Managed Identities'!$AD$2:$AD$201,"")+COUNTIF('Managed Identities'!$AD$2:$AD$201,"UNASSIGNED - NEEDS OWNER")</f>
        <v>0</v>
      </c>
      <c r="F26" s="7" t="s">
        <v>39</v>
      </c>
    </row>
    <row r="27" customFormat="false" ht="27.75" hidden="false" customHeight="true" outlineLevel="0" collapsed="false">
      <c r="B27" s="8" t="s">
        <v>40</v>
      </c>
      <c r="C27" s="9" t="n">
        <f aca="false">COUNTIFS(Accounts!$C$2:$C$201,"&lt;&gt;",Accounts!$AG$2:$AG$201,"")</f>
        <v>0</v>
      </c>
      <c r="D27" s="9" t="n">
        <f aca="false">COUNTIFS('Service Principals'!$C$2:$C$201,"&lt;&gt;",'Service Principals'!$AJ$2:$AJ$201,"")</f>
        <v>0</v>
      </c>
      <c r="E27" s="9" t="n">
        <f aca="false">COUNTIFS('Managed Identities'!$C$2:$C$201,"&lt;&gt;",'Managed Identities'!$AE$2:$AE$201,"")</f>
        <v>0</v>
      </c>
      <c r="F27" s="7" t="s">
        <v>41</v>
      </c>
    </row>
    <row r="28" customFormat="false" ht="27.75" hidden="false" customHeight="true" outlineLevel="0" collapsed="false">
      <c r="B28" s="8" t="s">
        <v>42</v>
      </c>
      <c r="C28" s="9" t="n">
        <f aca="false">COUNTIFS(Accounts!$C$2:$C$201,"&lt;&gt;",Accounts!$AI$2:$AI$201,"")</f>
        <v>0</v>
      </c>
      <c r="D28" s="9" t="n">
        <f aca="false">COUNTIFS('Service Principals'!$C$2:$C$201,"&lt;&gt;",'Service Principals'!$AL$2:$AL$201,"")</f>
        <v>0</v>
      </c>
      <c r="E28" s="9" t="n">
        <f aca="false">COUNTIFS('Managed Identities'!$C$2:$C$201,"&lt;&gt;",'Managed Identities'!$AG$2:$AG$201,"")</f>
        <v>0</v>
      </c>
      <c r="F28" s="7" t="s">
        <v>43</v>
      </c>
    </row>
    <row r="30" customFormat="false" ht="15" hidden="false" customHeight="false" outlineLevel="0" collapsed="false">
      <c r="B30" s="3" t="s">
        <v>44</v>
      </c>
      <c r="C30" s="4" t="s">
        <v>3</v>
      </c>
      <c r="D30" s="4" t="s">
        <v>4</v>
      </c>
      <c r="E30" s="4" t="s">
        <v>5</v>
      </c>
      <c r="F30" s="3" t="s">
        <v>6</v>
      </c>
    </row>
    <row r="31" customFormat="false" ht="27.75" hidden="false" customHeight="true" outlineLevel="0" collapsed="false">
      <c r="B31" s="8" t="s">
        <v>45</v>
      </c>
      <c r="C31" s="9" t="n">
        <f aca="false">COUNTIF(Accounts!$Q$2:$Q$201,"&gt;90")</f>
        <v>0</v>
      </c>
      <c r="D31" s="9" t="n">
        <f aca="false">COUNTIF('Service Principals'!$R$2:$R$201,"&gt;90")</f>
        <v>0</v>
      </c>
      <c r="E31" s="9" t="n">
        <f aca="false">COUNTIF('Managed Identities'!$I$2:$I$201,"&gt;90")</f>
        <v>0</v>
      </c>
      <c r="F31" s="7" t="s">
        <v>46</v>
      </c>
    </row>
    <row r="32" customFormat="false" ht="27.75" hidden="false" customHeight="true" outlineLevel="0" collapsed="false">
      <c r="B32" s="5" t="s">
        <v>47</v>
      </c>
      <c r="C32" s="6" t="n">
        <f aca="false">COUNTIF(Accounts!$AQ$2:$AQ$201,"OVERDUE")+COUNTIF(Accounts!$AQ$2:$AQ$201,"NOT REVIEWED")</f>
        <v>0</v>
      </c>
      <c r="D32" s="6" t="n">
        <f aca="false">COUNTIF('Service Principals'!$AT$2:$AT$201,"OVERDUE")+COUNTIF('Service Principals'!$AT$2:$AT$201,"NOT REVIEWED")</f>
        <v>0</v>
      </c>
      <c r="E32" s="6" t="n">
        <f aca="false">COUNTIF('Managed Identities'!$AO$2:$AO$201,"OVERDUE")+COUNTIF('Managed Identities'!$AO$2:$AO$201,"NOT REVIEWED")</f>
        <v>0</v>
      </c>
      <c r="F32" s="7" t="s">
        <v>48</v>
      </c>
    </row>
    <row r="33" customFormat="false" ht="27.75" hidden="false" customHeight="true" outlineLevel="0" collapsed="false">
      <c r="B33" s="8" t="s">
        <v>49</v>
      </c>
      <c r="C33" s="9" t="n">
        <f aca="false">COUNTIF(Accounts!$G$2:$G$201,"No")</f>
        <v>0</v>
      </c>
      <c r="D33" s="9" t="n">
        <f aca="false">COUNTIF('Service Principals'!$F$2:$F$201,"No")</f>
        <v>0</v>
      </c>
      <c r="E33" s="9" t="s">
        <v>50</v>
      </c>
      <c r="F33" s="7" t="s">
        <v>51</v>
      </c>
    </row>
    <row r="35" customFormat="false" ht="15" hidden="false" customHeight="false" outlineLevel="0" collapsed="false">
      <c r="B35" s="3" t="s">
        <v>52</v>
      </c>
      <c r="C35" s="4" t="s">
        <v>53</v>
      </c>
      <c r="D35" s="4"/>
      <c r="E35" s="4"/>
      <c r="F35" s="3" t="s">
        <v>6</v>
      </c>
    </row>
    <row r="36" customFormat="false" ht="27.75" hidden="false" customHeight="true" outlineLevel="0" collapsed="false">
      <c r="B36" s="8" t="s">
        <v>54</v>
      </c>
      <c r="C36" s="6" t="n">
        <f aca="false">COUNTIFS('Service Principals'!$S$2:$S$201,"&lt;=30",'Service Principals'!$S$2:$S$201,"&gt;=0")</f>
        <v>0</v>
      </c>
      <c r="F36" s="7" t="s">
        <v>55</v>
      </c>
    </row>
    <row r="37" customFormat="false" ht="27.75" hidden="false" customHeight="true" outlineLevel="0" collapsed="false">
      <c r="B37" s="8" t="s">
        <v>56</v>
      </c>
      <c r="C37" s="6" t="n">
        <f aca="false">COUNTIF('Service Principals'!$S$2:$S$201,"&lt;0")</f>
        <v>0</v>
      </c>
      <c r="F37" s="7" t="s">
        <v>57</v>
      </c>
    </row>
    <row r="38" customFormat="false" ht="27.75" hidden="false" customHeight="true" outlineLevel="0" collapsed="false">
      <c r="B38" s="8" t="s">
        <v>58</v>
      </c>
      <c r="C38" s="6" t="n">
        <f aca="false">COUNTIF('Service Principals'!$I$2:$I$201,"*Secret*")</f>
        <v>0</v>
      </c>
      <c r="F38" s="7" t="s">
        <v>59</v>
      </c>
    </row>
    <row r="39" customFormat="false" ht="27.75" hidden="false" customHeight="true" outlineLevel="0" collapsed="false">
      <c r="B39" s="8" t="s">
        <v>60</v>
      </c>
      <c r="C39" s="6" t="n">
        <f aca="false">COUNTIF('Service Principals'!$K$2:$K$201,"&gt;2")</f>
        <v>0</v>
      </c>
      <c r="F39" s="7" t="s">
        <v>61</v>
      </c>
    </row>
    <row r="40" customFormat="false" ht="27.75" hidden="false" customHeight="true" outlineLevel="0" collapsed="false">
      <c r="B40" s="8" t="s">
        <v>62</v>
      </c>
      <c r="C40" s="6" t="n">
        <f aca="false">COUNTIF('Service Principals'!$M$2:$M$201,"High")</f>
        <v>1</v>
      </c>
      <c r="F40" s="7" t="s">
        <v>63</v>
      </c>
    </row>
    <row r="41" customFormat="false" ht="27.75" hidden="false" customHeight="true" outlineLevel="0" collapsed="false">
      <c r="B41" s="8" t="s">
        <v>64</v>
      </c>
      <c r="C41" s="6" t="n">
        <f aca="false">COUNTIFS('Service Principals'!$C$2:$C$201,"&lt;&gt;",'Service Principals'!$P$2:$P$201,"")</f>
        <v>0</v>
      </c>
      <c r="F41" s="7" t="s">
        <v>65</v>
      </c>
    </row>
    <row r="42" customFormat="false" ht="27.75" hidden="false" customHeight="true" outlineLevel="0" collapsed="false">
      <c r="B42" s="8" t="s">
        <v>66</v>
      </c>
      <c r="C42" s="6" t="n">
        <f aca="false">COUNTIFS('Service Principals'!$E$2:$E$201,"Multi-tenant",'Service Principals'!$Y$2:$Y$201,"Yes")</f>
        <v>0</v>
      </c>
      <c r="F42" s="7" t="s">
        <v>67</v>
      </c>
    </row>
    <row r="43" customFormat="false" ht="27.75" hidden="false" customHeight="true" outlineLevel="0" collapsed="false">
      <c r="B43" s="8" t="s">
        <v>68</v>
      </c>
      <c r="C43" s="6" t="n">
        <f aca="false">COUNTIF('Managed Identities'!$S$2:$S$201,"Yes")</f>
        <v>0</v>
      </c>
      <c r="F43" s="7" t="s">
        <v>69</v>
      </c>
    </row>
    <row r="45" customFormat="false" ht="15" hidden="false" customHeight="false" outlineLevel="0" collapsed="false">
      <c r="B45" s="3" t="s">
        <v>70</v>
      </c>
      <c r="C45" s="4" t="s">
        <v>53</v>
      </c>
      <c r="D45" s="4"/>
      <c r="E45" s="4"/>
      <c r="F45" s="3" t="s">
        <v>6</v>
      </c>
    </row>
    <row r="46" customFormat="false" ht="27.75" hidden="false" customHeight="true" outlineLevel="0" collapsed="false">
      <c r="B46" s="8" t="s">
        <v>71</v>
      </c>
      <c r="C46" s="6" t="n">
        <f aca="false">COUNTIFS(Accounts!$L$2:$L$201,"&lt;&gt;None",Accounts!$L$2:$L$201,"&lt;&gt;",Accounts!$K$2:$K$201,"Not Registered")</f>
        <v>0</v>
      </c>
      <c r="F46" s="7" t="s">
        <v>72</v>
      </c>
    </row>
    <row r="47" customFormat="false" ht="27.75" hidden="false" customHeight="true" outlineLevel="0" collapsed="false">
      <c r="B47" s="8" t="s">
        <v>73</v>
      </c>
      <c r="C47" s="6" t="n">
        <f aca="false">COUNTIFS(Accounts!$L$2:$L$201,"&lt;&gt;None",Accounts!$L$2:$L$201,"&lt;&gt;")</f>
        <v>0</v>
      </c>
      <c r="F47" s="7" t="s">
        <v>74</v>
      </c>
    </row>
    <row r="48" customFormat="false" ht="27.75" hidden="false" customHeight="true" outlineLevel="0" collapsed="false">
      <c r="B48" s="8" t="s">
        <v>75</v>
      </c>
      <c r="C48" s="6" t="n">
        <f aca="false">COUNTIFS(Accounts!$L$2:$L$201,"None",Accounts!$M$2:$M$201,"&lt;&gt;None",Accounts!$M$2:$M$201,"&lt;&gt;")</f>
        <v>0</v>
      </c>
      <c r="F48" s="7" t="s">
        <v>76</v>
      </c>
    </row>
    <row r="49" customFormat="false" ht="27.75" hidden="false" customHeight="true" outlineLevel="0" collapsed="false">
      <c r="B49" s="8" t="s">
        <v>77</v>
      </c>
      <c r="C49" s="6" t="n">
        <f aca="false">COUNTIF(Accounts!$D$2:$D$201,"*Break-Glass*")</f>
        <v>0</v>
      </c>
      <c r="F49" s="7" t="s">
        <v>78</v>
      </c>
    </row>
    <row r="50" customFormat="false" ht="27.75" hidden="false" customHeight="true" outlineLevel="0" collapsed="false">
      <c r="B50" s="8" t="s">
        <v>79</v>
      </c>
      <c r="C50" s="6" t="n">
        <f aca="false">COUNTIFS(Accounts!$D$2:$D$201,"*Break-Glass*",Accounts!$V$2:$V$201,"No")</f>
        <v>0</v>
      </c>
      <c r="F50" s="7" t="s">
        <v>80</v>
      </c>
    </row>
    <row r="51" customFormat="false" ht="27.75" hidden="false" customHeight="true" outlineLevel="0" collapsed="false">
      <c r="B51" s="8" t="s">
        <v>81</v>
      </c>
      <c r="C51" s="6" t="n">
        <f aca="false">COUNTIFS('Service Principals'!$M$2:$M$201,"High",'Service Principals'!$P$2:$P$201,"")</f>
        <v>0</v>
      </c>
      <c r="F51" s="7" t="s">
        <v>82</v>
      </c>
    </row>
    <row r="52" customFormat="false" ht="27.75" hidden="false" customHeight="true" outlineLevel="0" collapsed="false">
      <c r="B52" s="8" t="s">
        <v>83</v>
      </c>
      <c r="C52" s="6" t="n">
        <f aca="false">COUNTIFS('Service Principals'!$D$2:$D$201,"*Third-party*",'Service Principals'!$M$2:$M$201,"High")</f>
        <v>0</v>
      </c>
      <c r="F52" s="7" t="s">
        <v>84</v>
      </c>
    </row>
    <row r="53" customFormat="false" ht="27.75" hidden="false" customHeight="true" outlineLevel="0" collapsed="false">
      <c r="B53" s="8" t="s">
        <v>85</v>
      </c>
      <c r="C53" s="6" t="n">
        <f aca="false">COUNTIFS(Accounts!$C$2:$C$201,"&lt;&gt;",Accounts!$R$2:$R$201,"&lt;&gt;Yes")</f>
        <v>1</v>
      </c>
      <c r="F53" s="7" t="s">
        <v>86</v>
      </c>
    </row>
    <row r="55" customFormat="false" ht="15" hidden="false" customHeight="false" outlineLevel="0" collapsed="false">
      <c r="B55" s="3" t="s">
        <v>87</v>
      </c>
      <c r="C55" s="4" t="s">
        <v>3</v>
      </c>
      <c r="D55" s="4" t="s">
        <v>4</v>
      </c>
      <c r="E55" s="4" t="s">
        <v>5</v>
      </c>
      <c r="F55" s="3" t="s">
        <v>6</v>
      </c>
    </row>
    <row r="56" customFormat="false" ht="27.75" hidden="false" customHeight="true" outlineLevel="0" collapsed="false">
      <c r="B56" s="8" t="s">
        <v>88</v>
      </c>
      <c r="C56" s="9" t="n">
        <f aca="false">COUNTIFS(Accounts!$V$2:$V$201,"Yes",Accounts!$Z$2:$Z$201,"&lt;&gt;",Accounts!$AA$2:$AA$201,"&lt;&gt;",Accounts!$AC$2:$AC$201,"&lt;&gt;",Accounts!$AE$2:$AE$201,"&lt;&gt;")</f>
        <v>1</v>
      </c>
      <c r="D56" s="9" t="n">
        <f aca="false">COUNTIFS('Service Principals'!$Y$2:$Y$201,"Yes",'Service Principals'!$AC$2:$AC$201,"&lt;&gt;",'Service Principals'!$AD$2:$AD$201,"&lt;&gt;",'Service Principals'!$AF$2:$AF$201,"&lt;&gt;",'Service Principals'!$AH$2:$AH$201,"&lt;&gt;")</f>
        <v>0</v>
      </c>
      <c r="E56" s="9" t="n">
        <f aca="false">COUNTIFS('Managed Identities'!$T$2:$T$201,"Yes",'Managed Identities'!$X$2:$X$201,"&lt;&gt;",'Managed Identities'!$Y$2:$Y$201,"&lt;&gt;",'Managed Identities'!$AA$2:$AA$201,"&lt;&gt;",'Managed Identities'!$AC$2:$AC$201,"&lt;&gt;")</f>
        <v>1</v>
      </c>
      <c r="F56" s="7" t="s">
        <v>89</v>
      </c>
    </row>
    <row r="57" customFormat="false" ht="27.75" hidden="false" customHeight="true" outlineLevel="0" collapsed="false">
      <c r="B57" s="5" t="s">
        <v>90</v>
      </c>
      <c r="C57" s="10" t="n">
        <f aca="false">IF(COUNTIF(Accounts!$V$2:$V$201,"Yes")=0,"n/a",COUNTIFS(Accounts!$V$2:$V$201,"Yes",Accounts!$Z$2:$Z$201,"&lt;&gt;",Accounts!$AA$2:$AA$201,"&lt;&gt;",Accounts!$AC$2:$AC$201,"&lt;&gt;",Accounts!$AE$2:$AE$201,"&lt;&gt;")/COUNTIF(Accounts!$V$2:$V$201,"Yes"))</f>
        <v>1</v>
      </c>
      <c r="D57" s="10" t="str">
        <f aca="false">IF(COUNTIF('Service Principals'!$Y$2:$Y$201,"Yes")=0,"n/a",COUNTIFS('Service Principals'!$Y$2:$Y$201,"Yes",'Service Principals'!$AC$2:$AC$201,"&lt;&gt;",'Service Principals'!$AD$2:$AD$201,"&lt;&gt;",'Service Principals'!$AF$2:$AF$201,"&lt;&gt;",'Service Principals'!$AH$2:$AH$201,"&lt;&gt;")/COUNTIF('Service Principals'!$Y$2:$Y$201,"Yes"))</f>
        <v>n/a</v>
      </c>
      <c r="E57" s="10" t="n">
        <f aca="false">IF(COUNTIF('Managed Identities'!$T$2:$T$201,"Yes")=0,"n/a",COUNTIFS('Managed Identities'!$T$2:$T$201,"Yes",'Managed Identities'!$X$2:$X$201,"&lt;&gt;",'Managed Identities'!$Y$2:$Y$201,"&lt;&gt;",'Managed Identities'!$AA$2:$AA$201,"&lt;&gt;",'Managed Identities'!$AC$2:$AC$201,"&lt;&gt;")/COUNTIF('Managed Identities'!$T$2:$T$201,"Yes"))</f>
        <v>1</v>
      </c>
      <c r="F57" s="7" t="s">
        <v>91</v>
      </c>
    </row>
    <row r="59" customFormat="false" ht="15" hidden="false" customHeight="false" outlineLevel="0" collapsed="false">
      <c r="B59" s="3" t="s">
        <v>92</v>
      </c>
      <c r="C59" s="4" t="s">
        <v>53</v>
      </c>
      <c r="D59" s="4"/>
      <c r="E59" s="4"/>
      <c r="F59" s="3" t="s">
        <v>6</v>
      </c>
    </row>
    <row r="60" customFormat="false" ht="27.75" hidden="false" customHeight="true" outlineLevel="0" collapsed="false">
      <c r="B60" s="8" t="s">
        <v>93</v>
      </c>
      <c r="C60" s="6" t="n">
        <f aca="false">COUNTA('CA Exclusion Map'!$A$2:$A$2001)</f>
        <v>2</v>
      </c>
      <c r="F60" s="7" t="s">
        <v>94</v>
      </c>
    </row>
    <row r="61" customFormat="false" ht="27.75" hidden="false" customHeight="true" outlineLevel="0" collapsed="false">
      <c r="B61" s="8" t="s">
        <v>95</v>
      </c>
      <c r="C61" s="11" t="str">
        <f aca="false">IF('CA Exclusion Map'!$I$2="","No snapshot loaded",'CA Exclusion Map'!$I$2)</f>
        <v>04/08/2026</v>
      </c>
      <c r="F61" s="7" t="s">
        <v>96</v>
      </c>
    </row>
    <row r="62" customFormat="false" ht="27.75" hidden="false" customHeight="true" outlineLevel="0" collapsed="false">
      <c r="B62" s="8" t="s">
        <v>97</v>
      </c>
      <c r="C62" s="6" t="n">
        <f aca="false">COUNTIF('CA Exclusion Map'!$J$2:$J$2001,"NOT IN INVENTORY")</f>
        <v>0</v>
      </c>
      <c r="F62" s="7" t="s">
        <v>98</v>
      </c>
    </row>
    <row r="63" customFormat="false" ht="27.75" hidden="false" customHeight="true" outlineLevel="0" collapsed="false">
      <c r="B63" s="8" t="s">
        <v>99</v>
      </c>
      <c r="C63" s="6" t="n">
        <f aca="false">COUNTA('Azure Resource Map'!$A$2:$A$2001)</f>
        <v>2</v>
      </c>
      <c r="F63" s="7" t="s">
        <v>100</v>
      </c>
    </row>
    <row r="64" customFormat="false" ht="27.75" hidden="false" customHeight="true" outlineLevel="0" collapsed="false">
      <c r="B64" s="8" t="s">
        <v>101</v>
      </c>
      <c r="C64" s="11" t="str">
        <f aca="false">IF('Azure Resource Map'!$O$2="","No snapshot loaded",'Azure Resource Map'!$O$2)</f>
        <v>04/08/2026</v>
      </c>
      <c r="F64" s="7"/>
    </row>
    <row r="65" customFormat="false" ht="27.75" hidden="false" customHeight="true" outlineLevel="0" collapsed="false">
      <c r="B65" s="8" t="s">
        <v>102</v>
      </c>
      <c r="C65" s="6" t="n">
        <f aca="false">COUNTIF('Azure Resource Map'!$P$2:$P$2001,"NOT IN INVENTORY")</f>
        <v>0</v>
      </c>
      <c r="F65" s="7" t="s">
        <v>103</v>
      </c>
    </row>
    <row r="67" customFormat="false" ht="15" hidden="false" customHeight="false" outlineLevel="0" collapsed="false">
      <c r="B67" s="12" t="s">
        <v>104</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D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s>
  <sheetData>
    <row r="1" customFormat="false" ht="19.7" hidden="false" customHeight="false" outlineLevel="0" collapsed="false">
      <c r="A1" s="1" t="s">
        <v>105</v>
      </c>
      <c r="B1" s="1"/>
      <c r="C1" s="1"/>
      <c r="D1" s="1"/>
    </row>
    <row r="2" customFormat="false" ht="15" hidden="false" customHeight="false" outlineLevel="0" collapsed="false">
      <c r="A2" s="13" t="s">
        <v>106</v>
      </c>
    </row>
    <row r="4" customFormat="false" ht="15" hidden="false" customHeight="false" outlineLevel="0" collapsed="false">
      <c r="A4" s="14" t="s">
        <v>107</v>
      </c>
    </row>
    <row r="5" customFormat="false" ht="15" hidden="false" customHeight="false" outlineLevel="0" collapsed="false">
      <c r="A5" s="15" t="s">
        <v>108</v>
      </c>
      <c r="B5" s="15"/>
      <c r="C5" s="15"/>
      <c r="D5" s="15"/>
    </row>
    <row r="6" customFormat="false" ht="15" hidden="false" customHeight="false" outlineLevel="0" collapsed="false">
      <c r="A6" s="16" t="s">
        <v>109</v>
      </c>
      <c r="B6" s="17" t="s">
        <v>110</v>
      </c>
    </row>
    <row r="7" customFormat="false" ht="15" hidden="false" customHeight="false" outlineLevel="0" collapsed="false">
      <c r="A7" s="18" t="s">
        <v>111</v>
      </c>
      <c r="B7" s="19" t="n">
        <f aca="false">IF($A7="","",COUNTIF(Accounts!$X$2:$X$201,"*"&amp;$A7&amp;"*")+COUNTIF('Service Principals'!$AA$2:$AA$201,"*"&amp;$A7&amp;"*")+COUNTIF('Managed Identities'!$V$2:$V$201,"*"&amp;$A7&amp;"*"))</f>
        <v>1</v>
      </c>
    </row>
    <row r="8" customFormat="false" ht="15" hidden="false" customHeight="false" outlineLevel="0" collapsed="false">
      <c r="A8" s="18" t="s">
        <v>112</v>
      </c>
      <c r="B8" s="19" t="n">
        <f aca="false">IF($A8="","",COUNTIF(Accounts!$X$2:$X$201,"*"&amp;$A8&amp;"*")+COUNTIF('Service Principals'!$AA$2:$AA$201,"*"&amp;$A8&amp;"*")+COUNTIF('Managed Identities'!$V$2:$V$201,"*"&amp;$A8&amp;"*"))</f>
        <v>1</v>
      </c>
    </row>
    <row r="9" customFormat="false" ht="15" hidden="false" customHeight="false" outlineLevel="0" collapsed="false">
      <c r="A9" s="18"/>
      <c r="B9" s="19" t="str">
        <f aca="false">IF($A9="","",COUNTIF(Accounts!$X$2:$X$201,"*"&amp;$A9&amp;"*")+COUNTIF('Service Principals'!$AA$2:$AA$201,"*"&amp;$A9&amp;"*")+COUNTIF('Managed Identities'!$V$2:$V$201,"*"&amp;$A9&amp;"*"))</f>
        <v/>
      </c>
    </row>
    <row r="10" customFormat="false" ht="15" hidden="false" customHeight="false" outlineLevel="0" collapsed="false">
      <c r="A10" s="18"/>
      <c r="B10" s="19" t="str">
        <f aca="false">IF($A10="","",COUNTIF(Accounts!$X$2:$X$201,"*"&amp;$A10&amp;"*")+COUNTIF('Service Principals'!$AA$2:$AA$201,"*"&amp;$A10&amp;"*")+COUNTIF('Managed Identities'!$V$2:$V$201,"*"&amp;$A10&amp;"*"))</f>
        <v/>
      </c>
    </row>
    <row r="11" customFormat="false" ht="15" hidden="false" customHeight="false" outlineLevel="0" collapsed="false">
      <c r="A11" s="18"/>
      <c r="B11" s="19" t="str">
        <f aca="false">IF($A11="","",COUNTIF(Accounts!$X$2:$X$201,"*"&amp;$A11&amp;"*")+COUNTIF('Service Principals'!$AA$2:$AA$201,"*"&amp;$A11&amp;"*")+COUNTIF('Managed Identities'!$V$2:$V$201,"*"&amp;$A11&amp;"*"))</f>
        <v/>
      </c>
    </row>
    <row r="12" customFormat="false" ht="15" hidden="false" customHeight="false" outlineLevel="0" collapsed="false">
      <c r="A12" s="18"/>
      <c r="B12" s="19" t="str">
        <f aca="false">IF($A12="","",COUNTIF(Accounts!$X$2:$X$201,"*"&amp;$A12&amp;"*")+COUNTIF('Service Principals'!$AA$2:$AA$201,"*"&amp;$A12&amp;"*")+COUNTIF('Managed Identities'!$V$2:$V$201,"*"&amp;$A12&amp;"*"))</f>
        <v/>
      </c>
    </row>
    <row r="13" customFormat="false" ht="15" hidden="false" customHeight="false" outlineLevel="0" collapsed="false">
      <c r="A13" s="18"/>
      <c r="B13" s="19" t="str">
        <f aca="false">IF($A13="","",COUNTIF(Accounts!$X$2:$X$201,"*"&amp;$A13&amp;"*")+COUNTIF('Service Principals'!$AA$2:$AA$201,"*"&amp;$A13&amp;"*")+COUNTIF('Managed Identities'!$V$2:$V$201,"*"&amp;$A13&amp;"*"))</f>
        <v/>
      </c>
    </row>
    <row r="14" customFormat="false" ht="15" hidden="false" customHeight="false" outlineLevel="0" collapsed="false">
      <c r="A14" s="18"/>
      <c r="B14" s="19" t="str">
        <f aca="false">IF($A14="","",COUNTIF(Accounts!$X$2:$X$201,"*"&amp;$A14&amp;"*")+COUNTIF('Service Principals'!$AA$2:$AA$201,"*"&amp;$A14&amp;"*")+COUNTIF('Managed Identities'!$V$2:$V$201,"*"&amp;$A14&amp;"*"))</f>
        <v/>
      </c>
    </row>
    <row r="15" customFormat="false" ht="15" hidden="false" customHeight="false" outlineLevel="0" collapsed="false">
      <c r="A15" s="18"/>
      <c r="B15" s="19" t="str">
        <f aca="false">IF($A15="","",COUNTIF(Accounts!$X$2:$X$201,"*"&amp;$A15&amp;"*")+COUNTIF('Service Principals'!$AA$2:$AA$201,"*"&amp;$A15&amp;"*")+COUNTIF('Managed Identities'!$V$2:$V$201,"*"&amp;$A15&amp;"*"))</f>
        <v/>
      </c>
    </row>
    <row r="16" customFormat="false" ht="15" hidden="false" customHeight="false" outlineLevel="0" collapsed="false">
      <c r="A16" s="18"/>
      <c r="B16" s="19" t="str">
        <f aca="false">IF($A16="","",COUNTIF(Accounts!$X$2:$X$201,"*"&amp;$A16&amp;"*")+COUNTIF('Service Principals'!$AA$2:$AA$201,"*"&amp;$A16&amp;"*")+COUNTIF('Managed Identities'!$V$2:$V$201,"*"&amp;$A16&amp;"*"))</f>
        <v/>
      </c>
    </row>
    <row r="17" customFormat="false" ht="15" hidden="false" customHeight="false" outlineLevel="0" collapsed="false">
      <c r="A17" s="18"/>
      <c r="B17" s="19" t="str">
        <f aca="false">IF($A17="","",COUNTIF(Accounts!$X$2:$X$201,"*"&amp;$A17&amp;"*")+COUNTIF('Service Principals'!$AA$2:$AA$201,"*"&amp;$A17&amp;"*")+COUNTIF('Managed Identities'!$V$2:$V$201,"*"&amp;$A17&amp;"*"))</f>
        <v/>
      </c>
    </row>
    <row r="18" customFormat="false" ht="15" hidden="false" customHeight="false" outlineLevel="0" collapsed="false">
      <c r="A18" s="18"/>
      <c r="B18" s="19" t="str">
        <f aca="false">IF($A18="","",COUNTIF(Accounts!$X$2:$X$201,"*"&amp;$A18&amp;"*")+COUNTIF('Service Principals'!$AA$2:$AA$201,"*"&amp;$A18&amp;"*")+COUNTIF('Managed Identities'!$V$2:$V$201,"*"&amp;$A18&amp;"*"))</f>
        <v/>
      </c>
    </row>
    <row r="19" customFormat="false" ht="15" hidden="false" customHeight="false" outlineLevel="0" collapsed="false">
      <c r="A19" s="18"/>
      <c r="B19" s="19" t="str">
        <f aca="false">IF($A19="","",COUNTIF(Accounts!$X$2:$X$201,"*"&amp;$A19&amp;"*")+COUNTIF('Service Principals'!$AA$2:$AA$201,"*"&amp;$A19&amp;"*")+COUNTIF('Managed Identities'!$V$2:$V$201,"*"&amp;$A19&amp;"*"))</f>
        <v/>
      </c>
    </row>
    <row r="20" customFormat="false" ht="15" hidden="false" customHeight="false" outlineLevel="0" collapsed="false">
      <c r="A20" s="18"/>
      <c r="B20" s="19" t="str">
        <f aca="false">IF($A20="","",COUNTIF(Accounts!$X$2:$X$201,"*"&amp;$A20&amp;"*")+COUNTIF('Service Principals'!$AA$2:$AA$201,"*"&amp;$A20&amp;"*")+COUNTIF('Managed Identities'!$V$2:$V$201,"*"&amp;$A20&amp;"*"))</f>
        <v/>
      </c>
    </row>
    <row r="21" customFormat="false" ht="15" hidden="false" customHeight="false" outlineLevel="0" collapsed="false">
      <c r="A21" s="18"/>
      <c r="B21" s="19" t="str">
        <f aca="false">IF($A21="","",COUNTIF(Accounts!$X$2:$X$201,"*"&amp;$A21&amp;"*")+COUNTIF('Service Principals'!$AA$2:$AA$201,"*"&amp;$A21&amp;"*")+COUNTIF('Managed Identities'!$V$2:$V$201,"*"&amp;$A21&amp;"*"))</f>
        <v/>
      </c>
    </row>
    <row r="24" customFormat="false" ht="15" hidden="false" customHeight="false" outlineLevel="0" collapsed="false">
      <c r="A24" s="14" t="s">
        <v>113</v>
      </c>
    </row>
    <row r="25" customFormat="false" ht="15" hidden="false" customHeight="false" outlineLevel="0" collapsed="false">
      <c r="A25" s="15" t="s">
        <v>114</v>
      </c>
      <c r="B25" s="15"/>
      <c r="C25" s="15"/>
      <c r="D25" s="15"/>
    </row>
    <row r="26" customFormat="false" ht="15" hidden="false" customHeight="false" outlineLevel="0" collapsed="false">
      <c r="A26" s="16" t="s">
        <v>115</v>
      </c>
      <c r="B26" s="17" t="s">
        <v>116</v>
      </c>
      <c r="C26" s="17" t="s">
        <v>117</v>
      </c>
    </row>
    <row r="27" customFormat="false" ht="15" hidden="false" customHeight="false" outlineLevel="0" collapsed="false">
      <c r="A27" s="8" t="s">
        <v>118</v>
      </c>
      <c r="B27" s="19" t="n">
        <f aca="false">COUNTIFS(Accounts!$D$2:$D$201,"*"&amp;$A27&amp;"*",Accounts!$V$2:$V$201,"Yes")</f>
        <v>0</v>
      </c>
      <c r="C27" s="19" t="n">
        <f aca="false">COUNTIFS(Accounts!$D$2:$D$201,"*"&amp;$A27&amp;"*",Accounts!$V$2:$V$201,"No")</f>
        <v>0</v>
      </c>
    </row>
    <row r="28" customFormat="false" ht="15" hidden="false" customHeight="false" outlineLevel="0" collapsed="false">
      <c r="A28" s="8" t="s">
        <v>119</v>
      </c>
      <c r="B28" s="19" t="n">
        <f aca="false">COUNTIFS(Accounts!$D$2:$D$201,"*"&amp;$A28&amp;"*",Accounts!$V$2:$V$201,"Yes")</f>
        <v>1</v>
      </c>
      <c r="C28" s="19" t="n">
        <f aca="false">COUNTIFS(Accounts!$D$2:$D$201,"*"&amp;$A28&amp;"*",Accounts!$V$2:$V$201,"No")</f>
        <v>0</v>
      </c>
    </row>
    <row r="29" customFormat="false" ht="15" hidden="false" customHeight="false" outlineLevel="0" collapsed="false">
      <c r="A29" s="8" t="s">
        <v>120</v>
      </c>
      <c r="B29" s="19" t="n">
        <f aca="false">COUNTIFS(Accounts!$D$2:$D$201,"*"&amp;$A29&amp;"*",Accounts!$V$2:$V$201,"Yes")</f>
        <v>0</v>
      </c>
      <c r="C29" s="19" t="n">
        <f aca="false">COUNTIFS(Accounts!$D$2:$D$201,"*"&amp;$A29&amp;"*",Accounts!$V$2:$V$201,"No")</f>
        <v>0</v>
      </c>
    </row>
    <row r="30" customFormat="false" ht="15" hidden="false" customHeight="false" outlineLevel="0" collapsed="false">
      <c r="A30" s="8" t="s">
        <v>121</v>
      </c>
      <c r="B30" s="19" t="n">
        <f aca="false">COUNTIFS(Accounts!$D$2:$D$201,"*"&amp;$A30&amp;"*",Accounts!$V$2:$V$201,"Yes")</f>
        <v>0</v>
      </c>
      <c r="C30" s="19" t="n">
        <f aca="false">COUNTIFS(Accounts!$D$2:$D$201,"*"&amp;$A30&amp;"*",Accounts!$V$2:$V$201,"No")</f>
        <v>0</v>
      </c>
    </row>
    <row r="31" customFormat="false" ht="15" hidden="false" customHeight="false" outlineLevel="0" collapsed="false">
      <c r="A31" s="8" t="s">
        <v>122</v>
      </c>
      <c r="B31" s="19" t="n">
        <f aca="false">COUNTIFS(Accounts!$D$2:$D$201,"*"&amp;$A31&amp;"*",Accounts!$V$2:$V$201,"Yes")</f>
        <v>0</v>
      </c>
      <c r="C31" s="19" t="n">
        <f aca="false">COUNTIFS(Accounts!$D$2:$D$201,"*"&amp;$A31&amp;"*",Accounts!$V$2:$V$201,"No")</f>
        <v>0</v>
      </c>
    </row>
    <row r="32" customFormat="false" ht="15" hidden="false" customHeight="false" outlineLevel="0" collapsed="false">
      <c r="A32" s="8" t="s">
        <v>123</v>
      </c>
      <c r="B32" s="19" t="n">
        <f aca="false">COUNTIFS(Accounts!$D$2:$D$201,"*"&amp;$A32&amp;"*",Accounts!$V$2:$V$201,"Yes")</f>
        <v>0</v>
      </c>
      <c r="C32" s="19" t="n">
        <f aca="false">COUNTIFS(Accounts!$D$2:$D$201,"*"&amp;$A32&amp;"*",Accounts!$V$2:$V$201,"No")</f>
        <v>0</v>
      </c>
    </row>
    <row r="33" customFormat="false" ht="15" hidden="false" customHeight="false" outlineLevel="0" collapsed="false">
      <c r="A33" s="8" t="s">
        <v>124</v>
      </c>
      <c r="B33" s="19" t="n">
        <f aca="false">COUNTIFS(Accounts!$D$2:$D$201,"*"&amp;$A33&amp;"*",Accounts!$V$2:$V$201,"Yes")</f>
        <v>0</v>
      </c>
      <c r="C33" s="19" t="n">
        <f aca="false">COUNTIFS(Accounts!$D$2:$D$201,"*"&amp;$A33&amp;"*",Accounts!$V$2:$V$201,"No")</f>
        <v>0</v>
      </c>
    </row>
    <row r="36" customFormat="false" ht="15" hidden="false" customHeight="false" outlineLevel="0" collapsed="false">
      <c r="A36" s="14" t="s">
        <v>125</v>
      </c>
    </row>
    <row r="37" customFormat="false" ht="15" hidden="false" customHeight="false" outlineLevel="0" collapsed="false">
      <c r="A37" s="15" t="s">
        <v>126</v>
      </c>
      <c r="B37" s="15"/>
      <c r="C37" s="15"/>
      <c r="D37" s="15"/>
    </row>
    <row r="38" customFormat="false" ht="15" hidden="false" customHeight="false" outlineLevel="0" collapsed="false">
      <c r="A38" s="16" t="s">
        <v>127</v>
      </c>
      <c r="B38" s="17" t="s">
        <v>128</v>
      </c>
    </row>
    <row r="39" customFormat="false" ht="15" hidden="false" customHeight="false" outlineLevel="0" collapsed="false">
      <c r="A39" s="8" t="s">
        <v>129</v>
      </c>
      <c r="B39" s="19" t="n">
        <f aca="false">COUNTIF('Service Principals'!$S$2:$S$201,"&lt;0")</f>
        <v>0</v>
      </c>
    </row>
    <row r="40" customFormat="false" ht="15" hidden="false" customHeight="false" outlineLevel="0" collapsed="false">
      <c r="A40" s="8" t="s">
        <v>130</v>
      </c>
      <c r="B40" s="19" t="n">
        <f aca="false">COUNTIFS('Service Principals'!$S$2:$S$201,"&gt;=0",'Service Principals'!$S$2:$S$201,"&lt;=30")</f>
        <v>0</v>
      </c>
    </row>
    <row r="41" customFormat="false" ht="15" hidden="false" customHeight="false" outlineLevel="0" collapsed="false">
      <c r="A41" s="8" t="s">
        <v>131</v>
      </c>
      <c r="B41" s="19" t="n">
        <f aca="false">COUNTIFS('Service Principals'!$S$2:$S$201,"&gt;30",'Service Principals'!$S$2:$S$201,"&lt;=60")</f>
        <v>1</v>
      </c>
    </row>
    <row r="42" customFormat="false" ht="15" hidden="false" customHeight="false" outlineLevel="0" collapsed="false">
      <c r="A42" s="8" t="s">
        <v>132</v>
      </c>
      <c r="B42" s="19" t="n">
        <f aca="false">COUNTIFS('Service Principals'!$S$2:$S$201,"&gt;60",'Service Principals'!$S$2:$S$201,"&lt;=90")</f>
        <v>0</v>
      </c>
    </row>
    <row r="43" customFormat="false" ht="15" hidden="false" customHeight="false" outlineLevel="0" collapsed="false">
      <c r="A43" s="8" t="s">
        <v>133</v>
      </c>
      <c r="B43" s="19" t="n">
        <f aca="false">COUNTIFS('Service Principals'!$S$2:$S$201,"&gt;90",'Service Principals'!$S$2:$S$201,"&lt;=180")</f>
        <v>0</v>
      </c>
    </row>
    <row r="44" customFormat="false" ht="15" hidden="false" customHeight="false" outlineLevel="0" collapsed="false">
      <c r="A44" s="8" t="s">
        <v>134</v>
      </c>
      <c r="B44" s="19" t="n">
        <f aca="false">COUNTIFS('Service Principals'!$S$2:$S$201,"&gt;180",'Service Principals'!$S$2:$S$201,"&lt;=365")</f>
        <v>0</v>
      </c>
    </row>
    <row r="45" customFormat="false" ht="15" hidden="false" customHeight="false" outlineLevel="0" collapsed="false">
      <c r="A45" s="8" t="s">
        <v>135</v>
      </c>
      <c r="B45" s="19" t="n">
        <f aca="false">COUNTIF('Service Principals'!$S$2:$S$201,"&gt;365")</f>
        <v>0</v>
      </c>
    </row>
    <row r="48" customFormat="false" ht="15" hidden="false" customHeight="false" outlineLevel="0" collapsed="false">
      <c r="A48" s="14" t="s">
        <v>136</v>
      </c>
    </row>
    <row r="49" customFormat="false" ht="15" hidden="false" customHeight="false" outlineLevel="0" collapsed="false">
      <c r="A49" s="15" t="s">
        <v>137</v>
      </c>
      <c r="B49" s="15"/>
      <c r="C49" s="15"/>
      <c r="D49" s="15"/>
    </row>
    <row r="50" customFormat="false" ht="15" hidden="false" customHeight="false" outlineLevel="0" collapsed="false">
      <c r="A50" s="16" t="s">
        <v>138</v>
      </c>
      <c r="B50" s="17" t="s">
        <v>110</v>
      </c>
    </row>
    <row r="51" customFormat="false" ht="15" hidden="false" customHeight="false" outlineLevel="0" collapsed="false">
      <c r="A51" s="8" t="s">
        <v>139</v>
      </c>
      <c r="B51" s="19" t="n">
        <f aca="false">COUNTIFS(Accounts!$Q$2:$Q$201,"&gt;=0",Accounts!$Q$2:$Q$201,"&lt;=30")+COUNTIFS('Service Principals'!$R$2:$R$201,"&gt;=0",'Service Principals'!$R$2:$R$201,"&lt;=30")+COUNTIFS('Managed Identities'!$I$2:$I$201,"&gt;=0",'Managed Identities'!$I$2:$I$201,"&lt;=30")</f>
        <v>3</v>
      </c>
    </row>
    <row r="52" customFormat="false" ht="15" hidden="false" customHeight="false" outlineLevel="0" collapsed="false">
      <c r="A52" s="8" t="s">
        <v>140</v>
      </c>
      <c r="B52" s="19" t="n">
        <f aca="false">COUNTIFS(Accounts!$Q$2:$Q$201,"&gt;=31",Accounts!$Q$2:$Q$201,"&lt;=90")+COUNTIFS('Service Principals'!$R$2:$R$201,"&gt;=31",'Service Principals'!$R$2:$R$201,"&lt;=90")+COUNTIFS('Managed Identities'!$I$2:$I$201,"&gt;=31",'Managed Identities'!$I$2:$I$201,"&lt;=90")</f>
        <v>0</v>
      </c>
    </row>
    <row r="53" customFormat="false" ht="15" hidden="false" customHeight="false" outlineLevel="0" collapsed="false">
      <c r="A53" s="8" t="s">
        <v>141</v>
      </c>
      <c r="B53" s="19" t="n">
        <f aca="false">COUNTIFS(Accounts!$Q$2:$Q$201,"&gt;=91",Accounts!$Q$2:$Q$201,"&lt;=180")+COUNTIFS('Service Principals'!$R$2:$R$201,"&gt;=91",'Service Principals'!$R$2:$R$201,"&lt;=180")+COUNTIFS('Managed Identities'!$I$2:$I$201,"&gt;=91",'Managed Identities'!$I$2:$I$201,"&lt;=180")</f>
        <v>0</v>
      </c>
    </row>
    <row r="54" customFormat="false" ht="15" hidden="false" customHeight="false" outlineLevel="0" collapsed="false">
      <c r="A54" s="8" t="s">
        <v>142</v>
      </c>
      <c r="B54" s="19" t="n">
        <f aca="false">COUNTIFS(Accounts!$Q$2:$Q$201,"&gt;=181",Accounts!$Q$2:$Q$201,"&lt;=365")+COUNTIFS('Service Principals'!$R$2:$R$201,"&gt;=181",'Service Principals'!$R$2:$R$201,"&lt;=365")+COUNTIFS('Managed Identities'!$I$2:$I$201,"&gt;=181",'Managed Identities'!$I$2:$I$201,"&lt;=365")</f>
        <v>0</v>
      </c>
    </row>
    <row r="55" customFormat="false" ht="15" hidden="false" customHeight="false" outlineLevel="0" collapsed="false">
      <c r="A55" s="8" t="s">
        <v>143</v>
      </c>
      <c r="B55" s="19" t="n">
        <f aca="false">COUNTIF(Accounts!$Q$2:$Q$201,"&gt;365")+COUNTIF('Service Principals'!$R$2:$R$201,"&gt;365")+COUNTIF('Managed Identities'!$I$2:$I$201,"&gt;365")</f>
        <v>0</v>
      </c>
    </row>
    <row r="56" customFormat="false" ht="15" hidden="false" customHeight="false" outlineLevel="0" collapsed="false">
      <c r="A56" s="8" t="s">
        <v>144</v>
      </c>
      <c r="B56" s="19" t="n">
        <f aca="false">COUNTIFS(Accounts!$C$2:$C$201,"&lt;&gt;",Accounts!$Q$2:$Q$201,"")+COUNTIFS('Service Principals'!$C$2:$C$201,"&lt;&gt;",'Service Principals'!$R$2:$R$201,"")+COUNTIFS('Managed Identities'!$C$2:$C$201,"&lt;&gt;",'Managed Identities'!$I$2:$I$201,"")</f>
        <v>0</v>
      </c>
    </row>
  </sheetData>
  <mergeCells count="5">
    <mergeCell ref="A1:D1"/>
    <mergeCell ref="A5:D5"/>
    <mergeCell ref="A25:D25"/>
    <mergeCell ref="A37:D37"/>
    <mergeCell ref="A49:D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B2:B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2"/>
  </cols>
  <sheetData>
    <row r="2" customFormat="false" ht="25.5" hidden="false" customHeight="true" outlineLevel="0" collapsed="false">
      <c r="B2" s="20" t="s">
        <v>145</v>
      </c>
    </row>
    <row r="4" customFormat="false" ht="25.5" hidden="false" customHeight="true" outlineLevel="0" collapsed="false">
      <c r="B4" s="21" t="s">
        <v>146</v>
      </c>
    </row>
    <row r="6" customFormat="false" ht="24" hidden="false" customHeight="true" outlineLevel="0" collapsed="false">
      <c r="B6" s="22" t="s">
        <v>147</v>
      </c>
    </row>
    <row r="8" customFormat="false" ht="25.5" hidden="false" customHeight="true" outlineLevel="0" collapsed="false">
      <c r="B8" s="21" t="s">
        <v>148</v>
      </c>
    </row>
    <row r="10" customFormat="false" ht="25.5" hidden="false" customHeight="true" outlineLevel="0" collapsed="false">
      <c r="B10" s="21" t="s">
        <v>149</v>
      </c>
    </row>
    <row r="12" customFormat="false" ht="25.5" hidden="false" customHeight="true" outlineLevel="0" collapsed="false">
      <c r="B12" s="21" t="s">
        <v>150</v>
      </c>
    </row>
    <row r="14" customFormat="false" ht="25.5" hidden="false" customHeight="true" outlineLevel="0" collapsed="false">
      <c r="B14" s="21" t="s">
        <v>151</v>
      </c>
    </row>
    <row r="16" customFormat="false" ht="24" hidden="false" customHeight="true" outlineLevel="0" collapsed="false">
      <c r="B16" s="22" t="s">
        <v>152</v>
      </c>
    </row>
    <row r="18" customFormat="false" ht="15.75" hidden="false" customHeight="true" outlineLevel="0" collapsed="false">
      <c r="B18" s="21" t="s">
        <v>153</v>
      </c>
    </row>
    <row r="20" customFormat="false" ht="15.75" hidden="false" customHeight="true" outlineLevel="0" collapsed="false">
      <c r="B20" s="21" t="s">
        <v>154</v>
      </c>
    </row>
    <row r="22" customFormat="false" ht="15.75" hidden="false" customHeight="true" outlineLevel="0" collapsed="false">
      <c r="B22" s="21" t="s">
        <v>155</v>
      </c>
    </row>
    <row r="24" customFormat="false" ht="39" hidden="false" customHeight="true" outlineLevel="0" collapsed="false">
      <c r="B24" s="21" t="s">
        <v>156</v>
      </c>
    </row>
    <row r="26" customFormat="false" ht="15.75" hidden="false" customHeight="true" outlineLevel="0" collapsed="false">
      <c r="B26" s="21" t="s">
        <v>157</v>
      </c>
    </row>
    <row r="28" customFormat="false" ht="24" hidden="false" customHeight="true" outlineLevel="0" collapsed="false">
      <c r="B28" s="22" t="s">
        <v>158</v>
      </c>
    </row>
    <row r="30" customFormat="false" ht="15.75" hidden="false" customHeight="true" outlineLevel="0" collapsed="false">
      <c r="B30" s="21" t="s">
        <v>159</v>
      </c>
    </row>
    <row r="32" customFormat="false" ht="15.75" hidden="false" customHeight="true" outlineLevel="0" collapsed="false">
      <c r="B32" s="21" t="s">
        <v>160</v>
      </c>
    </row>
    <row r="34" customFormat="false" ht="15.75" hidden="false" customHeight="true" outlineLevel="0" collapsed="false">
      <c r="B34" s="21" t="s">
        <v>161</v>
      </c>
    </row>
    <row r="36" customFormat="false" ht="25.5" hidden="false" customHeight="true" outlineLevel="0" collapsed="false">
      <c r="B36" s="21" t="s">
        <v>162</v>
      </c>
    </row>
    <row r="38" customFormat="false" ht="24" hidden="false" customHeight="true" outlineLevel="0" collapsed="false">
      <c r="B38" s="22" t="s">
        <v>163</v>
      </c>
    </row>
    <row r="40" customFormat="false" ht="39" hidden="false" customHeight="true" outlineLevel="0" collapsed="false">
      <c r="B40" s="21" t="s">
        <v>164</v>
      </c>
    </row>
    <row r="42" customFormat="false" ht="39" hidden="false" customHeight="true" outlineLevel="0" collapsed="false">
      <c r="B42" s="21" t="s">
        <v>165</v>
      </c>
    </row>
    <row r="44" customFormat="false" ht="39" hidden="false" customHeight="true" outlineLevel="0" collapsed="false">
      <c r="B44" s="21" t="s">
        <v>166</v>
      </c>
    </row>
    <row r="46" customFormat="false" ht="24" hidden="false" customHeight="true" outlineLevel="0" collapsed="false">
      <c r="B46" s="22" t="s">
        <v>167</v>
      </c>
    </row>
    <row r="48" customFormat="false" ht="51.75" hidden="false" customHeight="true" outlineLevel="0" collapsed="false">
      <c r="B48" s="21" t="s">
        <v>168</v>
      </c>
    </row>
    <row r="50" customFormat="false" ht="25.5" hidden="false" customHeight="true" outlineLevel="0" collapsed="false">
      <c r="B50" s="21" t="s">
        <v>169</v>
      </c>
    </row>
    <row r="52" customFormat="false" ht="24" hidden="false" customHeight="true" outlineLevel="0" collapsed="false">
      <c r="B52" s="22" t="s">
        <v>170</v>
      </c>
    </row>
    <row r="54" customFormat="false" ht="51.75" hidden="false" customHeight="true" outlineLevel="0" collapsed="false">
      <c r="B54" s="21" t="s">
        <v>171</v>
      </c>
    </row>
    <row r="56" customFormat="false" ht="39" hidden="false" customHeight="true" outlineLevel="0" collapsed="false">
      <c r="B56" s="21" t="s">
        <v>172</v>
      </c>
    </row>
    <row r="58" customFormat="false" ht="39" hidden="false" customHeight="true" outlineLevel="0" collapsed="false">
      <c r="B58" s="21" t="s">
        <v>173</v>
      </c>
    </row>
    <row r="60" customFormat="false" ht="51.75" hidden="false" customHeight="true" outlineLevel="0" collapsed="false">
      <c r="B60" s="21" t="s">
        <v>174</v>
      </c>
    </row>
    <row r="62" customFormat="false" ht="24" hidden="false" customHeight="true" outlineLevel="0" collapsed="false">
      <c r="B62" s="22" t="s">
        <v>175</v>
      </c>
    </row>
    <row r="64" customFormat="false" ht="39" hidden="false" customHeight="true" outlineLevel="0" collapsed="false">
      <c r="B64" s="21" t="s">
        <v>176</v>
      </c>
    </row>
    <row r="66" customFormat="false" ht="39" hidden="false" customHeight="true" outlineLevel="0" collapsed="false">
      <c r="B66" s="21" t="s">
        <v>177</v>
      </c>
    </row>
    <row r="68" customFormat="false" ht="24" hidden="false" customHeight="true" outlineLevel="0" collapsed="false">
      <c r="B68" s="22" t="s">
        <v>178</v>
      </c>
    </row>
    <row r="70" customFormat="false" ht="25.5" hidden="false" customHeight="true" outlineLevel="0" collapsed="false">
      <c r="B70" s="21" t="s">
        <v>179</v>
      </c>
    </row>
    <row r="72" customFormat="false" ht="25.5" hidden="false" customHeight="true" outlineLevel="0" collapsed="false">
      <c r="B72" s="21" t="s">
        <v>180</v>
      </c>
    </row>
    <row r="74" customFormat="false" ht="39" hidden="false" customHeight="true" outlineLevel="0" collapsed="false">
      <c r="B74" s="21"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R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38"/>
    <col collapsed="false" customWidth="true" hidden="false" outlineLevel="0" max="4" min="4" style="0" width="26"/>
    <col collapsed="false" customWidth="true" hidden="false" outlineLevel="0" max="5" min="5" style="0" width="12"/>
    <col collapsed="false" customWidth="true" hidden="false" outlineLevel="0" max="6" min="6" style="0" width="16"/>
    <col collapsed="false" customWidth="true" hidden="false" outlineLevel="0" max="8" min="7" style="0" width="14"/>
    <col collapsed="false" customWidth="true" hidden="false" outlineLevel="0" max="9" min="9" style="0" width="17"/>
    <col collapsed="false" customWidth="true" hidden="false" outlineLevel="0" max="10" min="10" style="0" width="18"/>
    <col collapsed="false" customWidth="true" hidden="false" outlineLevel="0" max="11" min="11" style="0" width="22"/>
    <col collapsed="false" customWidth="true" hidden="false" outlineLevel="0" max="13" min="12" style="0" width="30"/>
    <col collapsed="false" customWidth="true" hidden="false" outlineLevel="0" max="14" min="14" style="0" width="22"/>
    <col collapsed="false" customWidth="true" hidden="false" outlineLevel="0" max="15" min="15" style="0" width="20"/>
    <col collapsed="false" customWidth="true" hidden="false" outlineLevel="0" max="16" min="16" style="0" width="26"/>
    <col collapsed="false" customWidth="true" hidden="false" outlineLevel="0" max="18" min="17" style="0" width="15"/>
    <col collapsed="false" customWidth="true" hidden="false" outlineLevel="0" max="19" min="19" style="0" width="34"/>
    <col collapsed="false" customWidth="true" hidden="false" outlineLevel="0" max="20" min="20" style="0" width="20"/>
    <col collapsed="false" customWidth="true" hidden="false" outlineLevel="0" max="21" min="21" style="0" width="15"/>
    <col collapsed="false" customWidth="true" hidden="false" outlineLevel="0" max="22" min="22" style="0" width="14"/>
    <col collapsed="false" customWidth="true" hidden="false" outlineLevel="0" max="23" min="23" style="0" width="22"/>
    <col collapsed="false" customWidth="true" hidden="false" outlineLevel="0" max="24" min="24" style="0" width="26"/>
    <col collapsed="false" customWidth="true" hidden="false" outlineLevel="0" max="26" min="25" style="0" width="34"/>
    <col collapsed="false" customWidth="true" hidden="false" outlineLevel="0" max="27" min="27" style="0" width="20"/>
    <col collapsed="false" customWidth="true" hidden="false" outlineLevel="0" max="30" min="28" style="0" width="16"/>
    <col collapsed="false" customWidth="true" hidden="false" outlineLevel="0" max="31" min="31" style="0" width="30"/>
    <col collapsed="false" customWidth="true" hidden="false" outlineLevel="0" max="32" min="32" style="0" width="26"/>
    <col collapsed="false" customWidth="true" hidden="false" outlineLevel="0" max="33" min="33" style="0" width="20"/>
    <col collapsed="false" customWidth="true" hidden="false" outlineLevel="0" max="34" min="34" style="0" width="26"/>
    <col collapsed="false" customWidth="true" hidden="false" outlineLevel="0" max="35" min="35" style="0" width="22"/>
    <col collapsed="false" customWidth="true" hidden="false" outlineLevel="0" max="36" min="36" style="0" width="16"/>
    <col collapsed="false" customWidth="true" hidden="false" outlineLevel="0" max="38" min="37" style="0" width="18"/>
    <col collapsed="false" customWidth="true" hidden="false" outlineLevel="0" max="39" min="39" style="0" width="14"/>
    <col collapsed="false" customWidth="true" hidden="false" outlineLevel="0" max="40" min="40" style="0" width="18"/>
    <col collapsed="false" customWidth="true" hidden="false" outlineLevel="0" max="41" min="41" style="0" width="24"/>
    <col collapsed="false" customWidth="true" hidden="false" outlineLevel="0" max="42" min="42" style="0" width="14"/>
    <col collapsed="false" customWidth="true" hidden="false" outlineLevel="0" max="43" min="43" style="0" width="16"/>
    <col collapsed="false" customWidth="true" hidden="false" outlineLevel="0" max="44" min="44" style="0" width="40"/>
  </cols>
  <sheetData>
    <row r="1" customFormat="false" ht="48" hidden="false" customHeight="true" outlineLevel="0" collapsed="false">
      <c r="A1" s="23" t="s">
        <v>182</v>
      </c>
      <c r="B1" s="23" t="s">
        <v>183</v>
      </c>
      <c r="C1" s="23" t="s">
        <v>184</v>
      </c>
      <c r="D1" s="23" t="s">
        <v>185</v>
      </c>
      <c r="E1" s="23" t="s">
        <v>186</v>
      </c>
      <c r="F1" s="23" t="s">
        <v>187</v>
      </c>
      <c r="G1" s="23" t="s">
        <v>188</v>
      </c>
      <c r="H1" s="23" t="s">
        <v>189</v>
      </c>
      <c r="I1" s="23" t="s">
        <v>190</v>
      </c>
      <c r="J1" s="23" t="s">
        <v>191</v>
      </c>
      <c r="K1" s="23" t="s">
        <v>192</v>
      </c>
      <c r="L1" s="23" t="s">
        <v>193</v>
      </c>
      <c r="M1" s="23" t="s">
        <v>194</v>
      </c>
      <c r="N1" s="23" t="s">
        <v>195</v>
      </c>
      <c r="O1" s="23" t="s">
        <v>196</v>
      </c>
      <c r="P1" s="23" t="s">
        <v>197</v>
      </c>
      <c r="Q1" s="24" t="s">
        <v>198</v>
      </c>
      <c r="R1" s="25" t="s">
        <v>199</v>
      </c>
      <c r="S1" s="26" t="s">
        <v>200</v>
      </c>
      <c r="T1" s="26" t="s">
        <v>201</v>
      </c>
      <c r="U1" s="26" t="s">
        <v>202</v>
      </c>
      <c r="V1" s="24" t="s">
        <v>203</v>
      </c>
      <c r="W1" s="24" t="s">
        <v>204</v>
      </c>
      <c r="X1" s="24" t="s">
        <v>205</v>
      </c>
      <c r="Y1" s="24" t="s">
        <v>206</v>
      </c>
      <c r="Z1" s="27" t="s">
        <v>207</v>
      </c>
      <c r="AA1" s="27" t="s">
        <v>208</v>
      </c>
      <c r="AB1" s="27" t="s">
        <v>209</v>
      </c>
      <c r="AC1" s="27" t="s">
        <v>210</v>
      </c>
      <c r="AD1" s="24" t="s">
        <v>211</v>
      </c>
      <c r="AE1" s="27" t="s">
        <v>212</v>
      </c>
      <c r="AF1" s="28" t="s">
        <v>213</v>
      </c>
      <c r="AG1" s="28" t="s">
        <v>214</v>
      </c>
      <c r="AH1" s="28" t="s">
        <v>215</v>
      </c>
      <c r="AI1" s="28" t="s">
        <v>216</v>
      </c>
      <c r="AJ1" s="28" t="s">
        <v>217</v>
      </c>
      <c r="AK1" s="28" t="s">
        <v>218</v>
      </c>
      <c r="AL1" s="28" t="s">
        <v>219</v>
      </c>
      <c r="AM1" s="25" t="s">
        <v>220</v>
      </c>
      <c r="AN1" s="25" t="s">
        <v>221</v>
      </c>
      <c r="AO1" s="25" t="s">
        <v>222</v>
      </c>
      <c r="AP1" s="24" t="s">
        <v>223</v>
      </c>
      <c r="AQ1" s="24" t="s">
        <v>224</v>
      </c>
      <c r="AR1" s="25" t="s">
        <v>225</v>
      </c>
    </row>
    <row r="2" customFormat="false" ht="35.05" hidden="false" customHeight="false" outlineLevel="0" collapsed="false">
      <c r="A2" s="29" t="s">
        <v>226</v>
      </c>
      <c r="B2" s="29" t="s">
        <v>227</v>
      </c>
      <c r="C2" s="29" t="s">
        <v>228</v>
      </c>
      <c r="D2" s="29" t="s">
        <v>229</v>
      </c>
      <c r="E2" s="30" t="s">
        <v>230</v>
      </c>
      <c r="F2" s="30" t="s">
        <v>231</v>
      </c>
      <c r="G2" s="30" t="s">
        <v>232</v>
      </c>
      <c r="H2" s="31" t="n">
        <v>44999</v>
      </c>
      <c r="I2" s="31"/>
      <c r="J2" s="31" t="n">
        <v>46234</v>
      </c>
      <c r="K2" s="30" t="s">
        <v>233</v>
      </c>
      <c r="L2" s="29" t="s">
        <v>234</v>
      </c>
      <c r="M2" s="29" t="s">
        <v>234</v>
      </c>
      <c r="N2" s="30" t="s">
        <v>235</v>
      </c>
      <c r="O2" s="30" t="s">
        <v>236</v>
      </c>
      <c r="P2" s="29" t="s">
        <v>237</v>
      </c>
      <c r="Q2" s="32" t="n">
        <f aca="true">IF(J2="","",TODAY()-J2)</f>
        <v>5</v>
      </c>
      <c r="R2" s="30"/>
      <c r="S2" s="33" t="str">
        <f aca="false">IFERROR(INDEX('Azure Resource Map'!$D$2:$D$2001,MATCH($C2,'Azure Resource Map'!$A$2:$A$2001,0)),"")</f>
        <v/>
      </c>
      <c r="T2" s="34" t="str">
        <f aca="false">IFERROR(INDEX('Azure Resource Map'!$E$2:$E$2001,MATCH($C2,'Azure Resource Map'!$A$2:$A$2001,0)),"")</f>
        <v/>
      </c>
      <c r="U2" s="34" t="str">
        <f aca="false">IFERROR(INDEX('Azure Resource Map'!$F$2:$F$2001,MATCH($C2,'Azure Resource Map'!$A$2:$A$2001,0)),"")</f>
        <v/>
      </c>
      <c r="V2" s="34" t="str">
        <f aca="false">IF($C2="","",IF(ISNUMBER(MATCH($C2,'CA Exclusion Map'!$A$2:$A$2001,0)),"Yes","No"))</f>
        <v>Yes</v>
      </c>
      <c r="W2" s="34" t="str">
        <f aca="false">IFERROR(INDEX('CA Exclusion Map'!$D$2:$D$2001,MATCH($C2,'CA Exclusion Map'!$A$2:$A$2001,0)),"")</f>
        <v>Group membership</v>
      </c>
      <c r="X2" s="33" t="str">
        <f aca="false">IFERROR(INDEX('CA Exclusion Map'!$E$2:$E$2001,MATCH($C2,'CA Exclusion Map'!$A$2:$A$2001,0)),"")</f>
        <v>CA-Excl-ServiceAccounts</v>
      </c>
      <c r="Y2" s="33" t="str">
        <f aca="false">IFERROR(INDEX('CA Exclusion Map'!$F$2:$F$2001,MATCH($C2,'CA Exclusion Map'!$A$2:$A$2001,0)),"")</f>
        <v>CA001-Require MFA All Users; CA003-Require Compliant Device</v>
      </c>
      <c r="Z2" s="29" t="s">
        <v>238</v>
      </c>
      <c r="AA2" s="30" t="s">
        <v>239</v>
      </c>
      <c r="AB2" s="31" t="n">
        <v>46063</v>
      </c>
      <c r="AC2" s="31" t="n">
        <v>46356</v>
      </c>
      <c r="AD2" s="34" t="str">
        <f aca="true">IF(V2="","",IF(V2&lt;&gt;"Yes","N/A",IF(AC2="","NO EXPIRY SET",IF(TODAY()&gt;AC2,"EXPIRED",IF(AC2-TODAY()&lt;=30,"Expiring Soon","Active")))))</f>
        <v>Active</v>
      </c>
      <c r="AE2" s="29" t="s">
        <v>240</v>
      </c>
      <c r="AF2" s="29" t="s">
        <v>241</v>
      </c>
      <c r="AG2" s="30" t="s">
        <v>236</v>
      </c>
      <c r="AH2" s="29" t="s">
        <v>237</v>
      </c>
      <c r="AI2" s="30" t="s">
        <v>242</v>
      </c>
      <c r="AJ2" s="30" t="s">
        <v>243</v>
      </c>
      <c r="AK2" s="30" t="s">
        <v>9</v>
      </c>
      <c r="AL2" s="30" t="s">
        <v>244</v>
      </c>
      <c r="AM2" s="31" t="n">
        <v>46188</v>
      </c>
      <c r="AN2" s="30" t="s">
        <v>245</v>
      </c>
      <c r="AO2" s="30" t="s">
        <v>246</v>
      </c>
      <c r="AP2" s="35" t="n">
        <f aca="false">IF(AM2="","",AM2+90)</f>
        <v>46278</v>
      </c>
      <c r="AQ2" s="34" t="str">
        <f aca="true">IF(C2="","",IF(AM2="","NOT REVIEWED",IF(TODAY()&gt;AP2,"OVERDUE",IF(AP2-TODAY()&lt;=14,"Due Soon","Current"))))</f>
        <v>Current</v>
      </c>
      <c r="AR2" s="29" t="s">
        <v>247</v>
      </c>
    </row>
    <row r="3" customFormat="false" ht="15" hidden="false" customHeight="false" outlineLevel="0" collapsed="false">
      <c r="A3" s="36"/>
      <c r="B3" s="36"/>
      <c r="C3" s="36"/>
      <c r="D3" s="36"/>
      <c r="E3" s="37"/>
      <c r="F3" s="37"/>
      <c r="G3" s="37"/>
      <c r="H3" s="38"/>
      <c r="I3" s="38"/>
      <c r="J3" s="38"/>
      <c r="K3" s="37"/>
      <c r="L3" s="36"/>
      <c r="M3" s="36"/>
      <c r="N3" s="37"/>
      <c r="O3" s="37"/>
      <c r="P3" s="36"/>
      <c r="Q3" s="39" t="str">
        <f aca="true">IF(J3="","",TODAY()-J3)</f>
        <v/>
      </c>
      <c r="R3" s="37"/>
      <c r="S3" s="40" t="str">
        <f aca="false">IFERROR(INDEX('Azure Resource Map'!$D$2:$D$2001,MATCH($C3,'Azure Resource Map'!$A$2:$A$2001,0)),"")</f>
        <v/>
      </c>
      <c r="T3" s="39" t="str">
        <f aca="false">IFERROR(INDEX('Azure Resource Map'!$E$2:$E$2001,MATCH($C3,'Azure Resource Map'!$A$2:$A$2001,0)),"")</f>
        <v/>
      </c>
      <c r="U3" s="39" t="str">
        <f aca="false">IFERROR(INDEX('Azure Resource Map'!$F$2:$F$2001,MATCH($C3,'Azure Resource Map'!$A$2:$A$2001,0)),"")</f>
        <v/>
      </c>
      <c r="V3" s="39" t="str">
        <f aca="false">IF($C3="","",IF(ISNUMBER(MATCH($C3,'CA Exclusion Map'!$A$2:$A$2001,0)),"Yes","No"))</f>
        <v/>
      </c>
      <c r="W3" s="39" t="str">
        <f aca="false">IFERROR(INDEX('CA Exclusion Map'!$D$2:$D$2001,MATCH($C3,'CA Exclusion Map'!$A$2:$A$2001,0)),"")</f>
        <v/>
      </c>
      <c r="X3" s="40" t="str">
        <f aca="false">IFERROR(INDEX('CA Exclusion Map'!$E$2:$E$2001,MATCH($C3,'CA Exclusion Map'!$A$2:$A$2001,0)),"")</f>
        <v/>
      </c>
      <c r="Y3" s="40" t="str">
        <f aca="false">IFERROR(INDEX('CA Exclusion Map'!$F$2:$F$2001,MATCH($C3,'CA Exclusion Map'!$A$2:$A$2001,0)),"")</f>
        <v/>
      </c>
      <c r="Z3" s="36"/>
      <c r="AA3" s="37"/>
      <c r="AB3" s="38"/>
      <c r="AC3" s="38"/>
      <c r="AD3" s="39" t="str">
        <f aca="true">IF(V3="","",IF(V3&lt;&gt;"Yes","N/A",IF(AC3="","NO EXPIRY SET",IF(TODAY()&gt;AC3,"EXPIRED",IF(AC3-TODAY()&lt;=30,"Expiring Soon","Active")))))</f>
        <v/>
      </c>
      <c r="AE3" s="36"/>
      <c r="AF3" s="36"/>
      <c r="AG3" s="37"/>
      <c r="AH3" s="36"/>
      <c r="AI3" s="37"/>
      <c r="AJ3" s="37"/>
      <c r="AK3" s="37"/>
      <c r="AL3" s="37"/>
      <c r="AM3" s="38"/>
      <c r="AN3" s="37"/>
      <c r="AO3" s="37"/>
      <c r="AP3" s="41" t="str">
        <f aca="false">IF(AM3="","",AM3+90)</f>
        <v/>
      </c>
      <c r="AQ3" s="39" t="str">
        <f aca="true">IF(C3="","",IF(AM3="","NOT REVIEWED",IF(TODAY()&gt;AP3,"OVERDUE",IF(AP3-TODAY()&lt;=14,"Due Soon","Current"))))</f>
        <v/>
      </c>
      <c r="AR3" s="36"/>
    </row>
    <row r="4" customFormat="false" ht="15" hidden="false" customHeight="false" outlineLevel="0" collapsed="false">
      <c r="A4" s="36"/>
      <c r="B4" s="36"/>
      <c r="C4" s="36"/>
      <c r="D4" s="36"/>
      <c r="E4" s="37"/>
      <c r="F4" s="37"/>
      <c r="G4" s="37"/>
      <c r="H4" s="38"/>
      <c r="I4" s="38"/>
      <c r="J4" s="38"/>
      <c r="K4" s="37"/>
      <c r="L4" s="36"/>
      <c r="M4" s="36"/>
      <c r="N4" s="37"/>
      <c r="O4" s="37"/>
      <c r="P4" s="36"/>
      <c r="Q4" s="39" t="str">
        <f aca="true">IF(J4="","",TODAY()-J4)</f>
        <v/>
      </c>
      <c r="R4" s="37"/>
      <c r="S4" s="40" t="str">
        <f aca="false">IFERROR(INDEX('Azure Resource Map'!$D$2:$D$2001,MATCH($C4,'Azure Resource Map'!$A$2:$A$2001,0)),"")</f>
        <v/>
      </c>
      <c r="T4" s="39" t="str">
        <f aca="false">IFERROR(INDEX('Azure Resource Map'!$E$2:$E$2001,MATCH($C4,'Azure Resource Map'!$A$2:$A$2001,0)),"")</f>
        <v/>
      </c>
      <c r="U4" s="39" t="str">
        <f aca="false">IFERROR(INDEX('Azure Resource Map'!$F$2:$F$2001,MATCH($C4,'Azure Resource Map'!$A$2:$A$2001,0)),"")</f>
        <v/>
      </c>
      <c r="V4" s="39" t="str">
        <f aca="false">IF($C4="","",IF(ISNUMBER(MATCH($C4,'CA Exclusion Map'!$A$2:$A$2001,0)),"Yes","No"))</f>
        <v/>
      </c>
      <c r="W4" s="39" t="str">
        <f aca="false">IFERROR(INDEX('CA Exclusion Map'!$D$2:$D$2001,MATCH($C4,'CA Exclusion Map'!$A$2:$A$2001,0)),"")</f>
        <v/>
      </c>
      <c r="X4" s="40" t="str">
        <f aca="false">IFERROR(INDEX('CA Exclusion Map'!$E$2:$E$2001,MATCH($C4,'CA Exclusion Map'!$A$2:$A$2001,0)),"")</f>
        <v/>
      </c>
      <c r="Y4" s="40" t="str">
        <f aca="false">IFERROR(INDEX('CA Exclusion Map'!$F$2:$F$2001,MATCH($C4,'CA Exclusion Map'!$A$2:$A$2001,0)),"")</f>
        <v/>
      </c>
      <c r="Z4" s="36"/>
      <c r="AA4" s="37"/>
      <c r="AB4" s="38"/>
      <c r="AC4" s="38"/>
      <c r="AD4" s="39" t="str">
        <f aca="true">IF(V4="","",IF(V4&lt;&gt;"Yes","N/A",IF(AC4="","NO EXPIRY SET",IF(TODAY()&gt;AC4,"EXPIRED",IF(AC4-TODAY()&lt;=30,"Expiring Soon","Active")))))</f>
        <v/>
      </c>
      <c r="AE4" s="36"/>
      <c r="AF4" s="36"/>
      <c r="AG4" s="37"/>
      <c r="AH4" s="36"/>
      <c r="AI4" s="37"/>
      <c r="AJ4" s="37"/>
      <c r="AK4" s="37"/>
      <c r="AL4" s="37"/>
      <c r="AM4" s="38"/>
      <c r="AN4" s="37"/>
      <c r="AO4" s="37"/>
      <c r="AP4" s="41" t="str">
        <f aca="false">IF(AM4="","",AM4+90)</f>
        <v/>
      </c>
      <c r="AQ4" s="39" t="str">
        <f aca="true">IF(C4="","",IF(AM4="","NOT REVIEWED",IF(TODAY()&gt;AP4,"OVERDUE",IF(AP4-TODAY()&lt;=14,"Due Soon","Current"))))</f>
        <v/>
      </c>
      <c r="AR4" s="36"/>
    </row>
    <row r="5" customFormat="false" ht="15" hidden="false" customHeight="false" outlineLevel="0" collapsed="false">
      <c r="A5" s="36"/>
      <c r="B5" s="36"/>
      <c r="C5" s="36"/>
      <c r="D5" s="36"/>
      <c r="E5" s="37"/>
      <c r="F5" s="37"/>
      <c r="G5" s="37"/>
      <c r="H5" s="38"/>
      <c r="I5" s="38"/>
      <c r="J5" s="38"/>
      <c r="K5" s="37"/>
      <c r="L5" s="36"/>
      <c r="M5" s="36"/>
      <c r="N5" s="37"/>
      <c r="O5" s="37"/>
      <c r="P5" s="36"/>
      <c r="Q5" s="39" t="str">
        <f aca="true">IF(J5="","",TODAY()-J5)</f>
        <v/>
      </c>
      <c r="R5" s="37"/>
      <c r="S5" s="40" t="str">
        <f aca="false">IFERROR(INDEX('Azure Resource Map'!$D$2:$D$2001,MATCH($C5,'Azure Resource Map'!$A$2:$A$2001,0)),"")</f>
        <v/>
      </c>
      <c r="T5" s="39" t="str">
        <f aca="false">IFERROR(INDEX('Azure Resource Map'!$E$2:$E$2001,MATCH($C5,'Azure Resource Map'!$A$2:$A$2001,0)),"")</f>
        <v/>
      </c>
      <c r="U5" s="39" t="str">
        <f aca="false">IFERROR(INDEX('Azure Resource Map'!$F$2:$F$2001,MATCH($C5,'Azure Resource Map'!$A$2:$A$2001,0)),"")</f>
        <v/>
      </c>
      <c r="V5" s="39" t="str">
        <f aca="false">IF($C5="","",IF(ISNUMBER(MATCH($C5,'CA Exclusion Map'!$A$2:$A$2001,0)),"Yes","No"))</f>
        <v/>
      </c>
      <c r="W5" s="39" t="str">
        <f aca="false">IFERROR(INDEX('CA Exclusion Map'!$D$2:$D$2001,MATCH($C5,'CA Exclusion Map'!$A$2:$A$2001,0)),"")</f>
        <v/>
      </c>
      <c r="X5" s="40" t="str">
        <f aca="false">IFERROR(INDEX('CA Exclusion Map'!$E$2:$E$2001,MATCH($C5,'CA Exclusion Map'!$A$2:$A$2001,0)),"")</f>
        <v/>
      </c>
      <c r="Y5" s="40" t="str">
        <f aca="false">IFERROR(INDEX('CA Exclusion Map'!$F$2:$F$2001,MATCH($C5,'CA Exclusion Map'!$A$2:$A$2001,0)),"")</f>
        <v/>
      </c>
      <c r="Z5" s="36"/>
      <c r="AA5" s="37"/>
      <c r="AB5" s="38"/>
      <c r="AC5" s="38"/>
      <c r="AD5" s="39" t="str">
        <f aca="true">IF(V5="","",IF(V5&lt;&gt;"Yes","N/A",IF(AC5="","NO EXPIRY SET",IF(TODAY()&gt;AC5,"EXPIRED",IF(AC5-TODAY()&lt;=30,"Expiring Soon","Active")))))</f>
        <v/>
      </c>
      <c r="AE5" s="36"/>
      <c r="AF5" s="36"/>
      <c r="AG5" s="37"/>
      <c r="AH5" s="36"/>
      <c r="AI5" s="37"/>
      <c r="AJ5" s="37"/>
      <c r="AK5" s="37"/>
      <c r="AL5" s="37"/>
      <c r="AM5" s="38"/>
      <c r="AN5" s="37"/>
      <c r="AO5" s="37"/>
      <c r="AP5" s="41" t="str">
        <f aca="false">IF(AM5="","",AM5+90)</f>
        <v/>
      </c>
      <c r="AQ5" s="39" t="str">
        <f aca="true">IF(C5="","",IF(AM5="","NOT REVIEWED",IF(TODAY()&gt;AP5,"OVERDUE",IF(AP5-TODAY()&lt;=14,"Due Soon","Current"))))</f>
        <v/>
      </c>
      <c r="AR5" s="36"/>
    </row>
    <row r="6" customFormat="false" ht="15" hidden="false" customHeight="false" outlineLevel="0" collapsed="false">
      <c r="A6" s="36"/>
      <c r="B6" s="36"/>
      <c r="C6" s="36"/>
      <c r="D6" s="36"/>
      <c r="E6" s="37"/>
      <c r="F6" s="37"/>
      <c r="G6" s="37"/>
      <c r="H6" s="38"/>
      <c r="I6" s="38"/>
      <c r="J6" s="38"/>
      <c r="K6" s="37"/>
      <c r="L6" s="36"/>
      <c r="M6" s="36"/>
      <c r="N6" s="37"/>
      <c r="O6" s="37"/>
      <c r="P6" s="36"/>
      <c r="Q6" s="39" t="str">
        <f aca="true">IF(J6="","",TODAY()-J6)</f>
        <v/>
      </c>
      <c r="R6" s="37"/>
      <c r="S6" s="40" t="str">
        <f aca="false">IFERROR(INDEX('Azure Resource Map'!$D$2:$D$2001,MATCH($C6,'Azure Resource Map'!$A$2:$A$2001,0)),"")</f>
        <v/>
      </c>
      <c r="T6" s="39" t="str">
        <f aca="false">IFERROR(INDEX('Azure Resource Map'!$E$2:$E$2001,MATCH($C6,'Azure Resource Map'!$A$2:$A$2001,0)),"")</f>
        <v/>
      </c>
      <c r="U6" s="39" t="str">
        <f aca="false">IFERROR(INDEX('Azure Resource Map'!$F$2:$F$2001,MATCH($C6,'Azure Resource Map'!$A$2:$A$2001,0)),"")</f>
        <v/>
      </c>
      <c r="V6" s="39" t="str">
        <f aca="false">IF($C6="","",IF(ISNUMBER(MATCH($C6,'CA Exclusion Map'!$A$2:$A$2001,0)),"Yes","No"))</f>
        <v/>
      </c>
      <c r="W6" s="39" t="str">
        <f aca="false">IFERROR(INDEX('CA Exclusion Map'!$D$2:$D$2001,MATCH($C6,'CA Exclusion Map'!$A$2:$A$2001,0)),"")</f>
        <v/>
      </c>
      <c r="X6" s="40" t="str">
        <f aca="false">IFERROR(INDEX('CA Exclusion Map'!$E$2:$E$2001,MATCH($C6,'CA Exclusion Map'!$A$2:$A$2001,0)),"")</f>
        <v/>
      </c>
      <c r="Y6" s="40" t="str">
        <f aca="false">IFERROR(INDEX('CA Exclusion Map'!$F$2:$F$2001,MATCH($C6,'CA Exclusion Map'!$A$2:$A$2001,0)),"")</f>
        <v/>
      </c>
      <c r="Z6" s="36"/>
      <c r="AA6" s="37"/>
      <c r="AB6" s="38"/>
      <c r="AC6" s="38"/>
      <c r="AD6" s="39" t="str">
        <f aca="true">IF(V6="","",IF(V6&lt;&gt;"Yes","N/A",IF(AC6="","NO EXPIRY SET",IF(TODAY()&gt;AC6,"EXPIRED",IF(AC6-TODAY()&lt;=30,"Expiring Soon","Active")))))</f>
        <v/>
      </c>
      <c r="AE6" s="36"/>
      <c r="AF6" s="36"/>
      <c r="AG6" s="37"/>
      <c r="AH6" s="36"/>
      <c r="AI6" s="37"/>
      <c r="AJ6" s="37"/>
      <c r="AK6" s="37"/>
      <c r="AL6" s="37"/>
      <c r="AM6" s="38"/>
      <c r="AN6" s="37"/>
      <c r="AO6" s="37"/>
      <c r="AP6" s="41" t="str">
        <f aca="false">IF(AM6="","",AM6+90)</f>
        <v/>
      </c>
      <c r="AQ6" s="39" t="str">
        <f aca="true">IF(C6="","",IF(AM6="","NOT REVIEWED",IF(TODAY()&gt;AP6,"OVERDUE",IF(AP6-TODAY()&lt;=14,"Due Soon","Current"))))</f>
        <v/>
      </c>
      <c r="AR6" s="36"/>
    </row>
    <row r="7" customFormat="false" ht="15" hidden="false" customHeight="false" outlineLevel="0" collapsed="false">
      <c r="A7" s="36"/>
      <c r="B7" s="36"/>
      <c r="C7" s="36"/>
      <c r="D7" s="36"/>
      <c r="E7" s="37"/>
      <c r="F7" s="37"/>
      <c r="G7" s="37"/>
      <c r="H7" s="38"/>
      <c r="I7" s="38"/>
      <c r="J7" s="38"/>
      <c r="K7" s="37"/>
      <c r="L7" s="36"/>
      <c r="M7" s="36"/>
      <c r="N7" s="37"/>
      <c r="O7" s="37"/>
      <c r="P7" s="36"/>
      <c r="Q7" s="39" t="str">
        <f aca="true">IF(J7="","",TODAY()-J7)</f>
        <v/>
      </c>
      <c r="R7" s="37"/>
      <c r="S7" s="40" t="str">
        <f aca="false">IFERROR(INDEX('Azure Resource Map'!$D$2:$D$2001,MATCH($C7,'Azure Resource Map'!$A$2:$A$2001,0)),"")</f>
        <v/>
      </c>
      <c r="T7" s="39" t="str">
        <f aca="false">IFERROR(INDEX('Azure Resource Map'!$E$2:$E$2001,MATCH($C7,'Azure Resource Map'!$A$2:$A$2001,0)),"")</f>
        <v/>
      </c>
      <c r="U7" s="39" t="str">
        <f aca="false">IFERROR(INDEX('Azure Resource Map'!$F$2:$F$2001,MATCH($C7,'Azure Resource Map'!$A$2:$A$2001,0)),"")</f>
        <v/>
      </c>
      <c r="V7" s="39" t="str">
        <f aca="false">IF($C7="","",IF(ISNUMBER(MATCH($C7,'CA Exclusion Map'!$A$2:$A$2001,0)),"Yes","No"))</f>
        <v/>
      </c>
      <c r="W7" s="39" t="str">
        <f aca="false">IFERROR(INDEX('CA Exclusion Map'!$D$2:$D$2001,MATCH($C7,'CA Exclusion Map'!$A$2:$A$2001,0)),"")</f>
        <v/>
      </c>
      <c r="X7" s="40" t="str">
        <f aca="false">IFERROR(INDEX('CA Exclusion Map'!$E$2:$E$2001,MATCH($C7,'CA Exclusion Map'!$A$2:$A$2001,0)),"")</f>
        <v/>
      </c>
      <c r="Y7" s="40" t="str">
        <f aca="false">IFERROR(INDEX('CA Exclusion Map'!$F$2:$F$2001,MATCH($C7,'CA Exclusion Map'!$A$2:$A$2001,0)),"")</f>
        <v/>
      </c>
      <c r="Z7" s="36"/>
      <c r="AA7" s="37"/>
      <c r="AB7" s="38"/>
      <c r="AC7" s="38"/>
      <c r="AD7" s="39" t="str">
        <f aca="true">IF(V7="","",IF(V7&lt;&gt;"Yes","N/A",IF(AC7="","NO EXPIRY SET",IF(TODAY()&gt;AC7,"EXPIRED",IF(AC7-TODAY()&lt;=30,"Expiring Soon","Active")))))</f>
        <v/>
      </c>
      <c r="AE7" s="36"/>
      <c r="AF7" s="36"/>
      <c r="AG7" s="37"/>
      <c r="AH7" s="36"/>
      <c r="AI7" s="37"/>
      <c r="AJ7" s="37"/>
      <c r="AK7" s="37"/>
      <c r="AL7" s="37"/>
      <c r="AM7" s="38"/>
      <c r="AN7" s="37"/>
      <c r="AO7" s="37"/>
      <c r="AP7" s="41" t="str">
        <f aca="false">IF(AM7="","",AM7+90)</f>
        <v/>
      </c>
      <c r="AQ7" s="39" t="str">
        <f aca="true">IF(C7="","",IF(AM7="","NOT REVIEWED",IF(TODAY()&gt;AP7,"OVERDUE",IF(AP7-TODAY()&lt;=14,"Due Soon","Current"))))</f>
        <v/>
      </c>
      <c r="AR7" s="36"/>
    </row>
    <row r="8" customFormat="false" ht="15" hidden="false" customHeight="false" outlineLevel="0" collapsed="false">
      <c r="A8" s="36"/>
      <c r="B8" s="36"/>
      <c r="C8" s="36"/>
      <c r="D8" s="36"/>
      <c r="E8" s="37"/>
      <c r="F8" s="37"/>
      <c r="G8" s="37"/>
      <c r="H8" s="38"/>
      <c r="I8" s="38"/>
      <c r="J8" s="38"/>
      <c r="K8" s="37"/>
      <c r="L8" s="36"/>
      <c r="M8" s="36"/>
      <c r="N8" s="37"/>
      <c r="O8" s="37"/>
      <c r="P8" s="36"/>
      <c r="Q8" s="39" t="str">
        <f aca="true">IF(J8="","",TODAY()-J8)</f>
        <v/>
      </c>
      <c r="R8" s="37"/>
      <c r="S8" s="40" t="str">
        <f aca="false">IFERROR(INDEX('Azure Resource Map'!$D$2:$D$2001,MATCH($C8,'Azure Resource Map'!$A$2:$A$2001,0)),"")</f>
        <v/>
      </c>
      <c r="T8" s="39" t="str">
        <f aca="false">IFERROR(INDEX('Azure Resource Map'!$E$2:$E$2001,MATCH($C8,'Azure Resource Map'!$A$2:$A$2001,0)),"")</f>
        <v/>
      </c>
      <c r="U8" s="39" t="str">
        <f aca="false">IFERROR(INDEX('Azure Resource Map'!$F$2:$F$2001,MATCH($C8,'Azure Resource Map'!$A$2:$A$2001,0)),"")</f>
        <v/>
      </c>
      <c r="V8" s="39" t="str">
        <f aca="false">IF($C8="","",IF(ISNUMBER(MATCH($C8,'CA Exclusion Map'!$A$2:$A$2001,0)),"Yes","No"))</f>
        <v/>
      </c>
      <c r="W8" s="39" t="str">
        <f aca="false">IFERROR(INDEX('CA Exclusion Map'!$D$2:$D$2001,MATCH($C8,'CA Exclusion Map'!$A$2:$A$2001,0)),"")</f>
        <v/>
      </c>
      <c r="X8" s="40" t="str">
        <f aca="false">IFERROR(INDEX('CA Exclusion Map'!$E$2:$E$2001,MATCH($C8,'CA Exclusion Map'!$A$2:$A$2001,0)),"")</f>
        <v/>
      </c>
      <c r="Y8" s="40" t="str">
        <f aca="false">IFERROR(INDEX('CA Exclusion Map'!$F$2:$F$2001,MATCH($C8,'CA Exclusion Map'!$A$2:$A$2001,0)),"")</f>
        <v/>
      </c>
      <c r="Z8" s="36"/>
      <c r="AA8" s="37"/>
      <c r="AB8" s="38"/>
      <c r="AC8" s="38"/>
      <c r="AD8" s="39" t="str">
        <f aca="true">IF(V8="","",IF(V8&lt;&gt;"Yes","N/A",IF(AC8="","NO EXPIRY SET",IF(TODAY()&gt;AC8,"EXPIRED",IF(AC8-TODAY()&lt;=30,"Expiring Soon","Active")))))</f>
        <v/>
      </c>
      <c r="AE8" s="36"/>
      <c r="AF8" s="36"/>
      <c r="AG8" s="37"/>
      <c r="AH8" s="36"/>
      <c r="AI8" s="37"/>
      <c r="AJ8" s="37"/>
      <c r="AK8" s="37"/>
      <c r="AL8" s="37"/>
      <c r="AM8" s="38"/>
      <c r="AN8" s="37"/>
      <c r="AO8" s="37"/>
      <c r="AP8" s="41" t="str">
        <f aca="false">IF(AM8="","",AM8+90)</f>
        <v/>
      </c>
      <c r="AQ8" s="39" t="str">
        <f aca="true">IF(C8="","",IF(AM8="","NOT REVIEWED",IF(TODAY()&gt;AP8,"OVERDUE",IF(AP8-TODAY()&lt;=14,"Due Soon","Current"))))</f>
        <v/>
      </c>
      <c r="AR8" s="36"/>
    </row>
    <row r="9" customFormat="false" ht="15" hidden="false" customHeight="false" outlineLevel="0" collapsed="false">
      <c r="A9" s="36"/>
      <c r="B9" s="36"/>
      <c r="C9" s="36"/>
      <c r="D9" s="36"/>
      <c r="E9" s="37"/>
      <c r="F9" s="37"/>
      <c r="G9" s="37"/>
      <c r="H9" s="38"/>
      <c r="I9" s="38"/>
      <c r="J9" s="38"/>
      <c r="K9" s="37"/>
      <c r="L9" s="36"/>
      <c r="M9" s="36"/>
      <c r="N9" s="37"/>
      <c r="O9" s="37"/>
      <c r="P9" s="36"/>
      <c r="Q9" s="39" t="str">
        <f aca="true">IF(J9="","",TODAY()-J9)</f>
        <v/>
      </c>
      <c r="R9" s="37"/>
      <c r="S9" s="40" t="str">
        <f aca="false">IFERROR(INDEX('Azure Resource Map'!$D$2:$D$2001,MATCH($C9,'Azure Resource Map'!$A$2:$A$2001,0)),"")</f>
        <v/>
      </c>
      <c r="T9" s="39" t="str">
        <f aca="false">IFERROR(INDEX('Azure Resource Map'!$E$2:$E$2001,MATCH($C9,'Azure Resource Map'!$A$2:$A$2001,0)),"")</f>
        <v/>
      </c>
      <c r="U9" s="39" t="str">
        <f aca="false">IFERROR(INDEX('Azure Resource Map'!$F$2:$F$2001,MATCH($C9,'Azure Resource Map'!$A$2:$A$2001,0)),"")</f>
        <v/>
      </c>
      <c r="V9" s="39" t="str">
        <f aca="false">IF($C9="","",IF(ISNUMBER(MATCH($C9,'CA Exclusion Map'!$A$2:$A$2001,0)),"Yes","No"))</f>
        <v/>
      </c>
      <c r="W9" s="39" t="str">
        <f aca="false">IFERROR(INDEX('CA Exclusion Map'!$D$2:$D$2001,MATCH($C9,'CA Exclusion Map'!$A$2:$A$2001,0)),"")</f>
        <v/>
      </c>
      <c r="X9" s="40" t="str">
        <f aca="false">IFERROR(INDEX('CA Exclusion Map'!$E$2:$E$2001,MATCH($C9,'CA Exclusion Map'!$A$2:$A$2001,0)),"")</f>
        <v/>
      </c>
      <c r="Y9" s="40" t="str">
        <f aca="false">IFERROR(INDEX('CA Exclusion Map'!$F$2:$F$2001,MATCH($C9,'CA Exclusion Map'!$A$2:$A$2001,0)),"")</f>
        <v/>
      </c>
      <c r="Z9" s="36"/>
      <c r="AA9" s="37"/>
      <c r="AB9" s="38"/>
      <c r="AC9" s="38"/>
      <c r="AD9" s="39" t="str">
        <f aca="true">IF(V9="","",IF(V9&lt;&gt;"Yes","N/A",IF(AC9="","NO EXPIRY SET",IF(TODAY()&gt;AC9,"EXPIRED",IF(AC9-TODAY()&lt;=30,"Expiring Soon","Active")))))</f>
        <v/>
      </c>
      <c r="AE9" s="36"/>
      <c r="AF9" s="36"/>
      <c r="AG9" s="37"/>
      <c r="AH9" s="36"/>
      <c r="AI9" s="37"/>
      <c r="AJ9" s="37"/>
      <c r="AK9" s="37"/>
      <c r="AL9" s="37"/>
      <c r="AM9" s="38"/>
      <c r="AN9" s="37"/>
      <c r="AO9" s="37"/>
      <c r="AP9" s="41" t="str">
        <f aca="false">IF(AM9="","",AM9+90)</f>
        <v/>
      </c>
      <c r="AQ9" s="39" t="str">
        <f aca="true">IF(C9="","",IF(AM9="","NOT REVIEWED",IF(TODAY()&gt;AP9,"OVERDUE",IF(AP9-TODAY()&lt;=14,"Due Soon","Current"))))</f>
        <v/>
      </c>
      <c r="AR9" s="36"/>
    </row>
    <row r="10" customFormat="false" ht="15" hidden="false" customHeight="false" outlineLevel="0" collapsed="false">
      <c r="A10" s="36"/>
      <c r="B10" s="36"/>
      <c r="C10" s="36"/>
      <c r="D10" s="36"/>
      <c r="E10" s="37"/>
      <c r="F10" s="37"/>
      <c r="G10" s="37"/>
      <c r="H10" s="38"/>
      <c r="I10" s="38"/>
      <c r="J10" s="38"/>
      <c r="K10" s="37"/>
      <c r="L10" s="36"/>
      <c r="M10" s="36"/>
      <c r="N10" s="37"/>
      <c r="O10" s="37"/>
      <c r="P10" s="36"/>
      <c r="Q10" s="39" t="str">
        <f aca="true">IF(J10="","",TODAY()-J10)</f>
        <v/>
      </c>
      <c r="R10" s="37"/>
      <c r="S10" s="40" t="str">
        <f aca="false">IFERROR(INDEX('Azure Resource Map'!$D$2:$D$2001,MATCH($C10,'Azure Resource Map'!$A$2:$A$2001,0)),"")</f>
        <v/>
      </c>
      <c r="T10" s="39" t="str">
        <f aca="false">IFERROR(INDEX('Azure Resource Map'!$E$2:$E$2001,MATCH($C10,'Azure Resource Map'!$A$2:$A$2001,0)),"")</f>
        <v/>
      </c>
      <c r="U10" s="39" t="str">
        <f aca="false">IFERROR(INDEX('Azure Resource Map'!$F$2:$F$2001,MATCH($C10,'Azure Resource Map'!$A$2:$A$2001,0)),"")</f>
        <v/>
      </c>
      <c r="V10" s="39" t="str">
        <f aca="false">IF($C10="","",IF(ISNUMBER(MATCH($C10,'CA Exclusion Map'!$A$2:$A$2001,0)),"Yes","No"))</f>
        <v/>
      </c>
      <c r="W10" s="39" t="str">
        <f aca="false">IFERROR(INDEX('CA Exclusion Map'!$D$2:$D$2001,MATCH($C10,'CA Exclusion Map'!$A$2:$A$2001,0)),"")</f>
        <v/>
      </c>
      <c r="X10" s="40" t="str">
        <f aca="false">IFERROR(INDEX('CA Exclusion Map'!$E$2:$E$2001,MATCH($C10,'CA Exclusion Map'!$A$2:$A$2001,0)),"")</f>
        <v/>
      </c>
      <c r="Y10" s="40" t="str">
        <f aca="false">IFERROR(INDEX('CA Exclusion Map'!$F$2:$F$2001,MATCH($C10,'CA Exclusion Map'!$A$2:$A$2001,0)),"")</f>
        <v/>
      </c>
      <c r="Z10" s="36"/>
      <c r="AA10" s="37"/>
      <c r="AB10" s="38"/>
      <c r="AC10" s="38"/>
      <c r="AD10" s="39" t="str">
        <f aca="true">IF(V10="","",IF(V10&lt;&gt;"Yes","N/A",IF(AC10="","NO EXPIRY SET",IF(TODAY()&gt;AC10,"EXPIRED",IF(AC10-TODAY()&lt;=30,"Expiring Soon","Active")))))</f>
        <v/>
      </c>
      <c r="AE10" s="36"/>
      <c r="AF10" s="36"/>
      <c r="AG10" s="37"/>
      <c r="AH10" s="36"/>
      <c r="AI10" s="37"/>
      <c r="AJ10" s="37"/>
      <c r="AK10" s="37"/>
      <c r="AL10" s="37"/>
      <c r="AM10" s="38"/>
      <c r="AN10" s="37"/>
      <c r="AO10" s="37"/>
      <c r="AP10" s="41" t="str">
        <f aca="false">IF(AM10="","",AM10+90)</f>
        <v/>
      </c>
      <c r="AQ10" s="39" t="str">
        <f aca="true">IF(C10="","",IF(AM10="","NOT REVIEWED",IF(TODAY()&gt;AP10,"OVERDUE",IF(AP10-TODAY()&lt;=14,"Due Soon","Current"))))</f>
        <v/>
      </c>
      <c r="AR10" s="36"/>
    </row>
    <row r="11" customFormat="false" ht="15" hidden="false" customHeight="false" outlineLevel="0" collapsed="false">
      <c r="A11" s="36"/>
      <c r="B11" s="36"/>
      <c r="C11" s="36"/>
      <c r="D11" s="36"/>
      <c r="E11" s="37"/>
      <c r="F11" s="37"/>
      <c r="G11" s="37"/>
      <c r="H11" s="38"/>
      <c r="I11" s="38"/>
      <c r="J11" s="38"/>
      <c r="K11" s="37"/>
      <c r="L11" s="36"/>
      <c r="M11" s="36"/>
      <c r="N11" s="37"/>
      <c r="O11" s="37"/>
      <c r="P11" s="36"/>
      <c r="Q11" s="39" t="str">
        <f aca="true">IF(J11="","",TODAY()-J11)</f>
        <v/>
      </c>
      <c r="R11" s="37"/>
      <c r="S11" s="40" t="str">
        <f aca="false">IFERROR(INDEX('Azure Resource Map'!$D$2:$D$2001,MATCH($C11,'Azure Resource Map'!$A$2:$A$2001,0)),"")</f>
        <v/>
      </c>
      <c r="T11" s="39" t="str">
        <f aca="false">IFERROR(INDEX('Azure Resource Map'!$E$2:$E$2001,MATCH($C11,'Azure Resource Map'!$A$2:$A$2001,0)),"")</f>
        <v/>
      </c>
      <c r="U11" s="39" t="str">
        <f aca="false">IFERROR(INDEX('Azure Resource Map'!$F$2:$F$2001,MATCH($C11,'Azure Resource Map'!$A$2:$A$2001,0)),"")</f>
        <v/>
      </c>
      <c r="V11" s="39" t="str">
        <f aca="false">IF($C11="","",IF(ISNUMBER(MATCH($C11,'CA Exclusion Map'!$A$2:$A$2001,0)),"Yes","No"))</f>
        <v/>
      </c>
      <c r="W11" s="39" t="str">
        <f aca="false">IFERROR(INDEX('CA Exclusion Map'!$D$2:$D$2001,MATCH($C11,'CA Exclusion Map'!$A$2:$A$2001,0)),"")</f>
        <v/>
      </c>
      <c r="X11" s="40" t="str">
        <f aca="false">IFERROR(INDEX('CA Exclusion Map'!$E$2:$E$2001,MATCH($C11,'CA Exclusion Map'!$A$2:$A$2001,0)),"")</f>
        <v/>
      </c>
      <c r="Y11" s="40" t="str">
        <f aca="false">IFERROR(INDEX('CA Exclusion Map'!$F$2:$F$2001,MATCH($C11,'CA Exclusion Map'!$A$2:$A$2001,0)),"")</f>
        <v/>
      </c>
      <c r="Z11" s="36"/>
      <c r="AA11" s="37"/>
      <c r="AB11" s="38"/>
      <c r="AC11" s="38"/>
      <c r="AD11" s="39" t="str">
        <f aca="true">IF(V11="","",IF(V11&lt;&gt;"Yes","N/A",IF(AC11="","NO EXPIRY SET",IF(TODAY()&gt;AC11,"EXPIRED",IF(AC11-TODAY()&lt;=30,"Expiring Soon","Active")))))</f>
        <v/>
      </c>
      <c r="AE11" s="36"/>
      <c r="AF11" s="36"/>
      <c r="AG11" s="37"/>
      <c r="AH11" s="36"/>
      <c r="AI11" s="37"/>
      <c r="AJ11" s="37"/>
      <c r="AK11" s="37"/>
      <c r="AL11" s="37"/>
      <c r="AM11" s="38"/>
      <c r="AN11" s="37"/>
      <c r="AO11" s="37"/>
      <c r="AP11" s="41" t="str">
        <f aca="false">IF(AM11="","",AM11+90)</f>
        <v/>
      </c>
      <c r="AQ11" s="39" t="str">
        <f aca="true">IF(C11="","",IF(AM11="","NOT REVIEWED",IF(TODAY()&gt;AP11,"OVERDUE",IF(AP11-TODAY()&lt;=14,"Due Soon","Current"))))</f>
        <v/>
      </c>
      <c r="AR11" s="36"/>
    </row>
    <row r="12" customFormat="false" ht="15" hidden="false" customHeight="false" outlineLevel="0" collapsed="false">
      <c r="A12" s="36"/>
      <c r="B12" s="36"/>
      <c r="C12" s="36"/>
      <c r="D12" s="36"/>
      <c r="E12" s="37"/>
      <c r="F12" s="37"/>
      <c r="G12" s="37"/>
      <c r="H12" s="38"/>
      <c r="I12" s="38"/>
      <c r="J12" s="38"/>
      <c r="K12" s="37"/>
      <c r="L12" s="36"/>
      <c r="M12" s="36"/>
      <c r="N12" s="37"/>
      <c r="O12" s="37"/>
      <c r="P12" s="36"/>
      <c r="Q12" s="39" t="str">
        <f aca="true">IF(J12="","",TODAY()-J12)</f>
        <v/>
      </c>
      <c r="R12" s="37"/>
      <c r="S12" s="40" t="str">
        <f aca="false">IFERROR(INDEX('Azure Resource Map'!$D$2:$D$2001,MATCH($C12,'Azure Resource Map'!$A$2:$A$2001,0)),"")</f>
        <v/>
      </c>
      <c r="T12" s="39" t="str">
        <f aca="false">IFERROR(INDEX('Azure Resource Map'!$E$2:$E$2001,MATCH($C12,'Azure Resource Map'!$A$2:$A$2001,0)),"")</f>
        <v/>
      </c>
      <c r="U12" s="39" t="str">
        <f aca="false">IFERROR(INDEX('Azure Resource Map'!$F$2:$F$2001,MATCH($C12,'Azure Resource Map'!$A$2:$A$2001,0)),"")</f>
        <v/>
      </c>
      <c r="V12" s="39" t="str">
        <f aca="false">IF($C12="","",IF(ISNUMBER(MATCH($C12,'CA Exclusion Map'!$A$2:$A$2001,0)),"Yes","No"))</f>
        <v/>
      </c>
      <c r="W12" s="39" t="str">
        <f aca="false">IFERROR(INDEX('CA Exclusion Map'!$D$2:$D$2001,MATCH($C12,'CA Exclusion Map'!$A$2:$A$2001,0)),"")</f>
        <v/>
      </c>
      <c r="X12" s="40" t="str">
        <f aca="false">IFERROR(INDEX('CA Exclusion Map'!$E$2:$E$2001,MATCH($C12,'CA Exclusion Map'!$A$2:$A$2001,0)),"")</f>
        <v/>
      </c>
      <c r="Y12" s="40" t="str">
        <f aca="false">IFERROR(INDEX('CA Exclusion Map'!$F$2:$F$2001,MATCH($C12,'CA Exclusion Map'!$A$2:$A$2001,0)),"")</f>
        <v/>
      </c>
      <c r="Z12" s="36"/>
      <c r="AA12" s="37"/>
      <c r="AB12" s="38"/>
      <c r="AC12" s="38"/>
      <c r="AD12" s="39" t="str">
        <f aca="true">IF(V12="","",IF(V12&lt;&gt;"Yes","N/A",IF(AC12="","NO EXPIRY SET",IF(TODAY()&gt;AC12,"EXPIRED",IF(AC12-TODAY()&lt;=30,"Expiring Soon","Active")))))</f>
        <v/>
      </c>
      <c r="AE12" s="36"/>
      <c r="AF12" s="36"/>
      <c r="AG12" s="37"/>
      <c r="AH12" s="36"/>
      <c r="AI12" s="37"/>
      <c r="AJ12" s="37"/>
      <c r="AK12" s="37"/>
      <c r="AL12" s="37"/>
      <c r="AM12" s="38"/>
      <c r="AN12" s="37"/>
      <c r="AO12" s="37"/>
      <c r="AP12" s="41" t="str">
        <f aca="false">IF(AM12="","",AM12+90)</f>
        <v/>
      </c>
      <c r="AQ12" s="39" t="str">
        <f aca="true">IF(C12="","",IF(AM12="","NOT REVIEWED",IF(TODAY()&gt;AP12,"OVERDUE",IF(AP12-TODAY()&lt;=14,"Due Soon","Current"))))</f>
        <v/>
      </c>
      <c r="AR12" s="36"/>
    </row>
    <row r="13" customFormat="false" ht="15" hidden="false" customHeight="false" outlineLevel="0" collapsed="false">
      <c r="A13" s="36"/>
      <c r="B13" s="36"/>
      <c r="C13" s="36"/>
      <c r="D13" s="36"/>
      <c r="E13" s="37"/>
      <c r="F13" s="37"/>
      <c r="G13" s="37"/>
      <c r="H13" s="38"/>
      <c r="I13" s="38"/>
      <c r="J13" s="38"/>
      <c r="K13" s="37"/>
      <c r="L13" s="36"/>
      <c r="M13" s="36"/>
      <c r="N13" s="37"/>
      <c r="O13" s="37"/>
      <c r="P13" s="36"/>
      <c r="Q13" s="39" t="str">
        <f aca="true">IF(J13="","",TODAY()-J13)</f>
        <v/>
      </c>
      <c r="R13" s="37"/>
      <c r="S13" s="40" t="str">
        <f aca="false">IFERROR(INDEX('Azure Resource Map'!$D$2:$D$2001,MATCH($C13,'Azure Resource Map'!$A$2:$A$2001,0)),"")</f>
        <v/>
      </c>
      <c r="T13" s="39" t="str">
        <f aca="false">IFERROR(INDEX('Azure Resource Map'!$E$2:$E$2001,MATCH($C13,'Azure Resource Map'!$A$2:$A$2001,0)),"")</f>
        <v/>
      </c>
      <c r="U13" s="39" t="str">
        <f aca="false">IFERROR(INDEX('Azure Resource Map'!$F$2:$F$2001,MATCH($C13,'Azure Resource Map'!$A$2:$A$2001,0)),"")</f>
        <v/>
      </c>
      <c r="V13" s="39" t="str">
        <f aca="false">IF($C13="","",IF(ISNUMBER(MATCH($C13,'CA Exclusion Map'!$A$2:$A$2001,0)),"Yes","No"))</f>
        <v/>
      </c>
      <c r="W13" s="39" t="str">
        <f aca="false">IFERROR(INDEX('CA Exclusion Map'!$D$2:$D$2001,MATCH($C13,'CA Exclusion Map'!$A$2:$A$2001,0)),"")</f>
        <v/>
      </c>
      <c r="X13" s="40" t="str">
        <f aca="false">IFERROR(INDEX('CA Exclusion Map'!$E$2:$E$2001,MATCH($C13,'CA Exclusion Map'!$A$2:$A$2001,0)),"")</f>
        <v/>
      </c>
      <c r="Y13" s="40" t="str">
        <f aca="false">IFERROR(INDEX('CA Exclusion Map'!$F$2:$F$2001,MATCH($C13,'CA Exclusion Map'!$A$2:$A$2001,0)),"")</f>
        <v/>
      </c>
      <c r="Z13" s="36"/>
      <c r="AA13" s="37"/>
      <c r="AB13" s="38"/>
      <c r="AC13" s="38"/>
      <c r="AD13" s="39" t="str">
        <f aca="true">IF(V13="","",IF(V13&lt;&gt;"Yes","N/A",IF(AC13="","NO EXPIRY SET",IF(TODAY()&gt;AC13,"EXPIRED",IF(AC13-TODAY()&lt;=30,"Expiring Soon","Active")))))</f>
        <v/>
      </c>
      <c r="AE13" s="36"/>
      <c r="AF13" s="36"/>
      <c r="AG13" s="37"/>
      <c r="AH13" s="36"/>
      <c r="AI13" s="37"/>
      <c r="AJ13" s="37"/>
      <c r="AK13" s="37"/>
      <c r="AL13" s="37"/>
      <c r="AM13" s="38"/>
      <c r="AN13" s="37"/>
      <c r="AO13" s="37"/>
      <c r="AP13" s="41" t="str">
        <f aca="false">IF(AM13="","",AM13+90)</f>
        <v/>
      </c>
      <c r="AQ13" s="39" t="str">
        <f aca="true">IF(C13="","",IF(AM13="","NOT REVIEWED",IF(TODAY()&gt;AP13,"OVERDUE",IF(AP13-TODAY()&lt;=14,"Due Soon","Current"))))</f>
        <v/>
      </c>
      <c r="AR13" s="36"/>
    </row>
    <row r="14" customFormat="false" ht="15" hidden="false" customHeight="false" outlineLevel="0" collapsed="false">
      <c r="A14" s="36"/>
      <c r="B14" s="36"/>
      <c r="C14" s="36"/>
      <c r="D14" s="36"/>
      <c r="E14" s="37"/>
      <c r="F14" s="37"/>
      <c r="G14" s="37"/>
      <c r="H14" s="38"/>
      <c r="I14" s="38"/>
      <c r="J14" s="38"/>
      <c r="K14" s="37"/>
      <c r="L14" s="36"/>
      <c r="M14" s="36"/>
      <c r="N14" s="37"/>
      <c r="O14" s="37"/>
      <c r="P14" s="36"/>
      <c r="Q14" s="39" t="str">
        <f aca="true">IF(J14="","",TODAY()-J14)</f>
        <v/>
      </c>
      <c r="R14" s="37"/>
      <c r="S14" s="40" t="str">
        <f aca="false">IFERROR(INDEX('Azure Resource Map'!$D$2:$D$2001,MATCH($C14,'Azure Resource Map'!$A$2:$A$2001,0)),"")</f>
        <v/>
      </c>
      <c r="T14" s="39" t="str">
        <f aca="false">IFERROR(INDEX('Azure Resource Map'!$E$2:$E$2001,MATCH($C14,'Azure Resource Map'!$A$2:$A$2001,0)),"")</f>
        <v/>
      </c>
      <c r="U14" s="39" t="str">
        <f aca="false">IFERROR(INDEX('Azure Resource Map'!$F$2:$F$2001,MATCH($C14,'Azure Resource Map'!$A$2:$A$2001,0)),"")</f>
        <v/>
      </c>
      <c r="V14" s="39" t="str">
        <f aca="false">IF($C14="","",IF(ISNUMBER(MATCH($C14,'CA Exclusion Map'!$A$2:$A$2001,0)),"Yes","No"))</f>
        <v/>
      </c>
      <c r="W14" s="39" t="str">
        <f aca="false">IFERROR(INDEX('CA Exclusion Map'!$D$2:$D$2001,MATCH($C14,'CA Exclusion Map'!$A$2:$A$2001,0)),"")</f>
        <v/>
      </c>
      <c r="X14" s="40" t="str">
        <f aca="false">IFERROR(INDEX('CA Exclusion Map'!$E$2:$E$2001,MATCH($C14,'CA Exclusion Map'!$A$2:$A$2001,0)),"")</f>
        <v/>
      </c>
      <c r="Y14" s="40" t="str">
        <f aca="false">IFERROR(INDEX('CA Exclusion Map'!$F$2:$F$2001,MATCH($C14,'CA Exclusion Map'!$A$2:$A$2001,0)),"")</f>
        <v/>
      </c>
      <c r="Z14" s="36"/>
      <c r="AA14" s="37"/>
      <c r="AB14" s="38"/>
      <c r="AC14" s="38"/>
      <c r="AD14" s="39" t="str">
        <f aca="true">IF(V14="","",IF(V14&lt;&gt;"Yes","N/A",IF(AC14="","NO EXPIRY SET",IF(TODAY()&gt;AC14,"EXPIRED",IF(AC14-TODAY()&lt;=30,"Expiring Soon","Active")))))</f>
        <v/>
      </c>
      <c r="AE14" s="36"/>
      <c r="AF14" s="36"/>
      <c r="AG14" s="37"/>
      <c r="AH14" s="36"/>
      <c r="AI14" s="37"/>
      <c r="AJ14" s="37"/>
      <c r="AK14" s="37"/>
      <c r="AL14" s="37"/>
      <c r="AM14" s="38"/>
      <c r="AN14" s="37"/>
      <c r="AO14" s="37"/>
      <c r="AP14" s="41" t="str">
        <f aca="false">IF(AM14="","",AM14+90)</f>
        <v/>
      </c>
      <c r="AQ14" s="39" t="str">
        <f aca="true">IF(C14="","",IF(AM14="","NOT REVIEWED",IF(TODAY()&gt;AP14,"OVERDUE",IF(AP14-TODAY()&lt;=14,"Due Soon","Current"))))</f>
        <v/>
      </c>
      <c r="AR14" s="36"/>
    </row>
    <row r="15" customFormat="false" ht="15" hidden="false" customHeight="false" outlineLevel="0" collapsed="false">
      <c r="A15" s="36"/>
      <c r="B15" s="36"/>
      <c r="C15" s="36"/>
      <c r="D15" s="36"/>
      <c r="E15" s="37"/>
      <c r="F15" s="37"/>
      <c r="G15" s="37"/>
      <c r="H15" s="38"/>
      <c r="I15" s="38"/>
      <c r="J15" s="38"/>
      <c r="K15" s="37"/>
      <c r="L15" s="36"/>
      <c r="M15" s="36"/>
      <c r="N15" s="37"/>
      <c r="O15" s="37"/>
      <c r="P15" s="36"/>
      <c r="Q15" s="39" t="str">
        <f aca="true">IF(J15="","",TODAY()-J15)</f>
        <v/>
      </c>
      <c r="R15" s="37"/>
      <c r="S15" s="40" t="str">
        <f aca="false">IFERROR(INDEX('Azure Resource Map'!$D$2:$D$2001,MATCH($C15,'Azure Resource Map'!$A$2:$A$2001,0)),"")</f>
        <v/>
      </c>
      <c r="T15" s="39" t="str">
        <f aca="false">IFERROR(INDEX('Azure Resource Map'!$E$2:$E$2001,MATCH($C15,'Azure Resource Map'!$A$2:$A$2001,0)),"")</f>
        <v/>
      </c>
      <c r="U15" s="39" t="str">
        <f aca="false">IFERROR(INDEX('Azure Resource Map'!$F$2:$F$2001,MATCH($C15,'Azure Resource Map'!$A$2:$A$2001,0)),"")</f>
        <v/>
      </c>
      <c r="V15" s="39" t="str">
        <f aca="false">IF($C15="","",IF(ISNUMBER(MATCH($C15,'CA Exclusion Map'!$A$2:$A$2001,0)),"Yes","No"))</f>
        <v/>
      </c>
      <c r="W15" s="39" t="str">
        <f aca="false">IFERROR(INDEX('CA Exclusion Map'!$D$2:$D$2001,MATCH($C15,'CA Exclusion Map'!$A$2:$A$2001,0)),"")</f>
        <v/>
      </c>
      <c r="X15" s="40" t="str">
        <f aca="false">IFERROR(INDEX('CA Exclusion Map'!$E$2:$E$2001,MATCH($C15,'CA Exclusion Map'!$A$2:$A$2001,0)),"")</f>
        <v/>
      </c>
      <c r="Y15" s="40" t="str">
        <f aca="false">IFERROR(INDEX('CA Exclusion Map'!$F$2:$F$2001,MATCH($C15,'CA Exclusion Map'!$A$2:$A$2001,0)),"")</f>
        <v/>
      </c>
      <c r="Z15" s="36"/>
      <c r="AA15" s="37"/>
      <c r="AB15" s="38"/>
      <c r="AC15" s="38"/>
      <c r="AD15" s="39" t="str">
        <f aca="true">IF(V15="","",IF(V15&lt;&gt;"Yes","N/A",IF(AC15="","NO EXPIRY SET",IF(TODAY()&gt;AC15,"EXPIRED",IF(AC15-TODAY()&lt;=30,"Expiring Soon","Active")))))</f>
        <v/>
      </c>
      <c r="AE15" s="36"/>
      <c r="AF15" s="36"/>
      <c r="AG15" s="37"/>
      <c r="AH15" s="36"/>
      <c r="AI15" s="37"/>
      <c r="AJ15" s="37"/>
      <c r="AK15" s="37"/>
      <c r="AL15" s="37"/>
      <c r="AM15" s="38"/>
      <c r="AN15" s="37"/>
      <c r="AO15" s="37"/>
      <c r="AP15" s="41" t="str">
        <f aca="false">IF(AM15="","",AM15+90)</f>
        <v/>
      </c>
      <c r="AQ15" s="39" t="str">
        <f aca="true">IF(C15="","",IF(AM15="","NOT REVIEWED",IF(TODAY()&gt;AP15,"OVERDUE",IF(AP15-TODAY()&lt;=14,"Due Soon","Current"))))</f>
        <v/>
      </c>
      <c r="AR15" s="36"/>
    </row>
    <row r="16" customFormat="false" ht="15" hidden="false" customHeight="false" outlineLevel="0" collapsed="false">
      <c r="A16" s="36"/>
      <c r="B16" s="36"/>
      <c r="C16" s="36"/>
      <c r="D16" s="36"/>
      <c r="E16" s="37"/>
      <c r="F16" s="37"/>
      <c r="G16" s="37"/>
      <c r="H16" s="38"/>
      <c r="I16" s="38"/>
      <c r="J16" s="38"/>
      <c r="K16" s="37"/>
      <c r="L16" s="36"/>
      <c r="M16" s="36"/>
      <c r="N16" s="37"/>
      <c r="O16" s="37"/>
      <c r="P16" s="36"/>
      <c r="Q16" s="39" t="str">
        <f aca="true">IF(J16="","",TODAY()-J16)</f>
        <v/>
      </c>
      <c r="R16" s="37"/>
      <c r="S16" s="40" t="str">
        <f aca="false">IFERROR(INDEX('Azure Resource Map'!$D$2:$D$2001,MATCH($C16,'Azure Resource Map'!$A$2:$A$2001,0)),"")</f>
        <v/>
      </c>
      <c r="T16" s="39" t="str">
        <f aca="false">IFERROR(INDEX('Azure Resource Map'!$E$2:$E$2001,MATCH($C16,'Azure Resource Map'!$A$2:$A$2001,0)),"")</f>
        <v/>
      </c>
      <c r="U16" s="39" t="str">
        <f aca="false">IFERROR(INDEX('Azure Resource Map'!$F$2:$F$2001,MATCH($C16,'Azure Resource Map'!$A$2:$A$2001,0)),"")</f>
        <v/>
      </c>
      <c r="V16" s="39" t="str">
        <f aca="false">IF($C16="","",IF(ISNUMBER(MATCH($C16,'CA Exclusion Map'!$A$2:$A$2001,0)),"Yes","No"))</f>
        <v/>
      </c>
      <c r="W16" s="39" t="str">
        <f aca="false">IFERROR(INDEX('CA Exclusion Map'!$D$2:$D$2001,MATCH($C16,'CA Exclusion Map'!$A$2:$A$2001,0)),"")</f>
        <v/>
      </c>
      <c r="X16" s="40" t="str">
        <f aca="false">IFERROR(INDEX('CA Exclusion Map'!$E$2:$E$2001,MATCH($C16,'CA Exclusion Map'!$A$2:$A$2001,0)),"")</f>
        <v/>
      </c>
      <c r="Y16" s="40" t="str">
        <f aca="false">IFERROR(INDEX('CA Exclusion Map'!$F$2:$F$2001,MATCH($C16,'CA Exclusion Map'!$A$2:$A$2001,0)),"")</f>
        <v/>
      </c>
      <c r="Z16" s="36"/>
      <c r="AA16" s="37"/>
      <c r="AB16" s="38"/>
      <c r="AC16" s="38"/>
      <c r="AD16" s="39" t="str">
        <f aca="true">IF(V16="","",IF(V16&lt;&gt;"Yes","N/A",IF(AC16="","NO EXPIRY SET",IF(TODAY()&gt;AC16,"EXPIRED",IF(AC16-TODAY()&lt;=30,"Expiring Soon","Active")))))</f>
        <v/>
      </c>
      <c r="AE16" s="36"/>
      <c r="AF16" s="36"/>
      <c r="AG16" s="37"/>
      <c r="AH16" s="36"/>
      <c r="AI16" s="37"/>
      <c r="AJ16" s="37"/>
      <c r="AK16" s="37"/>
      <c r="AL16" s="37"/>
      <c r="AM16" s="38"/>
      <c r="AN16" s="37"/>
      <c r="AO16" s="37"/>
      <c r="AP16" s="41" t="str">
        <f aca="false">IF(AM16="","",AM16+90)</f>
        <v/>
      </c>
      <c r="AQ16" s="39" t="str">
        <f aca="true">IF(C16="","",IF(AM16="","NOT REVIEWED",IF(TODAY()&gt;AP16,"OVERDUE",IF(AP16-TODAY()&lt;=14,"Due Soon","Current"))))</f>
        <v/>
      </c>
      <c r="AR16" s="36"/>
    </row>
    <row r="17" customFormat="false" ht="15" hidden="false" customHeight="false" outlineLevel="0" collapsed="false">
      <c r="A17" s="36"/>
      <c r="B17" s="36"/>
      <c r="C17" s="36"/>
      <c r="D17" s="36"/>
      <c r="E17" s="37"/>
      <c r="F17" s="37"/>
      <c r="G17" s="37"/>
      <c r="H17" s="38"/>
      <c r="I17" s="38"/>
      <c r="J17" s="38"/>
      <c r="K17" s="37"/>
      <c r="L17" s="36"/>
      <c r="M17" s="36"/>
      <c r="N17" s="37"/>
      <c r="O17" s="37"/>
      <c r="P17" s="36"/>
      <c r="Q17" s="39" t="str">
        <f aca="true">IF(J17="","",TODAY()-J17)</f>
        <v/>
      </c>
      <c r="R17" s="37"/>
      <c r="S17" s="40" t="str">
        <f aca="false">IFERROR(INDEX('Azure Resource Map'!$D$2:$D$2001,MATCH($C17,'Azure Resource Map'!$A$2:$A$2001,0)),"")</f>
        <v/>
      </c>
      <c r="T17" s="39" t="str">
        <f aca="false">IFERROR(INDEX('Azure Resource Map'!$E$2:$E$2001,MATCH($C17,'Azure Resource Map'!$A$2:$A$2001,0)),"")</f>
        <v/>
      </c>
      <c r="U17" s="39" t="str">
        <f aca="false">IFERROR(INDEX('Azure Resource Map'!$F$2:$F$2001,MATCH($C17,'Azure Resource Map'!$A$2:$A$2001,0)),"")</f>
        <v/>
      </c>
      <c r="V17" s="39" t="str">
        <f aca="false">IF($C17="","",IF(ISNUMBER(MATCH($C17,'CA Exclusion Map'!$A$2:$A$2001,0)),"Yes","No"))</f>
        <v/>
      </c>
      <c r="W17" s="39" t="str">
        <f aca="false">IFERROR(INDEX('CA Exclusion Map'!$D$2:$D$2001,MATCH($C17,'CA Exclusion Map'!$A$2:$A$2001,0)),"")</f>
        <v/>
      </c>
      <c r="X17" s="40" t="str">
        <f aca="false">IFERROR(INDEX('CA Exclusion Map'!$E$2:$E$2001,MATCH($C17,'CA Exclusion Map'!$A$2:$A$2001,0)),"")</f>
        <v/>
      </c>
      <c r="Y17" s="40" t="str">
        <f aca="false">IFERROR(INDEX('CA Exclusion Map'!$F$2:$F$2001,MATCH($C17,'CA Exclusion Map'!$A$2:$A$2001,0)),"")</f>
        <v/>
      </c>
      <c r="Z17" s="36"/>
      <c r="AA17" s="37"/>
      <c r="AB17" s="38"/>
      <c r="AC17" s="38"/>
      <c r="AD17" s="39" t="str">
        <f aca="true">IF(V17="","",IF(V17&lt;&gt;"Yes","N/A",IF(AC17="","NO EXPIRY SET",IF(TODAY()&gt;AC17,"EXPIRED",IF(AC17-TODAY()&lt;=30,"Expiring Soon","Active")))))</f>
        <v/>
      </c>
      <c r="AE17" s="36"/>
      <c r="AF17" s="36"/>
      <c r="AG17" s="37"/>
      <c r="AH17" s="36"/>
      <c r="AI17" s="37"/>
      <c r="AJ17" s="37"/>
      <c r="AK17" s="37"/>
      <c r="AL17" s="37"/>
      <c r="AM17" s="38"/>
      <c r="AN17" s="37"/>
      <c r="AO17" s="37"/>
      <c r="AP17" s="41" t="str">
        <f aca="false">IF(AM17="","",AM17+90)</f>
        <v/>
      </c>
      <c r="AQ17" s="39" t="str">
        <f aca="true">IF(C17="","",IF(AM17="","NOT REVIEWED",IF(TODAY()&gt;AP17,"OVERDUE",IF(AP17-TODAY()&lt;=14,"Due Soon","Current"))))</f>
        <v/>
      </c>
      <c r="AR17" s="36"/>
    </row>
    <row r="18" customFormat="false" ht="15" hidden="false" customHeight="false" outlineLevel="0" collapsed="false">
      <c r="A18" s="36"/>
      <c r="B18" s="36"/>
      <c r="C18" s="36"/>
      <c r="D18" s="36"/>
      <c r="E18" s="37"/>
      <c r="F18" s="37"/>
      <c r="G18" s="37"/>
      <c r="H18" s="38"/>
      <c r="I18" s="38"/>
      <c r="J18" s="38"/>
      <c r="K18" s="37"/>
      <c r="L18" s="36"/>
      <c r="M18" s="36"/>
      <c r="N18" s="37"/>
      <c r="O18" s="37"/>
      <c r="P18" s="36"/>
      <c r="Q18" s="39" t="str">
        <f aca="true">IF(J18="","",TODAY()-J18)</f>
        <v/>
      </c>
      <c r="R18" s="37"/>
      <c r="S18" s="40" t="str">
        <f aca="false">IFERROR(INDEX('Azure Resource Map'!$D$2:$D$2001,MATCH($C18,'Azure Resource Map'!$A$2:$A$2001,0)),"")</f>
        <v/>
      </c>
      <c r="T18" s="39" t="str">
        <f aca="false">IFERROR(INDEX('Azure Resource Map'!$E$2:$E$2001,MATCH($C18,'Azure Resource Map'!$A$2:$A$2001,0)),"")</f>
        <v/>
      </c>
      <c r="U18" s="39" t="str">
        <f aca="false">IFERROR(INDEX('Azure Resource Map'!$F$2:$F$2001,MATCH($C18,'Azure Resource Map'!$A$2:$A$2001,0)),"")</f>
        <v/>
      </c>
      <c r="V18" s="39" t="str">
        <f aca="false">IF($C18="","",IF(ISNUMBER(MATCH($C18,'CA Exclusion Map'!$A$2:$A$2001,0)),"Yes","No"))</f>
        <v/>
      </c>
      <c r="W18" s="39" t="str">
        <f aca="false">IFERROR(INDEX('CA Exclusion Map'!$D$2:$D$2001,MATCH($C18,'CA Exclusion Map'!$A$2:$A$2001,0)),"")</f>
        <v/>
      </c>
      <c r="X18" s="40" t="str">
        <f aca="false">IFERROR(INDEX('CA Exclusion Map'!$E$2:$E$2001,MATCH($C18,'CA Exclusion Map'!$A$2:$A$2001,0)),"")</f>
        <v/>
      </c>
      <c r="Y18" s="40" t="str">
        <f aca="false">IFERROR(INDEX('CA Exclusion Map'!$F$2:$F$2001,MATCH($C18,'CA Exclusion Map'!$A$2:$A$2001,0)),"")</f>
        <v/>
      </c>
      <c r="Z18" s="36"/>
      <c r="AA18" s="37"/>
      <c r="AB18" s="38"/>
      <c r="AC18" s="38"/>
      <c r="AD18" s="39" t="str">
        <f aca="true">IF(V18="","",IF(V18&lt;&gt;"Yes","N/A",IF(AC18="","NO EXPIRY SET",IF(TODAY()&gt;AC18,"EXPIRED",IF(AC18-TODAY()&lt;=30,"Expiring Soon","Active")))))</f>
        <v/>
      </c>
      <c r="AE18" s="36"/>
      <c r="AF18" s="36"/>
      <c r="AG18" s="37"/>
      <c r="AH18" s="36"/>
      <c r="AI18" s="37"/>
      <c r="AJ18" s="37"/>
      <c r="AK18" s="37"/>
      <c r="AL18" s="37"/>
      <c r="AM18" s="38"/>
      <c r="AN18" s="37"/>
      <c r="AO18" s="37"/>
      <c r="AP18" s="41" t="str">
        <f aca="false">IF(AM18="","",AM18+90)</f>
        <v/>
      </c>
      <c r="AQ18" s="39" t="str">
        <f aca="true">IF(C18="","",IF(AM18="","NOT REVIEWED",IF(TODAY()&gt;AP18,"OVERDUE",IF(AP18-TODAY()&lt;=14,"Due Soon","Current"))))</f>
        <v/>
      </c>
      <c r="AR18" s="36"/>
    </row>
    <row r="19" customFormat="false" ht="15" hidden="false" customHeight="false" outlineLevel="0" collapsed="false">
      <c r="A19" s="36"/>
      <c r="B19" s="36"/>
      <c r="C19" s="36"/>
      <c r="D19" s="36"/>
      <c r="E19" s="37"/>
      <c r="F19" s="37"/>
      <c r="G19" s="37"/>
      <c r="H19" s="38"/>
      <c r="I19" s="38"/>
      <c r="J19" s="38"/>
      <c r="K19" s="37"/>
      <c r="L19" s="36"/>
      <c r="M19" s="36"/>
      <c r="N19" s="37"/>
      <c r="O19" s="37"/>
      <c r="P19" s="36"/>
      <c r="Q19" s="39" t="str">
        <f aca="true">IF(J19="","",TODAY()-J19)</f>
        <v/>
      </c>
      <c r="R19" s="37"/>
      <c r="S19" s="40" t="str">
        <f aca="false">IFERROR(INDEX('Azure Resource Map'!$D$2:$D$2001,MATCH($C19,'Azure Resource Map'!$A$2:$A$2001,0)),"")</f>
        <v/>
      </c>
      <c r="T19" s="39" t="str">
        <f aca="false">IFERROR(INDEX('Azure Resource Map'!$E$2:$E$2001,MATCH($C19,'Azure Resource Map'!$A$2:$A$2001,0)),"")</f>
        <v/>
      </c>
      <c r="U19" s="39" t="str">
        <f aca="false">IFERROR(INDEX('Azure Resource Map'!$F$2:$F$2001,MATCH($C19,'Azure Resource Map'!$A$2:$A$2001,0)),"")</f>
        <v/>
      </c>
      <c r="V19" s="39" t="str">
        <f aca="false">IF($C19="","",IF(ISNUMBER(MATCH($C19,'CA Exclusion Map'!$A$2:$A$2001,0)),"Yes","No"))</f>
        <v/>
      </c>
      <c r="W19" s="39" t="str">
        <f aca="false">IFERROR(INDEX('CA Exclusion Map'!$D$2:$D$2001,MATCH($C19,'CA Exclusion Map'!$A$2:$A$2001,0)),"")</f>
        <v/>
      </c>
      <c r="X19" s="40" t="str">
        <f aca="false">IFERROR(INDEX('CA Exclusion Map'!$E$2:$E$2001,MATCH($C19,'CA Exclusion Map'!$A$2:$A$2001,0)),"")</f>
        <v/>
      </c>
      <c r="Y19" s="40" t="str">
        <f aca="false">IFERROR(INDEX('CA Exclusion Map'!$F$2:$F$2001,MATCH($C19,'CA Exclusion Map'!$A$2:$A$2001,0)),"")</f>
        <v/>
      </c>
      <c r="Z19" s="36"/>
      <c r="AA19" s="37"/>
      <c r="AB19" s="38"/>
      <c r="AC19" s="38"/>
      <c r="AD19" s="39" t="str">
        <f aca="true">IF(V19="","",IF(V19&lt;&gt;"Yes","N/A",IF(AC19="","NO EXPIRY SET",IF(TODAY()&gt;AC19,"EXPIRED",IF(AC19-TODAY()&lt;=30,"Expiring Soon","Active")))))</f>
        <v/>
      </c>
      <c r="AE19" s="36"/>
      <c r="AF19" s="36"/>
      <c r="AG19" s="37"/>
      <c r="AH19" s="36"/>
      <c r="AI19" s="37"/>
      <c r="AJ19" s="37"/>
      <c r="AK19" s="37"/>
      <c r="AL19" s="37"/>
      <c r="AM19" s="38"/>
      <c r="AN19" s="37"/>
      <c r="AO19" s="37"/>
      <c r="AP19" s="41" t="str">
        <f aca="false">IF(AM19="","",AM19+90)</f>
        <v/>
      </c>
      <c r="AQ19" s="39" t="str">
        <f aca="true">IF(C19="","",IF(AM19="","NOT REVIEWED",IF(TODAY()&gt;AP19,"OVERDUE",IF(AP19-TODAY()&lt;=14,"Due Soon","Current"))))</f>
        <v/>
      </c>
      <c r="AR19" s="36"/>
    </row>
    <row r="20" customFormat="false" ht="15" hidden="false" customHeight="false" outlineLevel="0" collapsed="false">
      <c r="A20" s="36"/>
      <c r="B20" s="36"/>
      <c r="C20" s="36"/>
      <c r="D20" s="36"/>
      <c r="E20" s="37"/>
      <c r="F20" s="37"/>
      <c r="G20" s="37"/>
      <c r="H20" s="38"/>
      <c r="I20" s="38"/>
      <c r="J20" s="38"/>
      <c r="K20" s="37"/>
      <c r="L20" s="36"/>
      <c r="M20" s="36"/>
      <c r="N20" s="37"/>
      <c r="O20" s="37"/>
      <c r="P20" s="36"/>
      <c r="Q20" s="39" t="str">
        <f aca="true">IF(J20="","",TODAY()-J20)</f>
        <v/>
      </c>
      <c r="R20" s="37"/>
      <c r="S20" s="40" t="str">
        <f aca="false">IFERROR(INDEX('Azure Resource Map'!$D$2:$D$2001,MATCH($C20,'Azure Resource Map'!$A$2:$A$2001,0)),"")</f>
        <v/>
      </c>
      <c r="T20" s="39" t="str">
        <f aca="false">IFERROR(INDEX('Azure Resource Map'!$E$2:$E$2001,MATCH($C20,'Azure Resource Map'!$A$2:$A$2001,0)),"")</f>
        <v/>
      </c>
      <c r="U20" s="39" t="str">
        <f aca="false">IFERROR(INDEX('Azure Resource Map'!$F$2:$F$2001,MATCH($C20,'Azure Resource Map'!$A$2:$A$2001,0)),"")</f>
        <v/>
      </c>
      <c r="V20" s="39" t="str">
        <f aca="false">IF($C20="","",IF(ISNUMBER(MATCH($C20,'CA Exclusion Map'!$A$2:$A$2001,0)),"Yes","No"))</f>
        <v/>
      </c>
      <c r="W20" s="39" t="str">
        <f aca="false">IFERROR(INDEX('CA Exclusion Map'!$D$2:$D$2001,MATCH($C20,'CA Exclusion Map'!$A$2:$A$2001,0)),"")</f>
        <v/>
      </c>
      <c r="X20" s="40" t="str">
        <f aca="false">IFERROR(INDEX('CA Exclusion Map'!$E$2:$E$2001,MATCH($C20,'CA Exclusion Map'!$A$2:$A$2001,0)),"")</f>
        <v/>
      </c>
      <c r="Y20" s="40" t="str">
        <f aca="false">IFERROR(INDEX('CA Exclusion Map'!$F$2:$F$2001,MATCH($C20,'CA Exclusion Map'!$A$2:$A$2001,0)),"")</f>
        <v/>
      </c>
      <c r="Z20" s="36"/>
      <c r="AA20" s="37"/>
      <c r="AB20" s="38"/>
      <c r="AC20" s="38"/>
      <c r="AD20" s="39" t="str">
        <f aca="true">IF(V20="","",IF(V20&lt;&gt;"Yes","N/A",IF(AC20="","NO EXPIRY SET",IF(TODAY()&gt;AC20,"EXPIRED",IF(AC20-TODAY()&lt;=30,"Expiring Soon","Active")))))</f>
        <v/>
      </c>
      <c r="AE20" s="36"/>
      <c r="AF20" s="36"/>
      <c r="AG20" s="37"/>
      <c r="AH20" s="36"/>
      <c r="AI20" s="37"/>
      <c r="AJ20" s="37"/>
      <c r="AK20" s="37"/>
      <c r="AL20" s="37"/>
      <c r="AM20" s="38"/>
      <c r="AN20" s="37"/>
      <c r="AO20" s="37"/>
      <c r="AP20" s="41" t="str">
        <f aca="false">IF(AM20="","",AM20+90)</f>
        <v/>
      </c>
      <c r="AQ20" s="39" t="str">
        <f aca="true">IF(C20="","",IF(AM20="","NOT REVIEWED",IF(TODAY()&gt;AP20,"OVERDUE",IF(AP20-TODAY()&lt;=14,"Due Soon","Current"))))</f>
        <v/>
      </c>
      <c r="AR20" s="36"/>
    </row>
    <row r="21" customFormat="false" ht="15" hidden="false" customHeight="false" outlineLevel="0" collapsed="false">
      <c r="A21" s="36"/>
      <c r="B21" s="36"/>
      <c r="C21" s="36"/>
      <c r="D21" s="36"/>
      <c r="E21" s="37"/>
      <c r="F21" s="37"/>
      <c r="G21" s="37"/>
      <c r="H21" s="38"/>
      <c r="I21" s="38"/>
      <c r="J21" s="38"/>
      <c r="K21" s="37"/>
      <c r="L21" s="36"/>
      <c r="M21" s="36"/>
      <c r="N21" s="37"/>
      <c r="O21" s="37"/>
      <c r="P21" s="36"/>
      <c r="Q21" s="39" t="str">
        <f aca="true">IF(J21="","",TODAY()-J21)</f>
        <v/>
      </c>
      <c r="R21" s="37"/>
      <c r="S21" s="40" t="str">
        <f aca="false">IFERROR(INDEX('Azure Resource Map'!$D$2:$D$2001,MATCH($C21,'Azure Resource Map'!$A$2:$A$2001,0)),"")</f>
        <v/>
      </c>
      <c r="T21" s="39" t="str">
        <f aca="false">IFERROR(INDEX('Azure Resource Map'!$E$2:$E$2001,MATCH($C21,'Azure Resource Map'!$A$2:$A$2001,0)),"")</f>
        <v/>
      </c>
      <c r="U21" s="39" t="str">
        <f aca="false">IFERROR(INDEX('Azure Resource Map'!$F$2:$F$2001,MATCH($C21,'Azure Resource Map'!$A$2:$A$2001,0)),"")</f>
        <v/>
      </c>
      <c r="V21" s="39" t="str">
        <f aca="false">IF($C21="","",IF(ISNUMBER(MATCH($C21,'CA Exclusion Map'!$A$2:$A$2001,0)),"Yes","No"))</f>
        <v/>
      </c>
      <c r="W21" s="39" t="str">
        <f aca="false">IFERROR(INDEX('CA Exclusion Map'!$D$2:$D$2001,MATCH($C21,'CA Exclusion Map'!$A$2:$A$2001,0)),"")</f>
        <v/>
      </c>
      <c r="X21" s="40" t="str">
        <f aca="false">IFERROR(INDEX('CA Exclusion Map'!$E$2:$E$2001,MATCH($C21,'CA Exclusion Map'!$A$2:$A$2001,0)),"")</f>
        <v/>
      </c>
      <c r="Y21" s="40" t="str">
        <f aca="false">IFERROR(INDEX('CA Exclusion Map'!$F$2:$F$2001,MATCH($C21,'CA Exclusion Map'!$A$2:$A$2001,0)),"")</f>
        <v/>
      </c>
      <c r="Z21" s="36"/>
      <c r="AA21" s="37"/>
      <c r="AB21" s="38"/>
      <c r="AC21" s="38"/>
      <c r="AD21" s="39" t="str">
        <f aca="true">IF(V21="","",IF(V21&lt;&gt;"Yes","N/A",IF(AC21="","NO EXPIRY SET",IF(TODAY()&gt;AC21,"EXPIRED",IF(AC21-TODAY()&lt;=30,"Expiring Soon","Active")))))</f>
        <v/>
      </c>
      <c r="AE21" s="36"/>
      <c r="AF21" s="36"/>
      <c r="AG21" s="37"/>
      <c r="AH21" s="36"/>
      <c r="AI21" s="37"/>
      <c r="AJ21" s="37"/>
      <c r="AK21" s="37"/>
      <c r="AL21" s="37"/>
      <c r="AM21" s="38"/>
      <c r="AN21" s="37"/>
      <c r="AO21" s="37"/>
      <c r="AP21" s="41" t="str">
        <f aca="false">IF(AM21="","",AM21+90)</f>
        <v/>
      </c>
      <c r="AQ21" s="39" t="str">
        <f aca="true">IF(C21="","",IF(AM21="","NOT REVIEWED",IF(TODAY()&gt;AP21,"OVERDUE",IF(AP21-TODAY()&lt;=14,"Due Soon","Current"))))</f>
        <v/>
      </c>
      <c r="AR21" s="36"/>
    </row>
    <row r="22" customFormat="false" ht="15" hidden="false" customHeight="false" outlineLevel="0" collapsed="false">
      <c r="A22" s="36"/>
      <c r="B22" s="36"/>
      <c r="C22" s="36"/>
      <c r="D22" s="36"/>
      <c r="E22" s="37"/>
      <c r="F22" s="37"/>
      <c r="G22" s="37"/>
      <c r="H22" s="38"/>
      <c r="I22" s="38"/>
      <c r="J22" s="38"/>
      <c r="K22" s="37"/>
      <c r="L22" s="36"/>
      <c r="M22" s="36"/>
      <c r="N22" s="37"/>
      <c r="O22" s="37"/>
      <c r="P22" s="36"/>
      <c r="Q22" s="39" t="str">
        <f aca="true">IF(J22="","",TODAY()-J22)</f>
        <v/>
      </c>
      <c r="R22" s="37"/>
      <c r="S22" s="40" t="str">
        <f aca="false">IFERROR(INDEX('Azure Resource Map'!$D$2:$D$2001,MATCH($C22,'Azure Resource Map'!$A$2:$A$2001,0)),"")</f>
        <v/>
      </c>
      <c r="T22" s="39" t="str">
        <f aca="false">IFERROR(INDEX('Azure Resource Map'!$E$2:$E$2001,MATCH($C22,'Azure Resource Map'!$A$2:$A$2001,0)),"")</f>
        <v/>
      </c>
      <c r="U22" s="39" t="str">
        <f aca="false">IFERROR(INDEX('Azure Resource Map'!$F$2:$F$2001,MATCH($C22,'Azure Resource Map'!$A$2:$A$2001,0)),"")</f>
        <v/>
      </c>
      <c r="V22" s="39" t="str">
        <f aca="false">IF($C22="","",IF(ISNUMBER(MATCH($C22,'CA Exclusion Map'!$A$2:$A$2001,0)),"Yes","No"))</f>
        <v/>
      </c>
      <c r="W22" s="39" t="str">
        <f aca="false">IFERROR(INDEX('CA Exclusion Map'!$D$2:$D$2001,MATCH($C22,'CA Exclusion Map'!$A$2:$A$2001,0)),"")</f>
        <v/>
      </c>
      <c r="X22" s="40" t="str">
        <f aca="false">IFERROR(INDEX('CA Exclusion Map'!$E$2:$E$2001,MATCH($C22,'CA Exclusion Map'!$A$2:$A$2001,0)),"")</f>
        <v/>
      </c>
      <c r="Y22" s="40" t="str">
        <f aca="false">IFERROR(INDEX('CA Exclusion Map'!$F$2:$F$2001,MATCH($C22,'CA Exclusion Map'!$A$2:$A$2001,0)),"")</f>
        <v/>
      </c>
      <c r="Z22" s="36"/>
      <c r="AA22" s="37"/>
      <c r="AB22" s="38"/>
      <c r="AC22" s="38"/>
      <c r="AD22" s="39" t="str">
        <f aca="true">IF(V22="","",IF(V22&lt;&gt;"Yes","N/A",IF(AC22="","NO EXPIRY SET",IF(TODAY()&gt;AC22,"EXPIRED",IF(AC22-TODAY()&lt;=30,"Expiring Soon","Active")))))</f>
        <v/>
      </c>
      <c r="AE22" s="36"/>
      <c r="AF22" s="36"/>
      <c r="AG22" s="37"/>
      <c r="AH22" s="36"/>
      <c r="AI22" s="37"/>
      <c r="AJ22" s="37"/>
      <c r="AK22" s="37"/>
      <c r="AL22" s="37"/>
      <c r="AM22" s="38"/>
      <c r="AN22" s="37"/>
      <c r="AO22" s="37"/>
      <c r="AP22" s="41" t="str">
        <f aca="false">IF(AM22="","",AM22+90)</f>
        <v/>
      </c>
      <c r="AQ22" s="39" t="str">
        <f aca="true">IF(C22="","",IF(AM22="","NOT REVIEWED",IF(TODAY()&gt;AP22,"OVERDUE",IF(AP22-TODAY()&lt;=14,"Due Soon","Current"))))</f>
        <v/>
      </c>
      <c r="AR22" s="36"/>
    </row>
    <row r="23" customFormat="false" ht="15" hidden="false" customHeight="false" outlineLevel="0" collapsed="false">
      <c r="A23" s="36"/>
      <c r="B23" s="36"/>
      <c r="C23" s="36"/>
      <c r="D23" s="36"/>
      <c r="E23" s="37"/>
      <c r="F23" s="37"/>
      <c r="G23" s="37"/>
      <c r="H23" s="38"/>
      <c r="I23" s="38"/>
      <c r="J23" s="38"/>
      <c r="K23" s="37"/>
      <c r="L23" s="36"/>
      <c r="M23" s="36"/>
      <c r="N23" s="37"/>
      <c r="O23" s="37"/>
      <c r="P23" s="36"/>
      <c r="Q23" s="39" t="str">
        <f aca="true">IF(J23="","",TODAY()-J23)</f>
        <v/>
      </c>
      <c r="R23" s="37"/>
      <c r="S23" s="40" t="str">
        <f aca="false">IFERROR(INDEX('Azure Resource Map'!$D$2:$D$2001,MATCH($C23,'Azure Resource Map'!$A$2:$A$2001,0)),"")</f>
        <v/>
      </c>
      <c r="T23" s="39" t="str">
        <f aca="false">IFERROR(INDEX('Azure Resource Map'!$E$2:$E$2001,MATCH($C23,'Azure Resource Map'!$A$2:$A$2001,0)),"")</f>
        <v/>
      </c>
      <c r="U23" s="39" t="str">
        <f aca="false">IFERROR(INDEX('Azure Resource Map'!$F$2:$F$2001,MATCH($C23,'Azure Resource Map'!$A$2:$A$2001,0)),"")</f>
        <v/>
      </c>
      <c r="V23" s="39" t="str">
        <f aca="false">IF($C23="","",IF(ISNUMBER(MATCH($C23,'CA Exclusion Map'!$A$2:$A$2001,0)),"Yes","No"))</f>
        <v/>
      </c>
      <c r="W23" s="39" t="str">
        <f aca="false">IFERROR(INDEX('CA Exclusion Map'!$D$2:$D$2001,MATCH($C23,'CA Exclusion Map'!$A$2:$A$2001,0)),"")</f>
        <v/>
      </c>
      <c r="X23" s="40" t="str">
        <f aca="false">IFERROR(INDEX('CA Exclusion Map'!$E$2:$E$2001,MATCH($C23,'CA Exclusion Map'!$A$2:$A$2001,0)),"")</f>
        <v/>
      </c>
      <c r="Y23" s="40" t="str">
        <f aca="false">IFERROR(INDEX('CA Exclusion Map'!$F$2:$F$2001,MATCH($C23,'CA Exclusion Map'!$A$2:$A$2001,0)),"")</f>
        <v/>
      </c>
      <c r="Z23" s="36"/>
      <c r="AA23" s="37"/>
      <c r="AB23" s="38"/>
      <c r="AC23" s="38"/>
      <c r="AD23" s="39" t="str">
        <f aca="true">IF(V23="","",IF(V23&lt;&gt;"Yes","N/A",IF(AC23="","NO EXPIRY SET",IF(TODAY()&gt;AC23,"EXPIRED",IF(AC23-TODAY()&lt;=30,"Expiring Soon","Active")))))</f>
        <v/>
      </c>
      <c r="AE23" s="36"/>
      <c r="AF23" s="36"/>
      <c r="AG23" s="37"/>
      <c r="AH23" s="36"/>
      <c r="AI23" s="37"/>
      <c r="AJ23" s="37"/>
      <c r="AK23" s="37"/>
      <c r="AL23" s="37"/>
      <c r="AM23" s="38"/>
      <c r="AN23" s="37"/>
      <c r="AO23" s="37"/>
      <c r="AP23" s="41" t="str">
        <f aca="false">IF(AM23="","",AM23+90)</f>
        <v/>
      </c>
      <c r="AQ23" s="39" t="str">
        <f aca="true">IF(C23="","",IF(AM23="","NOT REVIEWED",IF(TODAY()&gt;AP23,"OVERDUE",IF(AP23-TODAY()&lt;=14,"Due Soon","Current"))))</f>
        <v/>
      </c>
      <c r="AR23" s="36"/>
    </row>
    <row r="24" customFormat="false" ht="15" hidden="false" customHeight="false" outlineLevel="0" collapsed="false">
      <c r="A24" s="36"/>
      <c r="B24" s="36"/>
      <c r="C24" s="36"/>
      <c r="D24" s="36"/>
      <c r="E24" s="37"/>
      <c r="F24" s="37"/>
      <c r="G24" s="37"/>
      <c r="H24" s="38"/>
      <c r="I24" s="38"/>
      <c r="J24" s="38"/>
      <c r="K24" s="37"/>
      <c r="L24" s="36"/>
      <c r="M24" s="36"/>
      <c r="N24" s="37"/>
      <c r="O24" s="37"/>
      <c r="P24" s="36"/>
      <c r="Q24" s="39" t="str">
        <f aca="true">IF(J24="","",TODAY()-J24)</f>
        <v/>
      </c>
      <c r="R24" s="37"/>
      <c r="S24" s="40" t="str">
        <f aca="false">IFERROR(INDEX('Azure Resource Map'!$D$2:$D$2001,MATCH($C24,'Azure Resource Map'!$A$2:$A$2001,0)),"")</f>
        <v/>
      </c>
      <c r="T24" s="39" t="str">
        <f aca="false">IFERROR(INDEX('Azure Resource Map'!$E$2:$E$2001,MATCH($C24,'Azure Resource Map'!$A$2:$A$2001,0)),"")</f>
        <v/>
      </c>
      <c r="U24" s="39" t="str">
        <f aca="false">IFERROR(INDEX('Azure Resource Map'!$F$2:$F$2001,MATCH($C24,'Azure Resource Map'!$A$2:$A$2001,0)),"")</f>
        <v/>
      </c>
      <c r="V24" s="39" t="str">
        <f aca="false">IF($C24="","",IF(ISNUMBER(MATCH($C24,'CA Exclusion Map'!$A$2:$A$2001,0)),"Yes","No"))</f>
        <v/>
      </c>
      <c r="W24" s="39" t="str">
        <f aca="false">IFERROR(INDEX('CA Exclusion Map'!$D$2:$D$2001,MATCH($C24,'CA Exclusion Map'!$A$2:$A$2001,0)),"")</f>
        <v/>
      </c>
      <c r="X24" s="40" t="str">
        <f aca="false">IFERROR(INDEX('CA Exclusion Map'!$E$2:$E$2001,MATCH($C24,'CA Exclusion Map'!$A$2:$A$2001,0)),"")</f>
        <v/>
      </c>
      <c r="Y24" s="40" t="str">
        <f aca="false">IFERROR(INDEX('CA Exclusion Map'!$F$2:$F$2001,MATCH($C24,'CA Exclusion Map'!$A$2:$A$2001,0)),"")</f>
        <v/>
      </c>
      <c r="Z24" s="36"/>
      <c r="AA24" s="37"/>
      <c r="AB24" s="38"/>
      <c r="AC24" s="38"/>
      <c r="AD24" s="39" t="str">
        <f aca="true">IF(V24="","",IF(V24&lt;&gt;"Yes","N/A",IF(AC24="","NO EXPIRY SET",IF(TODAY()&gt;AC24,"EXPIRED",IF(AC24-TODAY()&lt;=30,"Expiring Soon","Active")))))</f>
        <v/>
      </c>
      <c r="AE24" s="36"/>
      <c r="AF24" s="36"/>
      <c r="AG24" s="37"/>
      <c r="AH24" s="36"/>
      <c r="AI24" s="37"/>
      <c r="AJ24" s="37"/>
      <c r="AK24" s="37"/>
      <c r="AL24" s="37"/>
      <c r="AM24" s="38"/>
      <c r="AN24" s="37"/>
      <c r="AO24" s="37"/>
      <c r="AP24" s="41" t="str">
        <f aca="false">IF(AM24="","",AM24+90)</f>
        <v/>
      </c>
      <c r="AQ24" s="39" t="str">
        <f aca="true">IF(C24="","",IF(AM24="","NOT REVIEWED",IF(TODAY()&gt;AP24,"OVERDUE",IF(AP24-TODAY()&lt;=14,"Due Soon","Current"))))</f>
        <v/>
      </c>
      <c r="AR24" s="36"/>
    </row>
    <row r="25" customFormat="false" ht="15" hidden="false" customHeight="false" outlineLevel="0" collapsed="false">
      <c r="A25" s="36"/>
      <c r="B25" s="36"/>
      <c r="C25" s="36"/>
      <c r="D25" s="36"/>
      <c r="E25" s="37"/>
      <c r="F25" s="37"/>
      <c r="G25" s="37"/>
      <c r="H25" s="38"/>
      <c r="I25" s="38"/>
      <c r="J25" s="38"/>
      <c r="K25" s="37"/>
      <c r="L25" s="36"/>
      <c r="M25" s="36"/>
      <c r="N25" s="37"/>
      <c r="O25" s="37"/>
      <c r="P25" s="36"/>
      <c r="Q25" s="39" t="str">
        <f aca="true">IF(J25="","",TODAY()-J25)</f>
        <v/>
      </c>
      <c r="R25" s="37"/>
      <c r="S25" s="40" t="str">
        <f aca="false">IFERROR(INDEX('Azure Resource Map'!$D$2:$D$2001,MATCH($C25,'Azure Resource Map'!$A$2:$A$2001,0)),"")</f>
        <v/>
      </c>
      <c r="T25" s="39" t="str">
        <f aca="false">IFERROR(INDEX('Azure Resource Map'!$E$2:$E$2001,MATCH($C25,'Azure Resource Map'!$A$2:$A$2001,0)),"")</f>
        <v/>
      </c>
      <c r="U25" s="39" t="str">
        <f aca="false">IFERROR(INDEX('Azure Resource Map'!$F$2:$F$2001,MATCH($C25,'Azure Resource Map'!$A$2:$A$2001,0)),"")</f>
        <v/>
      </c>
      <c r="V25" s="39" t="str">
        <f aca="false">IF($C25="","",IF(ISNUMBER(MATCH($C25,'CA Exclusion Map'!$A$2:$A$2001,0)),"Yes","No"))</f>
        <v/>
      </c>
      <c r="W25" s="39" t="str">
        <f aca="false">IFERROR(INDEX('CA Exclusion Map'!$D$2:$D$2001,MATCH($C25,'CA Exclusion Map'!$A$2:$A$2001,0)),"")</f>
        <v/>
      </c>
      <c r="X25" s="40" t="str">
        <f aca="false">IFERROR(INDEX('CA Exclusion Map'!$E$2:$E$2001,MATCH($C25,'CA Exclusion Map'!$A$2:$A$2001,0)),"")</f>
        <v/>
      </c>
      <c r="Y25" s="40" t="str">
        <f aca="false">IFERROR(INDEX('CA Exclusion Map'!$F$2:$F$2001,MATCH($C25,'CA Exclusion Map'!$A$2:$A$2001,0)),"")</f>
        <v/>
      </c>
      <c r="Z25" s="36"/>
      <c r="AA25" s="37"/>
      <c r="AB25" s="38"/>
      <c r="AC25" s="38"/>
      <c r="AD25" s="39" t="str">
        <f aca="true">IF(V25="","",IF(V25&lt;&gt;"Yes","N/A",IF(AC25="","NO EXPIRY SET",IF(TODAY()&gt;AC25,"EXPIRED",IF(AC25-TODAY()&lt;=30,"Expiring Soon","Active")))))</f>
        <v/>
      </c>
      <c r="AE25" s="36"/>
      <c r="AF25" s="36"/>
      <c r="AG25" s="37"/>
      <c r="AH25" s="36"/>
      <c r="AI25" s="37"/>
      <c r="AJ25" s="37"/>
      <c r="AK25" s="37"/>
      <c r="AL25" s="37"/>
      <c r="AM25" s="38"/>
      <c r="AN25" s="37"/>
      <c r="AO25" s="37"/>
      <c r="AP25" s="41" t="str">
        <f aca="false">IF(AM25="","",AM25+90)</f>
        <v/>
      </c>
      <c r="AQ25" s="39" t="str">
        <f aca="true">IF(C25="","",IF(AM25="","NOT REVIEWED",IF(TODAY()&gt;AP25,"OVERDUE",IF(AP25-TODAY()&lt;=14,"Due Soon","Current"))))</f>
        <v/>
      </c>
      <c r="AR25" s="36"/>
    </row>
    <row r="26" customFormat="false" ht="15" hidden="false" customHeight="false" outlineLevel="0" collapsed="false">
      <c r="A26" s="36"/>
      <c r="B26" s="36"/>
      <c r="C26" s="36"/>
      <c r="D26" s="36"/>
      <c r="E26" s="37"/>
      <c r="F26" s="37"/>
      <c r="G26" s="37"/>
      <c r="H26" s="38"/>
      <c r="I26" s="38"/>
      <c r="J26" s="38"/>
      <c r="K26" s="37"/>
      <c r="L26" s="36"/>
      <c r="M26" s="36"/>
      <c r="N26" s="37"/>
      <c r="O26" s="37"/>
      <c r="P26" s="36"/>
      <c r="Q26" s="39" t="str">
        <f aca="true">IF(J26="","",TODAY()-J26)</f>
        <v/>
      </c>
      <c r="R26" s="37"/>
      <c r="S26" s="40" t="str">
        <f aca="false">IFERROR(INDEX('Azure Resource Map'!$D$2:$D$2001,MATCH($C26,'Azure Resource Map'!$A$2:$A$2001,0)),"")</f>
        <v/>
      </c>
      <c r="T26" s="39" t="str">
        <f aca="false">IFERROR(INDEX('Azure Resource Map'!$E$2:$E$2001,MATCH($C26,'Azure Resource Map'!$A$2:$A$2001,0)),"")</f>
        <v/>
      </c>
      <c r="U26" s="39" t="str">
        <f aca="false">IFERROR(INDEX('Azure Resource Map'!$F$2:$F$2001,MATCH($C26,'Azure Resource Map'!$A$2:$A$2001,0)),"")</f>
        <v/>
      </c>
      <c r="V26" s="39" t="str">
        <f aca="false">IF($C26="","",IF(ISNUMBER(MATCH($C26,'CA Exclusion Map'!$A$2:$A$2001,0)),"Yes","No"))</f>
        <v/>
      </c>
      <c r="W26" s="39" t="str">
        <f aca="false">IFERROR(INDEX('CA Exclusion Map'!$D$2:$D$2001,MATCH($C26,'CA Exclusion Map'!$A$2:$A$2001,0)),"")</f>
        <v/>
      </c>
      <c r="X26" s="40" t="str">
        <f aca="false">IFERROR(INDEX('CA Exclusion Map'!$E$2:$E$2001,MATCH($C26,'CA Exclusion Map'!$A$2:$A$2001,0)),"")</f>
        <v/>
      </c>
      <c r="Y26" s="40" t="str">
        <f aca="false">IFERROR(INDEX('CA Exclusion Map'!$F$2:$F$2001,MATCH($C26,'CA Exclusion Map'!$A$2:$A$2001,0)),"")</f>
        <v/>
      </c>
      <c r="Z26" s="36"/>
      <c r="AA26" s="37"/>
      <c r="AB26" s="38"/>
      <c r="AC26" s="38"/>
      <c r="AD26" s="39" t="str">
        <f aca="true">IF(V26="","",IF(V26&lt;&gt;"Yes","N/A",IF(AC26="","NO EXPIRY SET",IF(TODAY()&gt;AC26,"EXPIRED",IF(AC26-TODAY()&lt;=30,"Expiring Soon","Active")))))</f>
        <v/>
      </c>
      <c r="AE26" s="36"/>
      <c r="AF26" s="36"/>
      <c r="AG26" s="37"/>
      <c r="AH26" s="36"/>
      <c r="AI26" s="37"/>
      <c r="AJ26" s="37"/>
      <c r="AK26" s="37"/>
      <c r="AL26" s="37"/>
      <c r="AM26" s="38"/>
      <c r="AN26" s="37"/>
      <c r="AO26" s="37"/>
      <c r="AP26" s="41" t="str">
        <f aca="false">IF(AM26="","",AM26+90)</f>
        <v/>
      </c>
      <c r="AQ26" s="39" t="str">
        <f aca="true">IF(C26="","",IF(AM26="","NOT REVIEWED",IF(TODAY()&gt;AP26,"OVERDUE",IF(AP26-TODAY()&lt;=14,"Due Soon","Current"))))</f>
        <v/>
      </c>
      <c r="AR26" s="36"/>
    </row>
    <row r="27" customFormat="false" ht="15" hidden="false" customHeight="false" outlineLevel="0" collapsed="false">
      <c r="A27" s="36"/>
      <c r="B27" s="36"/>
      <c r="C27" s="36"/>
      <c r="D27" s="36"/>
      <c r="E27" s="37"/>
      <c r="F27" s="37"/>
      <c r="G27" s="37"/>
      <c r="H27" s="38"/>
      <c r="I27" s="38"/>
      <c r="J27" s="38"/>
      <c r="K27" s="37"/>
      <c r="L27" s="36"/>
      <c r="M27" s="36"/>
      <c r="N27" s="37"/>
      <c r="O27" s="37"/>
      <c r="P27" s="36"/>
      <c r="Q27" s="39" t="str">
        <f aca="true">IF(J27="","",TODAY()-J27)</f>
        <v/>
      </c>
      <c r="R27" s="37"/>
      <c r="S27" s="40" t="str">
        <f aca="false">IFERROR(INDEX('Azure Resource Map'!$D$2:$D$2001,MATCH($C27,'Azure Resource Map'!$A$2:$A$2001,0)),"")</f>
        <v/>
      </c>
      <c r="T27" s="39" t="str">
        <f aca="false">IFERROR(INDEX('Azure Resource Map'!$E$2:$E$2001,MATCH($C27,'Azure Resource Map'!$A$2:$A$2001,0)),"")</f>
        <v/>
      </c>
      <c r="U27" s="39" t="str">
        <f aca="false">IFERROR(INDEX('Azure Resource Map'!$F$2:$F$2001,MATCH($C27,'Azure Resource Map'!$A$2:$A$2001,0)),"")</f>
        <v/>
      </c>
      <c r="V27" s="39" t="str">
        <f aca="false">IF($C27="","",IF(ISNUMBER(MATCH($C27,'CA Exclusion Map'!$A$2:$A$2001,0)),"Yes","No"))</f>
        <v/>
      </c>
      <c r="W27" s="39" t="str">
        <f aca="false">IFERROR(INDEX('CA Exclusion Map'!$D$2:$D$2001,MATCH($C27,'CA Exclusion Map'!$A$2:$A$2001,0)),"")</f>
        <v/>
      </c>
      <c r="X27" s="40" t="str">
        <f aca="false">IFERROR(INDEX('CA Exclusion Map'!$E$2:$E$2001,MATCH($C27,'CA Exclusion Map'!$A$2:$A$2001,0)),"")</f>
        <v/>
      </c>
      <c r="Y27" s="40" t="str">
        <f aca="false">IFERROR(INDEX('CA Exclusion Map'!$F$2:$F$2001,MATCH($C27,'CA Exclusion Map'!$A$2:$A$2001,0)),"")</f>
        <v/>
      </c>
      <c r="Z27" s="36"/>
      <c r="AA27" s="37"/>
      <c r="AB27" s="38"/>
      <c r="AC27" s="38"/>
      <c r="AD27" s="39" t="str">
        <f aca="true">IF(V27="","",IF(V27&lt;&gt;"Yes","N/A",IF(AC27="","NO EXPIRY SET",IF(TODAY()&gt;AC27,"EXPIRED",IF(AC27-TODAY()&lt;=30,"Expiring Soon","Active")))))</f>
        <v/>
      </c>
      <c r="AE27" s="36"/>
      <c r="AF27" s="36"/>
      <c r="AG27" s="37"/>
      <c r="AH27" s="36"/>
      <c r="AI27" s="37"/>
      <c r="AJ27" s="37"/>
      <c r="AK27" s="37"/>
      <c r="AL27" s="37"/>
      <c r="AM27" s="38"/>
      <c r="AN27" s="37"/>
      <c r="AO27" s="37"/>
      <c r="AP27" s="41" t="str">
        <f aca="false">IF(AM27="","",AM27+90)</f>
        <v/>
      </c>
      <c r="AQ27" s="39" t="str">
        <f aca="true">IF(C27="","",IF(AM27="","NOT REVIEWED",IF(TODAY()&gt;AP27,"OVERDUE",IF(AP27-TODAY()&lt;=14,"Due Soon","Current"))))</f>
        <v/>
      </c>
      <c r="AR27" s="36"/>
    </row>
    <row r="28" customFormat="false" ht="15" hidden="false" customHeight="false" outlineLevel="0" collapsed="false">
      <c r="A28" s="36"/>
      <c r="B28" s="36"/>
      <c r="C28" s="36"/>
      <c r="D28" s="36"/>
      <c r="E28" s="37"/>
      <c r="F28" s="37"/>
      <c r="G28" s="37"/>
      <c r="H28" s="38"/>
      <c r="I28" s="38"/>
      <c r="J28" s="38"/>
      <c r="K28" s="37"/>
      <c r="L28" s="36"/>
      <c r="M28" s="36"/>
      <c r="N28" s="37"/>
      <c r="O28" s="37"/>
      <c r="P28" s="36"/>
      <c r="Q28" s="39" t="str">
        <f aca="true">IF(J28="","",TODAY()-J28)</f>
        <v/>
      </c>
      <c r="R28" s="37"/>
      <c r="S28" s="40" t="str">
        <f aca="false">IFERROR(INDEX('Azure Resource Map'!$D$2:$D$2001,MATCH($C28,'Azure Resource Map'!$A$2:$A$2001,0)),"")</f>
        <v/>
      </c>
      <c r="T28" s="39" t="str">
        <f aca="false">IFERROR(INDEX('Azure Resource Map'!$E$2:$E$2001,MATCH($C28,'Azure Resource Map'!$A$2:$A$2001,0)),"")</f>
        <v/>
      </c>
      <c r="U28" s="39" t="str">
        <f aca="false">IFERROR(INDEX('Azure Resource Map'!$F$2:$F$2001,MATCH($C28,'Azure Resource Map'!$A$2:$A$2001,0)),"")</f>
        <v/>
      </c>
      <c r="V28" s="39" t="str">
        <f aca="false">IF($C28="","",IF(ISNUMBER(MATCH($C28,'CA Exclusion Map'!$A$2:$A$2001,0)),"Yes","No"))</f>
        <v/>
      </c>
      <c r="W28" s="39" t="str">
        <f aca="false">IFERROR(INDEX('CA Exclusion Map'!$D$2:$D$2001,MATCH($C28,'CA Exclusion Map'!$A$2:$A$2001,0)),"")</f>
        <v/>
      </c>
      <c r="X28" s="40" t="str">
        <f aca="false">IFERROR(INDEX('CA Exclusion Map'!$E$2:$E$2001,MATCH($C28,'CA Exclusion Map'!$A$2:$A$2001,0)),"")</f>
        <v/>
      </c>
      <c r="Y28" s="40" t="str">
        <f aca="false">IFERROR(INDEX('CA Exclusion Map'!$F$2:$F$2001,MATCH($C28,'CA Exclusion Map'!$A$2:$A$2001,0)),"")</f>
        <v/>
      </c>
      <c r="Z28" s="36"/>
      <c r="AA28" s="37"/>
      <c r="AB28" s="38"/>
      <c r="AC28" s="38"/>
      <c r="AD28" s="39" t="str">
        <f aca="true">IF(V28="","",IF(V28&lt;&gt;"Yes","N/A",IF(AC28="","NO EXPIRY SET",IF(TODAY()&gt;AC28,"EXPIRED",IF(AC28-TODAY()&lt;=30,"Expiring Soon","Active")))))</f>
        <v/>
      </c>
      <c r="AE28" s="36"/>
      <c r="AF28" s="36"/>
      <c r="AG28" s="37"/>
      <c r="AH28" s="36"/>
      <c r="AI28" s="37"/>
      <c r="AJ28" s="37"/>
      <c r="AK28" s="37"/>
      <c r="AL28" s="37"/>
      <c r="AM28" s="38"/>
      <c r="AN28" s="37"/>
      <c r="AO28" s="37"/>
      <c r="AP28" s="41" t="str">
        <f aca="false">IF(AM28="","",AM28+90)</f>
        <v/>
      </c>
      <c r="AQ28" s="39" t="str">
        <f aca="true">IF(C28="","",IF(AM28="","NOT REVIEWED",IF(TODAY()&gt;AP28,"OVERDUE",IF(AP28-TODAY()&lt;=14,"Due Soon","Current"))))</f>
        <v/>
      </c>
      <c r="AR28" s="36"/>
    </row>
    <row r="29" customFormat="false" ht="15" hidden="false" customHeight="false" outlineLevel="0" collapsed="false">
      <c r="A29" s="36"/>
      <c r="B29" s="36"/>
      <c r="C29" s="36"/>
      <c r="D29" s="36"/>
      <c r="E29" s="37"/>
      <c r="F29" s="37"/>
      <c r="G29" s="37"/>
      <c r="H29" s="38"/>
      <c r="I29" s="38"/>
      <c r="J29" s="38"/>
      <c r="K29" s="37"/>
      <c r="L29" s="36"/>
      <c r="M29" s="36"/>
      <c r="N29" s="37"/>
      <c r="O29" s="37"/>
      <c r="P29" s="36"/>
      <c r="Q29" s="39" t="str">
        <f aca="true">IF(J29="","",TODAY()-J29)</f>
        <v/>
      </c>
      <c r="R29" s="37"/>
      <c r="S29" s="40" t="str">
        <f aca="false">IFERROR(INDEX('Azure Resource Map'!$D$2:$D$2001,MATCH($C29,'Azure Resource Map'!$A$2:$A$2001,0)),"")</f>
        <v/>
      </c>
      <c r="T29" s="39" t="str">
        <f aca="false">IFERROR(INDEX('Azure Resource Map'!$E$2:$E$2001,MATCH($C29,'Azure Resource Map'!$A$2:$A$2001,0)),"")</f>
        <v/>
      </c>
      <c r="U29" s="39" t="str">
        <f aca="false">IFERROR(INDEX('Azure Resource Map'!$F$2:$F$2001,MATCH($C29,'Azure Resource Map'!$A$2:$A$2001,0)),"")</f>
        <v/>
      </c>
      <c r="V29" s="39" t="str">
        <f aca="false">IF($C29="","",IF(ISNUMBER(MATCH($C29,'CA Exclusion Map'!$A$2:$A$2001,0)),"Yes","No"))</f>
        <v/>
      </c>
      <c r="W29" s="39" t="str">
        <f aca="false">IFERROR(INDEX('CA Exclusion Map'!$D$2:$D$2001,MATCH($C29,'CA Exclusion Map'!$A$2:$A$2001,0)),"")</f>
        <v/>
      </c>
      <c r="X29" s="40" t="str">
        <f aca="false">IFERROR(INDEX('CA Exclusion Map'!$E$2:$E$2001,MATCH($C29,'CA Exclusion Map'!$A$2:$A$2001,0)),"")</f>
        <v/>
      </c>
      <c r="Y29" s="40" t="str">
        <f aca="false">IFERROR(INDEX('CA Exclusion Map'!$F$2:$F$2001,MATCH($C29,'CA Exclusion Map'!$A$2:$A$2001,0)),"")</f>
        <v/>
      </c>
      <c r="Z29" s="36"/>
      <c r="AA29" s="37"/>
      <c r="AB29" s="38"/>
      <c r="AC29" s="38"/>
      <c r="AD29" s="39" t="str">
        <f aca="true">IF(V29="","",IF(V29&lt;&gt;"Yes","N/A",IF(AC29="","NO EXPIRY SET",IF(TODAY()&gt;AC29,"EXPIRED",IF(AC29-TODAY()&lt;=30,"Expiring Soon","Active")))))</f>
        <v/>
      </c>
      <c r="AE29" s="36"/>
      <c r="AF29" s="36"/>
      <c r="AG29" s="37"/>
      <c r="AH29" s="36"/>
      <c r="AI29" s="37"/>
      <c r="AJ29" s="37"/>
      <c r="AK29" s="37"/>
      <c r="AL29" s="37"/>
      <c r="AM29" s="38"/>
      <c r="AN29" s="37"/>
      <c r="AO29" s="37"/>
      <c r="AP29" s="41" t="str">
        <f aca="false">IF(AM29="","",AM29+90)</f>
        <v/>
      </c>
      <c r="AQ29" s="39" t="str">
        <f aca="true">IF(C29="","",IF(AM29="","NOT REVIEWED",IF(TODAY()&gt;AP29,"OVERDUE",IF(AP29-TODAY()&lt;=14,"Due Soon","Current"))))</f>
        <v/>
      </c>
      <c r="AR29" s="36"/>
    </row>
    <row r="30" customFormat="false" ht="15" hidden="false" customHeight="false" outlineLevel="0" collapsed="false">
      <c r="A30" s="36"/>
      <c r="B30" s="36"/>
      <c r="C30" s="36"/>
      <c r="D30" s="36"/>
      <c r="E30" s="37"/>
      <c r="F30" s="37"/>
      <c r="G30" s="37"/>
      <c r="H30" s="38"/>
      <c r="I30" s="38"/>
      <c r="J30" s="38"/>
      <c r="K30" s="37"/>
      <c r="L30" s="36"/>
      <c r="M30" s="36"/>
      <c r="N30" s="37"/>
      <c r="O30" s="37"/>
      <c r="P30" s="36"/>
      <c r="Q30" s="39" t="str">
        <f aca="true">IF(J30="","",TODAY()-J30)</f>
        <v/>
      </c>
      <c r="R30" s="37"/>
      <c r="S30" s="40" t="str">
        <f aca="false">IFERROR(INDEX('Azure Resource Map'!$D$2:$D$2001,MATCH($C30,'Azure Resource Map'!$A$2:$A$2001,0)),"")</f>
        <v/>
      </c>
      <c r="T30" s="39" t="str">
        <f aca="false">IFERROR(INDEX('Azure Resource Map'!$E$2:$E$2001,MATCH($C30,'Azure Resource Map'!$A$2:$A$2001,0)),"")</f>
        <v/>
      </c>
      <c r="U30" s="39" t="str">
        <f aca="false">IFERROR(INDEX('Azure Resource Map'!$F$2:$F$2001,MATCH($C30,'Azure Resource Map'!$A$2:$A$2001,0)),"")</f>
        <v/>
      </c>
      <c r="V30" s="39" t="str">
        <f aca="false">IF($C30="","",IF(ISNUMBER(MATCH($C30,'CA Exclusion Map'!$A$2:$A$2001,0)),"Yes","No"))</f>
        <v/>
      </c>
      <c r="W30" s="39" t="str">
        <f aca="false">IFERROR(INDEX('CA Exclusion Map'!$D$2:$D$2001,MATCH($C30,'CA Exclusion Map'!$A$2:$A$2001,0)),"")</f>
        <v/>
      </c>
      <c r="X30" s="40" t="str">
        <f aca="false">IFERROR(INDEX('CA Exclusion Map'!$E$2:$E$2001,MATCH($C30,'CA Exclusion Map'!$A$2:$A$2001,0)),"")</f>
        <v/>
      </c>
      <c r="Y30" s="40" t="str">
        <f aca="false">IFERROR(INDEX('CA Exclusion Map'!$F$2:$F$2001,MATCH($C30,'CA Exclusion Map'!$A$2:$A$2001,0)),"")</f>
        <v/>
      </c>
      <c r="Z30" s="36"/>
      <c r="AA30" s="37"/>
      <c r="AB30" s="38"/>
      <c r="AC30" s="38"/>
      <c r="AD30" s="39" t="str">
        <f aca="true">IF(V30="","",IF(V30&lt;&gt;"Yes","N/A",IF(AC30="","NO EXPIRY SET",IF(TODAY()&gt;AC30,"EXPIRED",IF(AC30-TODAY()&lt;=30,"Expiring Soon","Active")))))</f>
        <v/>
      </c>
      <c r="AE30" s="36"/>
      <c r="AF30" s="36"/>
      <c r="AG30" s="37"/>
      <c r="AH30" s="36"/>
      <c r="AI30" s="37"/>
      <c r="AJ30" s="37"/>
      <c r="AK30" s="37"/>
      <c r="AL30" s="37"/>
      <c r="AM30" s="38"/>
      <c r="AN30" s="37"/>
      <c r="AO30" s="37"/>
      <c r="AP30" s="41" t="str">
        <f aca="false">IF(AM30="","",AM30+90)</f>
        <v/>
      </c>
      <c r="AQ30" s="39" t="str">
        <f aca="true">IF(C30="","",IF(AM30="","NOT REVIEWED",IF(TODAY()&gt;AP30,"OVERDUE",IF(AP30-TODAY()&lt;=14,"Due Soon","Current"))))</f>
        <v/>
      </c>
      <c r="AR30" s="36"/>
    </row>
    <row r="31" customFormat="false" ht="15" hidden="false" customHeight="false" outlineLevel="0" collapsed="false">
      <c r="A31" s="36"/>
      <c r="B31" s="36"/>
      <c r="C31" s="36"/>
      <c r="D31" s="36"/>
      <c r="E31" s="37"/>
      <c r="F31" s="37"/>
      <c r="G31" s="37"/>
      <c r="H31" s="38"/>
      <c r="I31" s="38"/>
      <c r="J31" s="38"/>
      <c r="K31" s="37"/>
      <c r="L31" s="36"/>
      <c r="M31" s="36"/>
      <c r="N31" s="37"/>
      <c r="O31" s="37"/>
      <c r="P31" s="36"/>
      <c r="Q31" s="39" t="str">
        <f aca="true">IF(J31="","",TODAY()-J31)</f>
        <v/>
      </c>
      <c r="R31" s="37"/>
      <c r="S31" s="40" t="str">
        <f aca="false">IFERROR(INDEX('Azure Resource Map'!$D$2:$D$2001,MATCH($C31,'Azure Resource Map'!$A$2:$A$2001,0)),"")</f>
        <v/>
      </c>
      <c r="T31" s="39" t="str">
        <f aca="false">IFERROR(INDEX('Azure Resource Map'!$E$2:$E$2001,MATCH($C31,'Azure Resource Map'!$A$2:$A$2001,0)),"")</f>
        <v/>
      </c>
      <c r="U31" s="39" t="str">
        <f aca="false">IFERROR(INDEX('Azure Resource Map'!$F$2:$F$2001,MATCH($C31,'Azure Resource Map'!$A$2:$A$2001,0)),"")</f>
        <v/>
      </c>
      <c r="V31" s="39" t="str">
        <f aca="false">IF($C31="","",IF(ISNUMBER(MATCH($C31,'CA Exclusion Map'!$A$2:$A$2001,0)),"Yes","No"))</f>
        <v/>
      </c>
      <c r="W31" s="39" t="str">
        <f aca="false">IFERROR(INDEX('CA Exclusion Map'!$D$2:$D$2001,MATCH($C31,'CA Exclusion Map'!$A$2:$A$2001,0)),"")</f>
        <v/>
      </c>
      <c r="X31" s="40" t="str">
        <f aca="false">IFERROR(INDEX('CA Exclusion Map'!$E$2:$E$2001,MATCH($C31,'CA Exclusion Map'!$A$2:$A$2001,0)),"")</f>
        <v/>
      </c>
      <c r="Y31" s="40" t="str">
        <f aca="false">IFERROR(INDEX('CA Exclusion Map'!$F$2:$F$2001,MATCH($C31,'CA Exclusion Map'!$A$2:$A$2001,0)),"")</f>
        <v/>
      </c>
      <c r="Z31" s="36"/>
      <c r="AA31" s="37"/>
      <c r="AB31" s="38"/>
      <c r="AC31" s="38"/>
      <c r="AD31" s="39" t="str">
        <f aca="true">IF(V31="","",IF(V31&lt;&gt;"Yes","N/A",IF(AC31="","NO EXPIRY SET",IF(TODAY()&gt;AC31,"EXPIRED",IF(AC31-TODAY()&lt;=30,"Expiring Soon","Active")))))</f>
        <v/>
      </c>
      <c r="AE31" s="36"/>
      <c r="AF31" s="36"/>
      <c r="AG31" s="37"/>
      <c r="AH31" s="36"/>
      <c r="AI31" s="37"/>
      <c r="AJ31" s="37"/>
      <c r="AK31" s="37"/>
      <c r="AL31" s="37"/>
      <c r="AM31" s="38"/>
      <c r="AN31" s="37"/>
      <c r="AO31" s="37"/>
      <c r="AP31" s="41" t="str">
        <f aca="false">IF(AM31="","",AM31+90)</f>
        <v/>
      </c>
      <c r="AQ31" s="39" t="str">
        <f aca="true">IF(C31="","",IF(AM31="","NOT REVIEWED",IF(TODAY()&gt;AP31,"OVERDUE",IF(AP31-TODAY()&lt;=14,"Due Soon","Current"))))</f>
        <v/>
      </c>
      <c r="AR31" s="36"/>
    </row>
    <row r="32" customFormat="false" ht="15" hidden="false" customHeight="false" outlineLevel="0" collapsed="false">
      <c r="A32" s="36"/>
      <c r="B32" s="36"/>
      <c r="C32" s="36"/>
      <c r="D32" s="36"/>
      <c r="E32" s="37"/>
      <c r="F32" s="37"/>
      <c r="G32" s="37"/>
      <c r="H32" s="38"/>
      <c r="I32" s="38"/>
      <c r="J32" s="38"/>
      <c r="K32" s="37"/>
      <c r="L32" s="36"/>
      <c r="M32" s="36"/>
      <c r="N32" s="37"/>
      <c r="O32" s="37"/>
      <c r="P32" s="36"/>
      <c r="Q32" s="39" t="str">
        <f aca="true">IF(J32="","",TODAY()-J32)</f>
        <v/>
      </c>
      <c r="R32" s="37"/>
      <c r="S32" s="40" t="str">
        <f aca="false">IFERROR(INDEX('Azure Resource Map'!$D$2:$D$2001,MATCH($C32,'Azure Resource Map'!$A$2:$A$2001,0)),"")</f>
        <v/>
      </c>
      <c r="T32" s="39" t="str">
        <f aca="false">IFERROR(INDEX('Azure Resource Map'!$E$2:$E$2001,MATCH($C32,'Azure Resource Map'!$A$2:$A$2001,0)),"")</f>
        <v/>
      </c>
      <c r="U32" s="39" t="str">
        <f aca="false">IFERROR(INDEX('Azure Resource Map'!$F$2:$F$2001,MATCH($C32,'Azure Resource Map'!$A$2:$A$2001,0)),"")</f>
        <v/>
      </c>
      <c r="V32" s="39" t="str">
        <f aca="false">IF($C32="","",IF(ISNUMBER(MATCH($C32,'CA Exclusion Map'!$A$2:$A$2001,0)),"Yes","No"))</f>
        <v/>
      </c>
      <c r="W32" s="39" t="str">
        <f aca="false">IFERROR(INDEX('CA Exclusion Map'!$D$2:$D$2001,MATCH($C32,'CA Exclusion Map'!$A$2:$A$2001,0)),"")</f>
        <v/>
      </c>
      <c r="X32" s="40" t="str">
        <f aca="false">IFERROR(INDEX('CA Exclusion Map'!$E$2:$E$2001,MATCH($C32,'CA Exclusion Map'!$A$2:$A$2001,0)),"")</f>
        <v/>
      </c>
      <c r="Y32" s="40" t="str">
        <f aca="false">IFERROR(INDEX('CA Exclusion Map'!$F$2:$F$2001,MATCH($C32,'CA Exclusion Map'!$A$2:$A$2001,0)),"")</f>
        <v/>
      </c>
      <c r="Z32" s="36"/>
      <c r="AA32" s="37"/>
      <c r="AB32" s="38"/>
      <c r="AC32" s="38"/>
      <c r="AD32" s="39" t="str">
        <f aca="true">IF(V32="","",IF(V32&lt;&gt;"Yes","N/A",IF(AC32="","NO EXPIRY SET",IF(TODAY()&gt;AC32,"EXPIRED",IF(AC32-TODAY()&lt;=30,"Expiring Soon","Active")))))</f>
        <v/>
      </c>
      <c r="AE32" s="36"/>
      <c r="AF32" s="36"/>
      <c r="AG32" s="37"/>
      <c r="AH32" s="36"/>
      <c r="AI32" s="37"/>
      <c r="AJ32" s="37"/>
      <c r="AK32" s="37"/>
      <c r="AL32" s="37"/>
      <c r="AM32" s="38"/>
      <c r="AN32" s="37"/>
      <c r="AO32" s="37"/>
      <c r="AP32" s="41" t="str">
        <f aca="false">IF(AM32="","",AM32+90)</f>
        <v/>
      </c>
      <c r="AQ32" s="39" t="str">
        <f aca="true">IF(C32="","",IF(AM32="","NOT REVIEWED",IF(TODAY()&gt;AP32,"OVERDUE",IF(AP32-TODAY()&lt;=14,"Due Soon","Current"))))</f>
        <v/>
      </c>
      <c r="AR32" s="36"/>
    </row>
    <row r="33" customFormat="false" ht="15" hidden="false" customHeight="false" outlineLevel="0" collapsed="false">
      <c r="A33" s="36"/>
      <c r="B33" s="36"/>
      <c r="C33" s="36"/>
      <c r="D33" s="36"/>
      <c r="E33" s="37"/>
      <c r="F33" s="37"/>
      <c r="G33" s="37"/>
      <c r="H33" s="38"/>
      <c r="I33" s="38"/>
      <c r="J33" s="38"/>
      <c r="K33" s="37"/>
      <c r="L33" s="36"/>
      <c r="M33" s="36"/>
      <c r="N33" s="37"/>
      <c r="O33" s="37"/>
      <c r="P33" s="36"/>
      <c r="Q33" s="39" t="str">
        <f aca="true">IF(J33="","",TODAY()-J33)</f>
        <v/>
      </c>
      <c r="R33" s="37"/>
      <c r="S33" s="40" t="str">
        <f aca="false">IFERROR(INDEX('Azure Resource Map'!$D$2:$D$2001,MATCH($C33,'Azure Resource Map'!$A$2:$A$2001,0)),"")</f>
        <v/>
      </c>
      <c r="T33" s="39" t="str">
        <f aca="false">IFERROR(INDEX('Azure Resource Map'!$E$2:$E$2001,MATCH($C33,'Azure Resource Map'!$A$2:$A$2001,0)),"")</f>
        <v/>
      </c>
      <c r="U33" s="39" t="str">
        <f aca="false">IFERROR(INDEX('Azure Resource Map'!$F$2:$F$2001,MATCH($C33,'Azure Resource Map'!$A$2:$A$2001,0)),"")</f>
        <v/>
      </c>
      <c r="V33" s="39" t="str">
        <f aca="false">IF($C33="","",IF(ISNUMBER(MATCH($C33,'CA Exclusion Map'!$A$2:$A$2001,0)),"Yes","No"))</f>
        <v/>
      </c>
      <c r="W33" s="39" t="str">
        <f aca="false">IFERROR(INDEX('CA Exclusion Map'!$D$2:$D$2001,MATCH($C33,'CA Exclusion Map'!$A$2:$A$2001,0)),"")</f>
        <v/>
      </c>
      <c r="X33" s="40" t="str">
        <f aca="false">IFERROR(INDEX('CA Exclusion Map'!$E$2:$E$2001,MATCH($C33,'CA Exclusion Map'!$A$2:$A$2001,0)),"")</f>
        <v/>
      </c>
      <c r="Y33" s="40" t="str">
        <f aca="false">IFERROR(INDEX('CA Exclusion Map'!$F$2:$F$2001,MATCH($C33,'CA Exclusion Map'!$A$2:$A$2001,0)),"")</f>
        <v/>
      </c>
      <c r="Z33" s="36"/>
      <c r="AA33" s="37"/>
      <c r="AB33" s="38"/>
      <c r="AC33" s="38"/>
      <c r="AD33" s="39" t="str">
        <f aca="true">IF(V33="","",IF(V33&lt;&gt;"Yes","N/A",IF(AC33="","NO EXPIRY SET",IF(TODAY()&gt;AC33,"EXPIRED",IF(AC33-TODAY()&lt;=30,"Expiring Soon","Active")))))</f>
        <v/>
      </c>
      <c r="AE33" s="36"/>
      <c r="AF33" s="36"/>
      <c r="AG33" s="37"/>
      <c r="AH33" s="36"/>
      <c r="AI33" s="37"/>
      <c r="AJ33" s="37"/>
      <c r="AK33" s="37"/>
      <c r="AL33" s="37"/>
      <c r="AM33" s="38"/>
      <c r="AN33" s="37"/>
      <c r="AO33" s="37"/>
      <c r="AP33" s="41" t="str">
        <f aca="false">IF(AM33="","",AM33+90)</f>
        <v/>
      </c>
      <c r="AQ33" s="39" t="str">
        <f aca="true">IF(C33="","",IF(AM33="","NOT REVIEWED",IF(TODAY()&gt;AP33,"OVERDUE",IF(AP33-TODAY()&lt;=14,"Due Soon","Current"))))</f>
        <v/>
      </c>
      <c r="AR33" s="36"/>
    </row>
    <row r="34" customFormat="false" ht="15" hidden="false" customHeight="false" outlineLevel="0" collapsed="false">
      <c r="A34" s="36"/>
      <c r="B34" s="36"/>
      <c r="C34" s="36"/>
      <c r="D34" s="36"/>
      <c r="E34" s="37"/>
      <c r="F34" s="37"/>
      <c r="G34" s="37"/>
      <c r="H34" s="38"/>
      <c r="I34" s="38"/>
      <c r="J34" s="38"/>
      <c r="K34" s="37"/>
      <c r="L34" s="36"/>
      <c r="M34" s="36"/>
      <c r="N34" s="37"/>
      <c r="O34" s="37"/>
      <c r="P34" s="36"/>
      <c r="Q34" s="39" t="str">
        <f aca="true">IF(J34="","",TODAY()-J34)</f>
        <v/>
      </c>
      <c r="R34" s="37"/>
      <c r="S34" s="40" t="str">
        <f aca="false">IFERROR(INDEX('Azure Resource Map'!$D$2:$D$2001,MATCH($C34,'Azure Resource Map'!$A$2:$A$2001,0)),"")</f>
        <v/>
      </c>
      <c r="T34" s="39" t="str">
        <f aca="false">IFERROR(INDEX('Azure Resource Map'!$E$2:$E$2001,MATCH($C34,'Azure Resource Map'!$A$2:$A$2001,0)),"")</f>
        <v/>
      </c>
      <c r="U34" s="39" t="str">
        <f aca="false">IFERROR(INDEX('Azure Resource Map'!$F$2:$F$2001,MATCH($C34,'Azure Resource Map'!$A$2:$A$2001,0)),"")</f>
        <v/>
      </c>
      <c r="V34" s="39" t="str">
        <f aca="false">IF($C34="","",IF(ISNUMBER(MATCH($C34,'CA Exclusion Map'!$A$2:$A$2001,0)),"Yes","No"))</f>
        <v/>
      </c>
      <c r="W34" s="39" t="str">
        <f aca="false">IFERROR(INDEX('CA Exclusion Map'!$D$2:$D$2001,MATCH($C34,'CA Exclusion Map'!$A$2:$A$2001,0)),"")</f>
        <v/>
      </c>
      <c r="X34" s="40" t="str">
        <f aca="false">IFERROR(INDEX('CA Exclusion Map'!$E$2:$E$2001,MATCH($C34,'CA Exclusion Map'!$A$2:$A$2001,0)),"")</f>
        <v/>
      </c>
      <c r="Y34" s="40" t="str">
        <f aca="false">IFERROR(INDEX('CA Exclusion Map'!$F$2:$F$2001,MATCH($C34,'CA Exclusion Map'!$A$2:$A$2001,0)),"")</f>
        <v/>
      </c>
      <c r="Z34" s="36"/>
      <c r="AA34" s="37"/>
      <c r="AB34" s="38"/>
      <c r="AC34" s="38"/>
      <c r="AD34" s="39" t="str">
        <f aca="true">IF(V34="","",IF(V34&lt;&gt;"Yes","N/A",IF(AC34="","NO EXPIRY SET",IF(TODAY()&gt;AC34,"EXPIRED",IF(AC34-TODAY()&lt;=30,"Expiring Soon","Active")))))</f>
        <v/>
      </c>
      <c r="AE34" s="36"/>
      <c r="AF34" s="36"/>
      <c r="AG34" s="37"/>
      <c r="AH34" s="36"/>
      <c r="AI34" s="37"/>
      <c r="AJ34" s="37"/>
      <c r="AK34" s="37"/>
      <c r="AL34" s="37"/>
      <c r="AM34" s="38"/>
      <c r="AN34" s="37"/>
      <c r="AO34" s="37"/>
      <c r="AP34" s="41" t="str">
        <f aca="false">IF(AM34="","",AM34+90)</f>
        <v/>
      </c>
      <c r="AQ34" s="39" t="str">
        <f aca="true">IF(C34="","",IF(AM34="","NOT REVIEWED",IF(TODAY()&gt;AP34,"OVERDUE",IF(AP34-TODAY()&lt;=14,"Due Soon","Current"))))</f>
        <v/>
      </c>
      <c r="AR34" s="36"/>
    </row>
    <row r="35" customFormat="false" ht="15" hidden="false" customHeight="false" outlineLevel="0" collapsed="false">
      <c r="A35" s="36"/>
      <c r="B35" s="36"/>
      <c r="C35" s="36"/>
      <c r="D35" s="36"/>
      <c r="E35" s="37"/>
      <c r="F35" s="37"/>
      <c r="G35" s="37"/>
      <c r="H35" s="38"/>
      <c r="I35" s="38"/>
      <c r="J35" s="38"/>
      <c r="K35" s="37"/>
      <c r="L35" s="36"/>
      <c r="M35" s="36"/>
      <c r="N35" s="37"/>
      <c r="O35" s="37"/>
      <c r="P35" s="36"/>
      <c r="Q35" s="39" t="str">
        <f aca="true">IF(J35="","",TODAY()-J35)</f>
        <v/>
      </c>
      <c r="R35" s="37"/>
      <c r="S35" s="40" t="str">
        <f aca="false">IFERROR(INDEX('Azure Resource Map'!$D$2:$D$2001,MATCH($C35,'Azure Resource Map'!$A$2:$A$2001,0)),"")</f>
        <v/>
      </c>
      <c r="T35" s="39" t="str">
        <f aca="false">IFERROR(INDEX('Azure Resource Map'!$E$2:$E$2001,MATCH($C35,'Azure Resource Map'!$A$2:$A$2001,0)),"")</f>
        <v/>
      </c>
      <c r="U35" s="39" t="str">
        <f aca="false">IFERROR(INDEX('Azure Resource Map'!$F$2:$F$2001,MATCH($C35,'Azure Resource Map'!$A$2:$A$2001,0)),"")</f>
        <v/>
      </c>
      <c r="V35" s="39" t="str">
        <f aca="false">IF($C35="","",IF(ISNUMBER(MATCH($C35,'CA Exclusion Map'!$A$2:$A$2001,0)),"Yes","No"))</f>
        <v/>
      </c>
      <c r="W35" s="39" t="str">
        <f aca="false">IFERROR(INDEX('CA Exclusion Map'!$D$2:$D$2001,MATCH($C35,'CA Exclusion Map'!$A$2:$A$2001,0)),"")</f>
        <v/>
      </c>
      <c r="X35" s="40" t="str">
        <f aca="false">IFERROR(INDEX('CA Exclusion Map'!$E$2:$E$2001,MATCH($C35,'CA Exclusion Map'!$A$2:$A$2001,0)),"")</f>
        <v/>
      </c>
      <c r="Y35" s="40" t="str">
        <f aca="false">IFERROR(INDEX('CA Exclusion Map'!$F$2:$F$2001,MATCH($C35,'CA Exclusion Map'!$A$2:$A$2001,0)),"")</f>
        <v/>
      </c>
      <c r="Z35" s="36"/>
      <c r="AA35" s="37"/>
      <c r="AB35" s="38"/>
      <c r="AC35" s="38"/>
      <c r="AD35" s="39" t="str">
        <f aca="true">IF(V35="","",IF(V35&lt;&gt;"Yes","N/A",IF(AC35="","NO EXPIRY SET",IF(TODAY()&gt;AC35,"EXPIRED",IF(AC35-TODAY()&lt;=30,"Expiring Soon","Active")))))</f>
        <v/>
      </c>
      <c r="AE35" s="36"/>
      <c r="AF35" s="36"/>
      <c r="AG35" s="37"/>
      <c r="AH35" s="36"/>
      <c r="AI35" s="37"/>
      <c r="AJ35" s="37"/>
      <c r="AK35" s="37"/>
      <c r="AL35" s="37"/>
      <c r="AM35" s="38"/>
      <c r="AN35" s="37"/>
      <c r="AO35" s="37"/>
      <c r="AP35" s="41" t="str">
        <f aca="false">IF(AM35="","",AM35+90)</f>
        <v/>
      </c>
      <c r="AQ35" s="39" t="str">
        <f aca="true">IF(C35="","",IF(AM35="","NOT REVIEWED",IF(TODAY()&gt;AP35,"OVERDUE",IF(AP35-TODAY()&lt;=14,"Due Soon","Current"))))</f>
        <v/>
      </c>
      <c r="AR35" s="36"/>
    </row>
    <row r="36" customFormat="false" ht="15" hidden="false" customHeight="false" outlineLevel="0" collapsed="false">
      <c r="A36" s="36"/>
      <c r="B36" s="36"/>
      <c r="C36" s="36"/>
      <c r="D36" s="36"/>
      <c r="E36" s="37"/>
      <c r="F36" s="37"/>
      <c r="G36" s="37"/>
      <c r="H36" s="38"/>
      <c r="I36" s="38"/>
      <c r="J36" s="38"/>
      <c r="K36" s="37"/>
      <c r="L36" s="36"/>
      <c r="M36" s="36"/>
      <c r="N36" s="37"/>
      <c r="O36" s="37"/>
      <c r="P36" s="36"/>
      <c r="Q36" s="39" t="str">
        <f aca="true">IF(J36="","",TODAY()-J36)</f>
        <v/>
      </c>
      <c r="R36" s="37"/>
      <c r="S36" s="40" t="str">
        <f aca="false">IFERROR(INDEX('Azure Resource Map'!$D$2:$D$2001,MATCH($C36,'Azure Resource Map'!$A$2:$A$2001,0)),"")</f>
        <v/>
      </c>
      <c r="T36" s="39" t="str">
        <f aca="false">IFERROR(INDEX('Azure Resource Map'!$E$2:$E$2001,MATCH($C36,'Azure Resource Map'!$A$2:$A$2001,0)),"")</f>
        <v/>
      </c>
      <c r="U36" s="39" t="str">
        <f aca="false">IFERROR(INDEX('Azure Resource Map'!$F$2:$F$2001,MATCH($C36,'Azure Resource Map'!$A$2:$A$2001,0)),"")</f>
        <v/>
      </c>
      <c r="V36" s="39" t="str">
        <f aca="false">IF($C36="","",IF(ISNUMBER(MATCH($C36,'CA Exclusion Map'!$A$2:$A$2001,0)),"Yes","No"))</f>
        <v/>
      </c>
      <c r="W36" s="39" t="str">
        <f aca="false">IFERROR(INDEX('CA Exclusion Map'!$D$2:$D$2001,MATCH($C36,'CA Exclusion Map'!$A$2:$A$2001,0)),"")</f>
        <v/>
      </c>
      <c r="X36" s="40" t="str">
        <f aca="false">IFERROR(INDEX('CA Exclusion Map'!$E$2:$E$2001,MATCH($C36,'CA Exclusion Map'!$A$2:$A$2001,0)),"")</f>
        <v/>
      </c>
      <c r="Y36" s="40" t="str">
        <f aca="false">IFERROR(INDEX('CA Exclusion Map'!$F$2:$F$2001,MATCH($C36,'CA Exclusion Map'!$A$2:$A$2001,0)),"")</f>
        <v/>
      </c>
      <c r="Z36" s="36"/>
      <c r="AA36" s="37"/>
      <c r="AB36" s="38"/>
      <c r="AC36" s="38"/>
      <c r="AD36" s="39" t="str">
        <f aca="true">IF(V36="","",IF(V36&lt;&gt;"Yes","N/A",IF(AC36="","NO EXPIRY SET",IF(TODAY()&gt;AC36,"EXPIRED",IF(AC36-TODAY()&lt;=30,"Expiring Soon","Active")))))</f>
        <v/>
      </c>
      <c r="AE36" s="36"/>
      <c r="AF36" s="36"/>
      <c r="AG36" s="37"/>
      <c r="AH36" s="36"/>
      <c r="AI36" s="37"/>
      <c r="AJ36" s="37"/>
      <c r="AK36" s="37"/>
      <c r="AL36" s="37"/>
      <c r="AM36" s="38"/>
      <c r="AN36" s="37"/>
      <c r="AO36" s="37"/>
      <c r="AP36" s="41" t="str">
        <f aca="false">IF(AM36="","",AM36+90)</f>
        <v/>
      </c>
      <c r="AQ36" s="39" t="str">
        <f aca="true">IF(C36="","",IF(AM36="","NOT REVIEWED",IF(TODAY()&gt;AP36,"OVERDUE",IF(AP36-TODAY()&lt;=14,"Due Soon","Current"))))</f>
        <v/>
      </c>
      <c r="AR36" s="36"/>
    </row>
    <row r="37" customFormat="false" ht="15" hidden="false" customHeight="false" outlineLevel="0" collapsed="false">
      <c r="A37" s="36"/>
      <c r="B37" s="36"/>
      <c r="C37" s="36"/>
      <c r="D37" s="36"/>
      <c r="E37" s="37"/>
      <c r="F37" s="37"/>
      <c r="G37" s="37"/>
      <c r="H37" s="38"/>
      <c r="I37" s="38"/>
      <c r="J37" s="38"/>
      <c r="K37" s="37"/>
      <c r="L37" s="36"/>
      <c r="M37" s="36"/>
      <c r="N37" s="37"/>
      <c r="O37" s="37"/>
      <c r="P37" s="36"/>
      <c r="Q37" s="39" t="str">
        <f aca="true">IF(J37="","",TODAY()-J37)</f>
        <v/>
      </c>
      <c r="R37" s="37"/>
      <c r="S37" s="40" t="str">
        <f aca="false">IFERROR(INDEX('Azure Resource Map'!$D$2:$D$2001,MATCH($C37,'Azure Resource Map'!$A$2:$A$2001,0)),"")</f>
        <v/>
      </c>
      <c r="T37" s="39" t="str">
        <f aca="false">IFERROR(INDEX('Azure Resource Map'!$E$2:$E$2001,MATCH($C37,'Azure Resource Map'!$A$2:$A$2001,0)),"")</f>
        <v/>
      </c>
      <c r="U37" s="39" t="str">
        <f aca="false">IFERROR(INDEX('Azure Resource Map'!$F$2:$F$2001,MATCH($C37,'Azure Resource Map'!$A$2:$A$2001,0)),"")</f>
        <v/>
      </c>
      <c r="V37" s="39" t="str">
        <f aca="false">IF($C37="","",IF(ISNUMBER(MATCH($C37,'CA Exclusion Map'!$A$2:$A$2001,0)),"Yes","No"))</f>
        <v/>
      </c>
      <c r="W37" s="39" t="str">
        <f aca="false">IFERROR(INDEX('CA Exclusion Map'!$D$2:$D$2001,MATCH($C37,'CA Exclusion Map'!$A$2:$A$2001,0)),"")</f>
        <v/>
      </c>
      <c r="X37" s="40" t="str">
        <f aca="false">IFERROR(INDEX('CA Exclusion Map'!$E$2:$E$2001,MATCH($C37,'CA Exclusion Map'!$A$2:$A$2001,0)),"")</f>
        <v/>
      </c>
      <c r="Y37" s="40" t="str">
        <f aca="false">IFERROR(INDEX('CA Exclusion Map'!$F$2:$F$2001,MATCH($C37,'CA Exclusion Map'!$A$2:$A$2001,0)),"")</f>
        <v/>
      </c>
      <c r="Z37" s="36"/>
      <c r="AA37" s="37"/>
      <c r="AB37" s="38"/>
      <c r="AC37" s="38"/>
      <c r="AD37" s="39" t="str">
        <f aca="true">IF(V37="","",IF(V37&lt;&gt;"Yes","N/A",IF(AC37="","NO EXPIRY SET",IF(TODAY()&gt;AC37,"EXPIRED",IF(AC37-TODAY()&lt;=30,"Expiring Soon","Active")))))</f>
        <v/>
      </c>
      <c r="AE37" s="36"/>
      <c r="AF37" s="36"/>
      <c r="AG37" s="37"/>
      <c r="AH37" s="36"/>
      <c r="AI37" s="37"/>
      <c r="AJ37" s="37"/>
      <c r="AK37" s="37"/>
      <c r="AL37" s="37"/>
      <c r="AM37" s="38"/>
      <c r="AN37" s="37"/>
      <c r="AO37" s="37"/>
      <c r="AP37" s="41" t="str">
        <f aca="false">IF(AM37="","",AM37+90)</f>
        <v/>
      </c>
      <c r="AQ37" s="39" t="str">
        <f aca="true">IF(C37="","",IF(AM37="","NOT REVIEWED",IF(TODAY()&gt;AP37,"OVERDUE",IF(AP37-TODAY()&lt;=14,"Due Soon","Current"))))</f>
        <v/>
      </c>
      <c r="AR37" s="36"/>
    </row>
    <row r="38" customFormat="false" ht="15" hidden="false" customHeight="false" outlineLevel="0" collapsed="false">
      <c r="A38" s="36"/>
      <c r="B38" s="36"/>
      <c r="C38" s="36"/>
      <c r="D38" s="36"/>
      <c r="E38" s="37"/>
      <c r="F38" s="37"/>
      <c r="G38" s="37"/>
      <c r="H38" s="38"/>
      <c r="I38" s="38"/>
      <c r="J38" s="38"/>
      <c r="K38" s="37"/>
      <c r="L38" s="36"/>
      <c r="M38" s="36"/>
      <c r="N38" s="37"/>
      <c r="O38" s="37"/>
      <c r="P38" s="36"/>
      <c r="Q38" s="39" t="str">
        <f aca="true">IF(J38="","",TODAY()-J38)</f>
        <v/>
      </c>
      <c r="R38" s="37"/>
      <c r="S38" s="40" t="str">
        <f aca="false">IFERROR(INDEX('Azure Resource Map'!$D$2:$D$2001,MATCH($C38,'Azure Resource Map'!$A$2:$A$2001,0)),"")</f>
        <v/>
      </c>
      <c r="T38" s="39" t="str">
        <f aca="false">IFERROR(INDEX('Azure Resource Map'!$E$2:$E$2001,MATCH($C38,'Azure Resource Map'!$A$2:$A$2001,0)),"")</f>
        <v/>
      </c>
      <c r="U38" s="39" t="str">
        <f aca="false">IFERROR(INDEX('Azure Resource Map'!$F$2:$F$2001,MATCH($C38,'Azure Resource Map'!$A$2:$A$2001,0)),"")</f>
        <v/>
      </c>
      <c r="V38" s="39" t="str">
        <f aca="false">IF($C38="","",IF(ISNUMBER(MATCH($C38,'CA Exclusion Map'!$A$2:$A$2001,0)),"Yes","No"))</f>
        <v/>
      </c>
      <c r="W38" s="39" t="str">
        <f aca="false">IFERROR(INDEX('CA Exclusion Map'!$D$2:$D$2001,MATCH($C38,'CA Exclusion Map'!$A$2:$A$2001,0)),"")</f>
        <v/>
      </c>
      <c r="X38" s="40" t="str">
        <f aca="false">IFERROR(INDEX('CA Exclusion Map'!$E$2:$E$2001,MATCH($C38,'CA Exclusion Map'!$A$2:$A$2001,0)),"")</f>
        <v/>
      </c>
      <c r="Y38" s="40" t="str">
        <f aca="false">IFERROR(INDEX('CA Exclusion Map'!$F$2:$F$2001,MATCH($C38,'CA Exclusion Map'!$A$2:$A$2001,0)),"")</f>
        <v/>
      </c>
      <c r="Z38" s="36"/>
      <c r="AA38" s="37"/>
      <c r="AB38" s="38"/>
      <c r="AC38" s="38"/>
      <c r="AD38" s="39" t="str">
        <f aca="true">IF(V38="","",IF(V38&lt;&gt;"Yes","N/A",IF(AC38="","NO EXPIRY SET",IF(TODAY()&gt;AC38,"EXPIRED",IF(AC38-TODAY()&lt;=30,"Expiring Soon","Active")))))</f>
        <v/>
      </c>
      <c r="AE38" s="36"/>
      <c r="AF38" s="36"/>
      <c r="AG38" s="37"/>
      <c r="AH38" s="36"/>
      <c r="AI38" s="37"/>
      <c r="AJ38" s="37"/>
      <c r="AK38" s="37"/>
      <c r="AL38" s="37"/>
      <c r="AM38" s="38"/>
      <c r="AN38" s="37"/>
      <c r="AO38" s="37"/>
      <c r="AP38" s="41" t="str">
        <f aca="false">IF(AM38="","",AM38+90)</f>
        <v/>
      </c>
      <c r="AQ38" s="39" t="str">
        <f aca="true">IF(C38="","",IF(AM38="","NOT REVIEWED",IF(TODAY()&gt;AP38,"OVERDUE",IF(AP38-TODAY()&lt;=14,"Due Soon","Current"))))</f>
        <v/>
      </c>
      <c r="AR38" s="36"/>
    </row>
    <row r="39" customFormat="false" ht="15" hidden="false" customHeight="false" outlineLevel="0" collapsed="false">
      <c r="A39" s="36"/>
      <c r="B39" s="36"/>
      <c r="C39" s="36"/>
      <c r="D39" s="36"/>
      <c r="E39" s="37"/>
      <c r="F39" s="37"/>
      <c r="G39" s="37"/>
      <c r="H39" s="38"/>
      <c r="I39" s="38"/>
      <c r="J39" s="38"/>
      <c r="K39" s="37"/>
      <c r="L39" s="36"/>
      <c r="M39" s="36"/>
      <c r="N39" s="37"/>
      <c r="O39" s="37"/>
      <c r="P39" s="36"/>
      <c r="Q39" s="39" t="str">
        <f aca="true">IF(J39="","",TODAY()-J39)</f>
        <v/>
      </c>
      <c r="R39" s="37"/>
      <c r="S39" s="40" t="str">
        <f aca="false">IFERROR(INDEX('Azure Resource Map'!$D$2:$D$2001,MATCH($C39,'Azure Resource Map'!$A$2:$A$2001,0)),"")</f>
        <v/>
      </c>
      <c r="T39" s="39" t="str">
        <f aca="false">IFERROR(INDEX('Azure Resource Map'!$E$2:$E$2001,MATCH($C39,'Azure Resource Map'!$A$2:$A$2001,0)),"")</f>
        <v/>
      </c>
      <c r="U39" s="39" t="str">
        <f aca="false">IFERROR(INDEX('Azure Resource Map'!$F$2:$F$2001,MATCH($C39,'Azure Resource Map'!$A$2:$A$2001,0)),"")</f>
        <v/>
      </c>
      <c r="V39" s="39" t="str">
        <f aca="false">IF($C39="","",IF(ISNUMBER(MATCH($C39,'CA Exclusion Map'!$A$2:$A$2001,0)),"Yes","No"))</f>
        <v/>
      </c>
      <c r="W39" s="39" t="str">
        <f aca="false">IFERROR(INDEX('CA Exclusion Map'!$D$2:$D$2001,MATCH($C39,'CA Exclusion Map'!$A$2:$A$2001,0)),"")</f>
        <v/>
      </c>
      <c r="X39" s="40" t="str">
        <f aca="false">IFERROR(INDEX('CA Exclusion Map'!$E$2:$E$2001,MATCH($C39,'CA Exclusion Map'!$A$2:$A$2001,0)),"")</f>
        <v/>
      </c>
      <c r="Y39" s="40" t="str">
        <f aca="false">IFERROR(INDEX('CA Exclusion Map'!$F$2:$F$2001,MATCH($C39,'CA Exclusion Map'!$A$2:$A$2001,0)),"")</f>
        <v/>
      </c>
      <c r="Z39" s="36"/>
      <c r="AA39" s="37"/>
      <c r="AB39" s="38"/>
      <c r="AC39" s="38"/>
      <c r="AD39" s="39" t="str">
        <f aca="true">IF(V39="","",IF(V39&lt;&gt;"Yes","N/A",IF(AC39="","NO EXPIRY SET",IF(TODAY()&gt;AC39,"EXPIRED",IF(AC39-TODAY()&lt;=30,"Expiring Soon","Active")))))</f>
        <v/>
      </c>
      <c r="AE39" s="36"/>
      <c r="AF39" s="36"/>
      <c r="AG39" s="37"/>
      <c r="AH39" s="36"/>
      <c r="AI39" s="37"/>
      <c r="AJ39" s="37"/>
      <c r="AK39" s="37"/>
      <c r="AL39" s="37"/>
      <c r="AM39" s="38"/>
      <c r="AN39" s="37"/>
      <c r="AO39" s="37"/>
      <c r="AP39" s="41" t="str">
        <f aca="false">IF(AM39="","",AM39+90)</f>
        <v/>
      </c>
      <c r="AQ39" s="39" t="str">
        <f aca="true">IF(C39="","",IF(AM39="","NOT REVIEWED",IF(TODAY()&gt;AP39,"OVERDUE",IF(AP39-TODAY()&lt;=14,"Due Soon","Current"))))</f>
        <v/>
      </c>
      <c r="AR39" s="36"/>
    </row>
    <row r="40" customFormat="false" ht="15" hidden="false" customHeight="false" outlineLevel="0" collapsed="false">
      <c r="A40" s="36"/>
      <c r="B40" s="36"/>
      <c r="C40" s="36"/>
      <c r="D40" s="36"/>
      <c r="E40" s="37"/>
      <c r="F40" s="37"/>
      <c r="G40" s="37"/>
      <c r="H40" s="38"/>
      <c r="I40" s="38"/>
      <c r="J40" s="38"/>
      <c r="K40" s="37"/>
      <c r="L40" s="36"/>
      <c r="M40" s="36"/>
      <c r="N40" s="37"/>
      <c r="O40" s="37"/>
      <c r="P40" s="36"/>
      <c r="Q40" s="39" t="str">
        <f aca="true">IF(J40="","",TODAY()-J40)</f>
        <v/>
      </c>
      <c r="R40" s="37"/>
      <c r="S40" s="40" t="str">
        <f aca="false">IFERROR(INDEX('Azure Resource Map'!$D$2:$D$2001,MATCH($C40,'Azure Resource Map'!$A$2:$A$2001,0)),"")</f>
        <v/>
      </c>
      <c r="T40" s="39" t="str">
        <f aca="false">IFERROR(INDEX('Azure Resource Map'!$E$2:$E$2001,MATCH($C40,'Azure Resource Map'!$A$2:$A$2001,0)),"")</f>
        <v/>
      </c>
      <c r="U40" s="39" t="str">
        <f aca="false">IFERROR(INDEX('Azure Resource Map'!$F$2:$F$2001,MATCH($C40,'Azure Resource Map'!$A$2:$A$2001,0)),"")</f>
        <v/>
      </c>
      <c r="V40" s="39" t="str">
        <f aca="false">IF($C40="","",IF(ISNUMBER(MATCH($C40,'CA Exclusion Map'!$A$2:$A$2001,0)),"Yes","No"))</f>
        <v/>
      </c>
      <c r="W40" s="39" t="str">
        <f aca="false">IFERROR(INDEX('CA Exclusion Map'!$D$2:$D$2001,MATCH($C40,'CA Exclusion Map'!$A$2:$A$2001,0)),"")</f>
        <v/>
      </c>
      <c r="X40" s="40" t="str">
        <f aca="false">IFERROR(INDEX('CA Exclusion Map'!$E$2:$E$2001,MATCH($C40,'CA Exclusion Map'!$A$2:$A$2001,0)),"")</f>
        <v/>
      </c>
      <c r="Y40" s="40" t="str">
        <f aca="false">IFERROR(INDEX('CA Exclusion Map'!$F$2:$F$2001,MATCH($C40,'CA Exclusion Map'!$A$2:$A$2001,0)),"")</f>
        <v/>
      </c>
      <c r="Z40" s="36"/>
      <c r="AA40" s="37"/>
      <c r="AB40" s="38"/>
      <c r="AC40" s="38"/>
      <c r="AD40" s="39" t="str">
        <f aca="true">IF(V40="","",IF(V40&lt;&gt;"Yes","N/A",IF(AC40="","NO EXPIRY SET",IF(TODAY()&gt;AC40,"EXPIRED",IF(AC40-TODAY()&lt;=30,"Expiring Soon","Active")))))</f>
        <v/>
      </c>
      <c r="AE40" s="36"/>
      <c r="AF40" s="36"/>
      <c r="AG40" s="37"/>
      <c r="AH40" s="36"/>
      <c r="AI40" s="37"/>
      <c r="AJ40" s="37"/>
      <c r="AK40" s="37"/>
      <c r="AL40" s="37"/>
      <c r="AM40" s="38"/>
      <c r="AN40" s="37"/>
      <c r="AO40" s="37"/>
      <c r="AP40" s="41" t="str">
        <f aca="false">IF(AM40="","",AM40+90)</f>
        <v/>
      </c>
      <c r="AQ40" s="39" t="str">
        <f aca="true">IF(C40="","",IF(AM40="","NOT REVIEWED",IF(TODAY()&gt;AP40,"OVERDUE",IF(AP40-TODAY()&lt;=14,"Due Soon","Current"))))</f>
        <v/>
      </c>
      <c r="AR40" s="36"/>
    </row>
    <row r="41" customFormat="false" ht="15" hidden="false" customHeight="false" outlineLevel="0" collapsed="false">
      <c r="A41" s="36"/>
      <c r="B41" s="36"/>
      <c r="C41" s="36"/>
      <c r="D41" s="36"/>
      <c r="E41" s="37"/>
      <c r="F41" s="37"/>
      <c r="G41" s="37"/>
      <c r="H41" s="38"/>
      <c r="I41" s="38"/>
      <c r="J41" s="38"/>
      <c r="K41" s="37"/>
      <c r="L41" s="36"/>
      <c r="M41" s="36"/>
      <c r="N41" s="37"/>
      <c r="O41" s="37"/>
      <c r="P41" s="36"/>
      <c r="Q41" s="39" t="str">
        <f aca="true">IF(J41="","",TODAY()-J41)</f>
        <v/>
      </c>
      <c r="R41" s="37"/>
      <c r="S41" s="40" t="str">
        <f aca="false">IFERROR(INDEX('Azure Resource Map'!$D$2:$D$2001,MATCH($C41,'Azure Resource Map'!$A$2:$A$2001,0)),"")</f>
        <v/>
      </c>
      <c r="T41" s="39" t="str">
        <f aca="false">IFERROR(INDEX('Azure Resource Map'!$E$2:$E$2001,MATCH($C41,'Azure Resource Map'!$A$2:$A$2001,0)),"")</f>
        <v/>
      </c>
      <c r="U41" s="39" t="str">
        <f aca="false">IFERROR(INDEX('Azure Resource Map'!$F$2:$F$2001,MATCH($C41,'Azure Resource Map'!$A$2:$A$2001,0)),"")</f>
        <v/>
      </c>
      <c r="V41" s="39" t="str">
        <f aca="false">IF($C41="","",IF(ISNUMBER(MATCH($C41,'CA Exclusion Map'!$A$2:$A$2001,0)),"Yes","No"))</f>
        <v/>
      </c>
      <c r="W41" s="39" t="str">
        <f aca="false">IFERROR(INDEX('CA Exclusion Map'!$D$2:$D$2001,MATCH($C41,'CA Exclusion Map'!$A$2:$A$2001,0)),"")</f>
        <v/>
      </c>
      <c r="X41" s="40" t="str">
        <f aca="false">IFERROR(INDEX('CA Exclusion Map'!$E$2:$E$2001,MATCH($C41,'CA Exclusion Map'!$A$2:$A$2001,0)),"")</f>
        <v/>
      </c>
      <c r="Y41" s="40" t="str">
        <f aca="false">IFERROR(INDEX('CA Exclusion Map'!$F$2:$F$2001,MATCH($C41,'CA Exclusion Map'!$A$2:$A$2001,0)),"")</f>
        <v/>
      </c>
      <c r="Z41" s="36"/>
      <c r="AA41" s="37"/>
      <c r="AB41" s="38"/>
      <c r="AC41" s="38"/>
      <c r="AD41" s="39" t="str">
        <f aca="true">IF(V41="","",IF(V41&lt;&gt;"Yes","N/A",IF(AC41="","NO EXPIRY SET",IF(TODAY()&gt;AC41,"EXPIRED",IF(AC41-TODAY()&lt;=30,"Expiring Soon","Active")))))</f>
        <v/>
      </c>
      <c r="AE41" s="36"/>
      <c r="AF41" s="36"/>
      <c r="AG41" s="37"/>
      <c r="AH41" s="36"/>
      <c r="AI41" s="37"/>
      <c r="AJ41" s="37"/>
      <c r="AK41" s="37"/>
      <c r="AL41" s="37"/>
      <c r="AM41" s="38"/>
      <c r="AN41" s="37"/>
      <c r="AO41" s="37"/>
      <c r="AP41" s="41" t="str">
        <f aca="false">IF(AM41="","",AM41+90)</f>
        <v/>
      </c>
      <c r="AQ41" s="39" t="str">
        <f aca="true">IF(C41="","",IF(AM41="","NOT REVIEWED",IF(TODAY()&gt;AP41,"OVERDUE",IF(AP41-TODAY()&lt;=14,"Due Soon","Current"))))</f>
        <v/>
      </c>
      <c r="AR41" s="36"/>
    </row>
    <row r="42" customFormat="false" ht="15" hidden="false" customHeight="false" outlineLevel="0" collapsed="false">
      <c r="A42" s="36"/>
      <c r="B42" s="36"/>
      <c r="C42" s="36"/>
      <c r="D42" s="36"/>
      <c r="E42" s="37"/>
      <c r="F42" s="37"/>
      <c r="G42" s="37"/>
      <c r="H42" s="38"/>
      <c r="I42" s="38"/>
      <c r="J42" s="38"/>
      <c r="K42" s="37"/>
      <c r="L42" s="36"/>
      <c r="M42" s="36"/>
      <c r="N42" s="37"/>
      <c r="O42" s="37"/>
      <c r="P42" s="36"/>
      <c r="Q42" s="39" t="str">
        <f aca="true">IF(J42="","",TODAY()-J42)</f>
        <v/>
      </c>
      <c r="R42" s="37"/>
      <c r="S42" s="40" t="str">
        <f aca="false">IFERROR(INDEX('Azure Resource Map'!$D$2:$D$2001,MATCH($C42,'Azure Resource Map'!$A$2:$A$2001,0)),"")</f>
        <v/>
      </c>
      <c r="T42" s="39" t="str">
        <f aca="false">IFERROR(INDEX('Azure Resource Map'!$E$2:$E$2001,MATCH($C42,'Azure Resource Map'!$A$2:$A$2001,0)),"")</f>
        <v/>
      </c>
      <c r="U42" s="39" t="str">
        <f aca="false">IFERROR(INDEX('Azure Resource Map'!$F$2:$F$2001,MATCH($C42,'Azure Resource Map'!$A$2:$A$2001,0)),"")</f>
        <v/>
      </c>
      <c r="V42" s="39" t="str">
        <f aca="false">IF($C42="","",IF(ISNUMBER(MATCH($C42,'CA Exclusion Map'!$A$2:$A$2001,0)),"Yes","No"))</f>
        <v/>
      </c>
      <c r="W42" s="39" t="str">
        <f aca="false">IFERROR(INDEX('CA Exclusion Map'!$D$2:$D$2001,MATCH($C42,'CA Exclusion Map'!$A$2:$A$2001,0)),"")</f>
        <v/>
      </c>
      <c r="X42" s="40" t="str">
        <f aca="false">IFERROR(INDEX('CA Exclusion Map'!$E$2:$E$2001,MATCH($C42,'CA Exclusion Map'!$A$2:$A$2001,0)),"")</f>
        <v/>
      </c>
      <c r="Y42" s="40" t="str">
        <f aca="false">IFERROR(INDEX('CA Exclusion Map'!$F$2:$F$2001,MATCH($C42,'CA Exclusion Map'!$A$2:$A$2001,0)),"")</f>
        <v/>
      </c>
      <c r="Z42" s="36"/>
      <c r="AA42" s="37"/>
      <c r="AB42" s="38"/>
      <c r="AC42" s="38"/>
      <c r="AD42" s="39" t="str">
        <f aca="true">IF(V42="","",IF(V42&lt;&gt;"Yes","N/A",IF(AC42="","NO EXPIRY SET",IF(TODAY()&gt;AC42,"EXPIRED",IF(AC42-TODAY()&lt;=30,"Expiring Soon","Active")))))</f>
        <v/>
      </c>
      <c r="AE42" s="36"/>
      <c r="AF42" s="36"/>
      <c r="AG42" s="37"/>
      <c r="AH42" s="36"/>
      <c r="AI42" s="37"/>
      <c r="AJ42" s="37"/>
      <c r="AK42" s="37"/>
      <c r="AL42" s="37"/>
      <c r="AM42" s="38"/>
      <c r="AN42" s="37"/>
      <c r="AO42" s="37"/>
      <c r="AP42" s="41" t="str">
        <f aca="false">IF(AM42="","",AM42+90)</f>
        <v/>
      </c>
      <c r="AQ42" s="39" t="str">
        <f aca="true">IF(C42="","",IF(AM42="","NOT REVIEWED",IF(TODAY()&gt;AP42,"OVERDUE",IF(AP42-TODAY()&lt;=14,"Due Soon","Current"))))</f>
        <v/>
      </c>
      <c r="AR42" s="36"/>
    </row>
    <row r="43" customFormat="false" ht="15" hidden="false" customHeight="false" outlineLevel="0" collapsed="false">
      <c r="A43" s="36"/>
      <c r="B43" s="36"/>
      <c r="C43" s="36"/>
      <c r="D43" s="36"/>
      <c r="E43" s="37"/>
      <c r="F43" s="37"/>
      <c r="G43" s="37"/>
      <c r="H43" s="38"/>
      <c r="I43" s="38"/>
      <c r="J43" s="38"/>
      <c r="K43" s="37"/>
      <c r="L43" s="36"/>
      <c r="M43" s="36"/>
      <c r="N43" s="37"/>
      <c r="O43" s="37"/>
      <c r="P43" s="36"/>
      <c r="Q43" s="39" t="str">
        <f aca="true">IF(J43="","",TODAY()-J43)</f>
        <v/>
      </c>
      <c r="R43" s="37"/>
      <c r="S43" s="40" t="str">
        <f aca="false">IFERROR(INDEX('Azure Resource Map'!$D$2:$D$2001,MATCH($C43,'Azure Resource Map'!$A$2:$A$2001,0)),"")</f>
        <v/>
      </c>
      <c r="T43" s="39" t="str">
        <f aca="false">IFERROR(INDEX('Azure Resource Map'!$E$2:$E$2001,MATCH($C43,'Azure Resource Map'!$A$2:$A$2001,0)),"")</f>
        <v/>
      </c>
      <c r="U43" s="39" t="str">
        <f aca="false">IFERROR(INDEX('Azure Resource Map'!$F$2:$F$2001,MATCH($C43,'Azure Resource Map'!$A$2:$A$2001,0)),"")</f>
        <v/>
      </c>
      <c r="V43" s="39" t="str">
        <f aca="false">IF($C43="","",IF(ISNUMBER(MATCH($C43,'CA Exclusion Map'!$A$2:$A$2001,0)),"Yes","No"))</f>
        <v/>
      </c>
      <c r="W43" s="39" t="str">
        <f aca="false">IFERROR(INDEX('CA Exclusion Map'!$D$2:$D$2001,MATCH($C43,'CA Exclusion Map'!$A$2:$A$2001,0)),"")</f>
        <v/>
      </c>
      <c r="X43" s="40" t="str">
        <f aca="false">IFERROR(INDEX('CA Exclusion Map'!$E$2:$E$2001,MATCH($C43,'CA Exclusion Map'!$A$2:$A$2001,0)),"")</f>
        <v/>
      </c>
      <c r="Y43" s="40" t="str">
        <f aca="false">IFERROR(INDEX('CA Exclusion Map'!$F$2:$F$2001,MATCH($C43,'CA Exclusion Map'!$A$2:$A$2001,0)),"")</f>
        <v/>
      </c>
      <c r="Z43" s="36"/>
      <c r="AA43" s="37"/>
      <c r="AB43" s="38"/>
      <c r="AC43" s="38"/>
      <c r="AD43" s="39" t="str">
        <f aca="true">IF(V43="","",IF(V43&lt;&gt;"Yes","N/A",IF(AC43="","NO EXPIRY SET",IF(TODAY()&gt;AC43,"EXPIRED",IF(AC43-TODAY()&lt;=30,"Expiring Soon","Active")))))</f>
        <v/>
      </c>
      <c r="AE43" s="36"/>
      <c r="AF43" s="36"/>
      <c r="AG43" s="37"/>
      <c r="AH43" s="36"/>
      <c r="AI43" s="37"/>
      <c r="AJ43" s="37"/>
      <c r="AK43" s="37"/>
      <c r="AL43" s="37"/>
      <c r="AM43" s="38"/>
      <c r="AN43" s="37"/>
      <c r="AO43" s="37"/>
      <c r="AP43" s="41" t="str">
        <f aca="false">IF(AM43="","",AM43+90)</f>
        <v/>
      </c>
      <c r="AQ43" s="39" t="str">
        <f aca="true">IF(C43="","",IF(AM43="","NOT REVIEWED",IF(TODAY()&gt;AP43,"OVERDUE",IF(AP43-TODAY()&lt;=14,"Due Soon","Current"))))</f>
        <v/>
      </c>
      <c r="AR43" s="36"/>
    </row>
    <row r="44" customFormat="false" ht="15" hidden="false" customHeight="false" outlineLevel="0" collapsed="false">
      <c r="A44" s="36"/>
      <c r="B44" s="36"/>
      <c r="C44" s="36"/>
      <c r="D44" s="36"/>
      <c r="E44" s="37"/>
      <c r="F44" s="37"/>
      <c r="G44" s="37"/>
      <c r="H44" s="38"/>
      <c r="I44" s="38"/>
      <c r="J44" s="38"/>
      <c r="K44" s="37"/>
      <c r="L44" s="36"/>
      <c r="M44" s="36"/>
      <c r="N44" s="37"/>
      <c r="O44" s="37"/>
      <c r="P44" s="36"/>
      <c r="Q44" s="39" t="str">
        <f aca="true">IF(J44="","",TODAY()-J44)</f>
        <v/>
      </c>
      <c r="R44" s="37"/>
      <c r="S44" s="40" t="str">
        <f aca="false">IFERROR(INDEX('Azure Resource Map'!$D$2:$D$2001,MATCH($C44,'Azure Resource Map'!$A$2:$A$2001,0)),"")</f>
        <v/>
      </c>
      <c r="T44" s="39" t="str">
        <f aca="false">IFERROR(INDEX('Azure Resource Map'!$E$2:$E$2001,MATCH($C44,'Azure Resource Map'!$A$2:$A$2001,0)),"")</f>
        <v/>
      </c>
      <c r="U44" s="39" t="str">
        <f aca="false">IFERROR(INDEX('Azure Resource Map'!$F$2:$F$2001,MATCH($C44,'Azure Resource Map'!$A$2:$A$2001,0)),"")</f>
        <v/>
      </c>
      <c r="V44" s="39" t="str">
        <f aca="false">IF($C44="","",IF(ISNUMBER(MATCH($C44,'CA Exclusion Map'!$A$2:$A$2001,0)),"Yes","No"))</f>
        <v/>
      </c>
      <c r="W44" s="39" t="str">
        <f aca="false">IFERROR(INDEX('CA Exclusion Map'!$D$2:$D$2001,MATCH($C44,'CA Exclusion Map'!$A$2:$A$2001,0)),"")</f>
        <v/>
      </c>
      <c r="X44" s="40" t="str">
        <f aca="false">IFERROR(INDEX('CA Exclusion Map'!$E$2:$E$2001,MATCH($C44,'CA Exclusion Map'!$A$2:$A$2001,0)),"")</f>
        <v/>
      </c>
      <c r="Y44" s="40" t="str">
        <f aca="false">IFERROR(INDEX('CA Exclusion Map'!$F$2:$F$2001,MATCH($C44,'CA Exclusion Map'!$A$2:$A$2001,0)),"")</f>
        <v/>
      </c>
      <c r="Z44" s="36"/>
      <c r="AA44" s="37"/>
      <c r="AB44" s="38"/>
      <c r="AC44" s="38"/>
      <c r="AD44" s="39" t="str">
        <f aca="true">IF(V44="","",IF(V44&lt;&gt;"Yes","N/A",IF(AC44="","NO EXPIRY SET",IF(TODAY()&gt;AC44,"EXPIRED",IF(AC44-TODAY()&lt;=30,"Expiring Soon","Active")))))</f>
        <v/>
      </c>
      <c r="AE44" s="36"/>
      <c r="AF44" s="36"/>
      <c r="AG44" s="37"/>
      <c r="AH44" s="36"/>
      <c r="AI44" s="37"/>
      <c r="AJ44" s="37"/>
      <c r="AK44" s="37"/>
      <c r="AL44" s="37"/>
      <c r="AM44" s="38"/>
      <c r="AN44" s="37"/>
      <c r="AO44" s="37"/>
      <c r="AP44" s="41" t="str">
        <f aca="false">IF(AM44="","",AM44+90)</f>
        <v/>
      </c>
      <c r="AQ44" s="39" t="str">
        <f aca="true">IF(C44="","",IF(AM44="","NOT REVIEWED",IF(TODAY()&gt;AP44,"OVERDUE",IF(AP44-TODAY()&lt;=14,"Due Soon","Current"))))</f>
        <v/>
      </c>
      <c r="AR44" s="36"/>
    </row>
    <row r="45" customFormat="false" ht="15" hidden="false" customHeight="false" outlineLevel="0" collapsed="false">
      <c r="A45" s="36"/>
      <c r="B45" s="36"/>
      <c r="C45" s="36"/>
      <c r="D45" s="36"/>
      <c r="E45" s="37"/>
      <c r="F45" s="37"/>
      <c r="G45" s="37"/>
      <c r="H45" s="38"/>
      <c r="I45" s="38"/>
      <c r="J45" s="38"/>
      <c r="K45" s="37"/>
      <c r="L45" s="36"/>
      <c r="M45" s="36"/>
      <c r="N45" s="37"/>
      <c r="O45" s="37"/>
      <c r="P45" s="36"/>
      <c r="Q45" s="39" t="str">
        <f aca="true">IF(J45="","",TODAY()-J45)</f>
        <v/>
      </c>
      <c r="R45" s="37"/>
      <c r="S45" s="40" t="str">
        <f aca="false">IFERROR(INDEX('Azure Resource Map'!$D$2:$D$2001,MATCH($C45,'Azure Resource Map'!$A$2:$A$2001,0)),"")</f>
        <v/>
      </c>
      <c r="T45" s="39" t="str">
        <f aca="false">IFERROR(INDEX('Azure Resource Map'!$E$2:$E$2001,MATCH($C45,'Azure Resource Map'!$A$2:$A$2001,0)),"")</f>
        <v/>
      </c>
      <c r="U45" s="39" t="str">
        <f aca="false">IFERROR(INDEX('Azure Resource Map'!$F$2:$F$2001,MATCH($C45,'Azure Resource Map'!$A$2:$A$2001,0)),"")</f>
        <v/>
      </c>
      <c r="V45" s="39" t="str">
        <f aca="false">IF($C45="","",IF(ISNUMBER(MATCH($C45,'CA Exclusion Map'!$A$2:$A$2001,0)),"Yes","No"))</f>
        <v/>
      </c>
      <c r="W45" s="39" t="str">
        <f aca="false">IFERROR(INDEX('CA Exclusion Map'!$D$2:$D$2001,MATCH($C45,'CA Exclusion Map'!$A$2:$A$2001,0)),"")</f>
        <v/>
      </c>
      <c r="X45" s="40" t="str">
        <f aca="false">IFERROR(INDEX('CA Exclusion Map'!$E$2:$E$2001,MATCH($C45,'CA Exclusion Map'!$A$2:$A$2001,0)),"")</f>
        <v/>
      </c>
      <c r="Y45" s="40" t="str">
        <f aca="false">IFERROR(INDEX('CA Exclusion Map'!$F$2:$F$2001,MATCH($C45,'CA Exclusion Map'!$A$2:$A$2001,0)),"")</f>
        <v/>
      </c>
      <c r="Z45" s="36"/>
      <c r="AA45" s="37"/>
      <c r="AB45" s="38"/>
      <c r="AC45" s="38"/>
      <c r="AD45" s="39" t="str">
        <f aca="true">IF(V45="","",IF(V45&lt;&gt;"Yes","N/A",IF(AC45="","NO EXPIRY SET",IF(TODAY()&gt;AC45,"EXPIRED",IF(AC45-TODAY()&lt;=30,"Expiring Soon","Active")))))</f>
        <v/>
      </c>
      <c r="AE45" s="36"/>
      <c r="AF45" s="36"/>
      <c r="AG45" s="37"/>
      <c r="AH45" s="36"/>
      <c r="AI45" s="37"/>
      <c r="AJ45" s="37"/>
      <c r="AK45" s="37"/>
      <c r="AL45" s="37"/>
      <c r="AM45" s="38"/>
      <c r="AN45" s="37"/>
      <c r="AO45" s="37"/>
      <c r="AP45" s="41" t="str">
        <f aca="false">IF(AM45="","",AM45+90)</f>
        <v/>
      </c>
      <c r="AQ45" s="39" t="str">
        <f aca="true">IF(C45="","",IF(AM45="","NOT REVIEWED",IF(TODAY()&gt;AP45,"OVERDUE",IF(AP45-TODAY()&lt;=14,"Due Soon","Current"))))</f>
        <v/>
      </c>
      <c r="AR45" s="36"/>
    </row>
    <row r="46" customFormat="false" ht="15" hidden="false" customHeight="false" outlineLevel="0" collapsed="false">
      <c r="A46" s="36"/>
      <c r="B46" s="36"/>
      <c r="C46" s="36"/>
      <c r="D46" s="36"/>
      <c r="E46" s="37"/>
      <c r="F46" s="37"/>
      <c r="G46" s="37"/>
      <c r="H46" s="38"/>
      <c r="I46" s="38"/>
      <c r="J46" s="38"/>
      <c r="K46" s="37"/>
      <c r="L46" s="36"/>
      <c r="M46" s="36"/>
      <c r="N46" s="37"/>
      <c r="O46" s="37"/>
      <c r="P46" s="36"/>
      <c r="Q46" s="39" t="str">
        <f aca="true">IF(J46="","",TODAY()-J46)</f>
        <v/>
      </c>
      <c r="R46" s="37"/>
      <c r="S46" s="40" t="str">
        <f aca="false">IFERROR(INDEX('Azure Resource Map'!$D$2:$D$2001,MATCH($C46,'Azure Resource Map'!$A$2:$A$2001,0)),"")</f>
        <v/>
      </c>
      <c r="T46" s="39" t="str">
        <f aca="false">IFERROR(INDEX('Azure Resource Map'!$E$2:$E$2001,MATCH($C46,'Azure Resource Map'!$A$2:$A$2001,0)),"")</f>
        <v/>
      </c>
      <c r="U46" s="39" t="str">
        <f aca="false">IFERROR(INDEX('Azure Resource Map'!$F$2:$F$2001,MATCH($C46,'Azure Resource Map'!$A$2:$A$2001,0)),"")</f>
        <v/>
      </c>
      <c r="V46" s="39" t="str">
        <f aca="false">IF($C46="","",IF(ISNUMBER(MATCH($C46,'CA Exclusion Map'!$A$2:$A$2001,0)),"Yes","No"))</f>
        <v/>
      </c>
      <c r="W46" s="39" t="str">
        <f aca="false">IFERROR(INDEX('CA Exclusion Map'!$D$2:$D$2001,MATCH($C46,'CA Exclusion Map'!$A$2:$A$2001,0)),"")</f>
        <v/>
      </c>
      <c r="X46" s="40" t="str">
        <f aca="false">IFERROR(INDEX('CA Exclusion Map'!$E$2:$E$2001,MATCH($C46,'CA Exclusion Map'!$A$2:$A$2001,0)),"")</f>
        <v/>
      </c>
      <c r="Y46" s="40" t="str">
        <f aca="false">IFERROR(INDEX('CA Exclusion Map'!$F$2:$F$2001,MATCH($C46,'CA Exclusion Map'!$A$2:$A$2001,0)),"")</f>
        <v/>
      </c>
      <c r="Z46" s="36"/>
      <c r="AA46" s="37"/>
      <c r="AB46" s="38"/>
      <c r="AC46" s="38"/>
      <c r="AD46" s="39" t="str">
        <f aca="true">IF(V46="","",IF(V46&lt;&gt;"Yes","N/A",IF(AC46="","NO EXPIRY SET",IF(TODAY()&gt;AC46,"EXPIRED",IF(AC46-TODAY()&lt;=30,"Expiring Soon","Active")))))</f>
        <v/>
      </c>
      <c r="AE46" s="36"/>
      <c r="AF46" s="36"/>
      <c r="AG46" s="37"/>
      <c r="AH46" s="36"/>
      <c r="AI46" s="37"/>
      <c r="AJ46" s="37"/>
      <c r="AK46" s="37"/>
      <c r="AL46" s="37"/>
      <c r="AM46" s="38"/>
      <c r="AN46" s="37"/>
      <c r="AO46" s="37"/>
      <c r="AP46" s="41" t="str">
        <f aca="false">IF(AM46="","",AM46+90)</f>
        <v/>
      </c>
      <c r="AQ46" s="39" t="str">
        <f aca="true">IF(C46="","",IF(AM46="","NOT REVIEWED",IF(TODAY()&gt;AP46,"OVERDUE",IF(AP46-TODAY()&lt;=14,"Due Soon","Current"))))</f>
        <v/>
      </c>
      <c r="AR46" s="36"/>
    </row>
    <row r="47" customFormat="false" ht="15" hidden="false" customHeight="false" outlineLevel="0" collapsed="false">
      <c r="A47" s="36"/>
      <c r="B47" s="36"/>
      <c r="C47" s="36"/>
      <c r="D47" s="36"/>
      <c r="E47" s="37"/>
      <c r="F47" s="37"/>
      <c r="G47" s="37"/>
      <c r="H47" s="38"/>
      <c r="I47" s="38"/>
      <c r="J47" s="38"/>
      <c r="K47" s="37"/>
      <c r="L47" s="36"/>
      <c r="M47" s="36"/>
      <c r="N47" s="37"/>
      <c r="O47" s="37"/>
      <c r="P47" s="36"/>
      <c r="Q47" s="39" t="str">
        <f aca="true">IF(J47="","",TODAY()-J47)</f>
        <v/>
      </c>
      <c r="R47" s="37"/>
      <c r="S47" s="40" t="str">
        <f aca="false">IFERROR(INDEX('Azure Resource Map'!$D$2:$D$2001,MATCH($C47,'Azure Resource Map'!$A$2:$A$2001,0)),"")</f>
        <v/>
      </c>
      <c r="T47" s="39" t="str">
        <f aca="false">IFERROR(INDEX('Azure Resource Map'!$E$2:$E$2001,MATCH($C47,'Azure Resource Map'!$A$2:$A$2001,0)),"")</f>
        <v/>
      </c>
      <c r="U47" s="39" t="str">
        <f aca="false">IFERROR(INDEX('Azure Resource Map'!$F$2:$F$2001,MATCH($C47,'Azure Resource Map'!$A$2:$A$2001,0)),"")</f>
        <v/>
      </c>
      <c r="V47" s="39" t="str">
        <f aca="false">IF($C47="","",IF(ISNUMBER(MATCH($C47,'CA Exclusion Map'!$A$2:$A$2001,0)),"Yes","No"))</f>
        <v/>
      </c>
      <c r="W47" s="39" t="str">
        <f aca="false">IFERROR(INDEX('CA Exclusion Map'!$D$2:$D$2001,MATCH($C47,'CA Exclusion Map'!$A$2:$A$2001,0)),"")</f>
        <v/>
      </c>
      <c r="X47" s="40" t="str">
        <f aca="false">IFERROR(INDEX('CA Exclusion Map'!$E$2:$E$2001,MATCH($C47,'CA Exclusion Map'!$A$2:$A$2001,0)),"")</f>
        <v/>
      </c>
      <c r="Y47" s="40" t="str">
        <f aca="false">IFERROR(INDEX('CA Exclusion Map'!$F$2:$F$2001,MATCH($C47,'CA Exclusion Map'!$A$2:$A$2001,0)),"")</f>
        <v/>
      </c>
      <c r="Z47" s="36"/>
      <c r="AA47" s="37"/>
      <c r="AB47" s="38"/>
      <c r="AC47" s="38"/>
      <c r="AD47" s="39" t="str">
        <f aca="true">IF(V47="","",IF(V47&lt;&gt;"Yes","N/A",IF(AC47="","NO EXPIRY SET",IF(TODAY()&gt;AC47,"EXPIRED",IF(AC47-TODAY()&lt;=30,"Expiring Soon","Active")))))</f>
        <v/>
      </c>
      <c r="AE47" s="36"/>
      <c r="AF47" s="36"/>
      <c r="AG47" s="37"/>
      <c r="AH47" s="36"/>
      <c r="AI47" s="37"/>
      <c r="AJ47" s="37"/>
      <c r="AK47" s="37"/>
      <c r="AL47" s="37"/>
      <c r="AM47" s="38"/>
      <c r="AN47" s="37"/>
      <c r="AO47" s="37"/>
      <c r="AP47" s="41" t="str">
        <f aca="false">IF(AM47="","",AM47+90)</f>
        <v/>
      </c>
      <c r="AQ47" s="39" t="str">
        <f aca="true">IF(C47="","",IF(AM47="","NOT REVIEWED",IF(TODAY()&gt;AP47,"OVERDUE",IF(AP47-TODAY()&lt;=14,"Due Soon","Current"))))</f>
        <v/>
      </c>
      <c r="AR47" s="36"/>
    </row>
    <row r="48" customFormat="false" ht="15" hidden="false" customHeight="false" outlineLevel="0" collapsed="false">
      <c r="A48" s="36"/>
      <c r="B48" s="36"/>
      <c r="C48" s="36"/>
      <c r="D48" s="36"/>
      <c r="E48" s="37"/>
      <c r="F48" s="37"/>
      <c r="G48" s="37"/>
      <c r="H48" s="38"/>
      <c r="I48" s="38"/>
      <c r="J48" s="38"/>
      <c r="K48" s="37"/>
      <c r="L48" s="36"/>
      <c r="M48" s="36"/>
      <c r="N48" s="37"/>
      <c r="O48" s="37"/>
      <c r="P48" s="36"/>
      <c r="Q48" s="39" t="str">
        <f aca="true">IF(J48="","",TODAY()-J48)</f>
        <v/>
      </c>
      <c r="R48" s="37"/>
      <c r="S48" s="40" t="str">
        <f aca="false">IFERROR(INDEX('Azure Resource Map'!$D$2:$D$2001,MATCH($C48,'Azure Resource Map'!$A$2:$A$2001,0)),"")</f>
        <v/>
      </c>
      <c r="T48" s="39" t="str">
        <f aca="false">IFERROR(INDEX('Azure Resource Map'!$E$2:$E$2001,MATCH($C48,'Azure Resource Map'!$A$2:$A$2001,0)),"")</f>
        <v/>
      </c>
      <c r="U48" s="39" t="str">
        <f aca="false">IFERROR(INDEX('Azure Resource Map'!$F$2:$F$2001,MATCH($C48,'Azure Resource Map'!$A$2:$A$2001,0)),"")</f>
        <v/>
      </c>
      <c r="V48" s="39" t="str">
        <f aca="false">IF($C48="","",IF(ISNUMBER(MATCH($C48,'CA Exclusion Map'!$A$2:$A$2001,0)),"Yes","No"))</f>
        <v/>
      </c>
      <c r="W48" s="39" t="str">
        <f aca="false">IFERROR(INDEX('CA Exclusion Map'!$D$2:$D$2001,MATCH($C48,'CA Exclusion Map'!$A$2:$A$2001,0)),"")</f>
        <v/>
      </c>
      <c r="X48" s="40" t="str">
        <f aca="false">IFERROR(INDEX('CA Exclusion Map'!$E$2:$E$2001,MATCH($C48,'CA Exclusion Map'!$A$2:$A$2001,0)),"")</f>
        <v/>
      </c>
      <c r="Y48" s="40" t="str">
        <f aca="false">IFERROR(INDEX('CA Exclusion Map'!$F$2:$F$2001,MATCH($C48,'CA Exclusion Map'!$A$2:$A$2001,0)),"")</f>
        <v/>
      </c>
      <c r="Z48" s="36"/>
      <c r="AA48" s="37"/>
      <c r="AB48" s="38"/>
      <c r="AC48" s="38"/>
      <c r="AD48" s="39" t="str">
        <f aca="true">IF(V48="","",IF(V48&lt;&gt;"Yes","N/A",IF(AC48="","NO EXPIRY SET",IF(TODAY()&gt;AC48,"EXPIRED",IF(AC48-TODAY()&lt;=30,"Expiring Soon","Active")))))</f>
        <v/>
      </c>
      <c r="AE48" s="36"/>
      <c r="AF48" s="36"/>
      <c r="AG48" s="37"/>
      <c r="AH48" s="36"/>
      <c r="AI48" s="37"/>
      <c r="AJ48" s="37"/>
      <c r="AK48" s="37"/>
      <c r="AL48" s="37"/>
      <c r="AM48" s="38"/>
      <c r="AN48" s="37"/>
      <c r="AO48" s="37"/>
      <c r="AP48" s="41" t="str">
        <f aca="false">IF(AM48="","",AM48+90)</f>
        <v/>
      </c>
      <c r="AQ48" s="39" t="str">
        <f aca="true">IF(C48="","",IF(AM48="","NOT REVIEWED",IF(TODAY()&gt;AP48,"OVERDUE",IF(AP48-TODAY()&lt;=14,"Due Soon","Current"))))</f>
        <v/>
      </c>
      <c r="AR48" s="36"/>
    </row>
    <row r="49" customFormat="false" ht="15" hidden="false" customHeight="false" outlineLevel="0" collapsed="false">
      <c r="A49" s="36"/>
      <c r="B49" s="36"/>
      <c r="C49" s="36"/>
      <c r="D49" s="36"/>
      <c r="E49" s="37"/>
      <c r="F49" s="37"/>
      <c r="G49" s="37"/>
      <c r="H49" s="38"/>
      <c r="I49" s="38"/>
      <c r="J49" s="38"/>
      <c r="K49" s="37"/>
      <c r="L49" s="36"/>
      <c r="M49" s="36"/>
      <c r="N49" s="37"/>
      <c r="O49" s="37"/>
      <c r="P49" s="36"/>
      <c r="Q49" s="39" t="str">
        <f aca="true">IF(J49="","",TODAY()-J49)</f>
        <v/>
      </c>
      <c r="R49" s="37"/>
      <c r="S49" s="40" t="str">
        <f aca="false">IFERROR(INDEX('Azure Resource Map'!$D$2:$D$2001,MATCH($C49,'Azure Resource Map'!$A$2:$A$2001,0)),"")</f>
        <v/>
      </c>
      <c r="T49" s="39" t="str">
        <f aca="false">IFERROR(INDEX('Azure Resource Map'!$E$2:$E$2001,MATCH($C49,'Azure Resource Map'!$A$2:$A$2001,0)),"")</f>
        <v/>
      </c>
      <c r="U49" s="39" t="str">
        <f aca="false">IFERROR(INDEX('Azure Resource Map'!$F$2:$F$2001,MATCH($C49,'Azure Resource Map'!$A$2:$A$2001,0)),"")</f>
        <v/>
      </c>
      <c r="V49" s="39" t="str">
        <f aca="false">IF($C49="","",IF(ISNUMBER(MATCH($C49,'CA Exclusion Map'!$A$2:$A$2001,0)),"Yes","No"))</f>
        <v/>
      </c>
      <c r="W49" s="39" t="str">
        <f aca="false">IFERROR(INDEX('CA Exclusion Map'!$D$2:$D$2001,MATCH($C49,'CA Exclusion Map'!$A$2:$A$2001,0)),"")</f>
        <v/>
      </c>
      <c r="X49" s="40" t="str">
        <f aca="false">IFERROR(INDEX('CA Exclusion Map'!$E$2:$E$2001,MATCH($C49,'CA Exclusion Map'!$A$2:$A$2001,0)),"")</f>
        <v/>
      </c>
      <c r="Y49" s="40" t="str">
        <f aca="false">IFERROR(INDEX('CA Exclusion Map'!$F$2:$F$2001,MATCH($C49,'CA Exclusion Map'!$A$2:$A$2001,0)),"")</f>
        <v/>
      </c>
      <c r="Z49" s="36"/>
      <c r="AA49" s="37"/>
      <c r="AB49" s="38"/>
      <c r="AC49" s="38"/>
      <c r="AD49" s="39" t="str">
        <f aca="true">IF(V49="","",IF(V49&lt;&gt;"Yes","N/A",IF(AC49="","NO EXPIRY SET",IF(TODAY()&gt;AC49,"EXPIRED",IF(AC49-TODAY()&lt;=30,"Expiring Soon","Active")))))</f>
        <v/>
      </c>
      <c r="AE49" s="36"/>
      <c r="AF49" s="36"/>
      <c r="AG49" s="37"/>
      <c r="AH49" s="36"/>
      <c r="AI49" s="37"/>
      <c r="AJ49" s="37"/>
      <c r="AK49" s="37"/>
      <c r="AL49" s="37"/>
      <c r="AM49" s="38"/>
      <c r="AN49" s="37"/>
      <c r="AO49" s="37"/>
      <c r="AP49" s="41" t="str">
        <f aca="false">IF(AM49="","",AM49+90)</f>
        <v/>
      </c>
      <c r="AQ49" s="39" t="str">
        <f aca="true">IF(C49="","",IF(AM49="","NOT REVIEWED",IF(TODAY()&gt;AP49,"OVERDUE",IF(AP49-TODAY()&lt;=14,"Due Soon","Current"))))</f>
        <v/>
      </c>
      <c r="AR49" s="36"/>
    </row>
    <row r="50" customFormat="false" ht="15" hidden="false" customHeight="false" outlineLevel="0" collapsed="false">
      <c r="A50" s="36"/>
      <c r="B50" s="36"/>
      <c r="C50" s="36"/>
      <c r="D50" s="36"/>
      <c r="E50" s="37"/>
      <c r="F50" s="37"/>
      <c r="G50" s="37"/>
      <c r="H50" s="38"/>
      <c r="I50" s="38"/>
      <c r="J50" s="38"/>
      <c r="K50" s="37"/>
      <c r="L50" s="36"/>
      <c r="M50" s="36"/>
      <c r="N50" s="37"/>
      <c r="O50" s="37"/>
      <c r="P50" s="36"/>
      <c r="Q50" s="39" t="str">
        <f aca="true">IF(J50="","",TODAY()-J50)</f>
        <v/>
      </c>
      <c r="R50" s="37"/>
      <c r="S50" s="40" t="str">
        <f aca="false">IFERROR(INDEX('Azure Resource Map'!$D$2:$D$2001,MATCH($C50,'Azure Resource Map'!$A$2:$A$2001,0)),"")</f>
        <v/>
      </c>
      <c r="T50" s="39" t="str">
        <f aca="false">IFERROR(INDEX('Azure Resource Map'!$E$2:$E$2001,MATCH($C50,'Azure Resource Map'!$A$2:$A$2001,0)),"")</f>
        <v/>
      </c>
      <c r="U50" s="39" t="str">
        <f aca="false">IFERROR(INDEX('Azure Resource Map'!$F$2:$F$2001,MATCH($C50,'Azure Resource Map'!$A$2:$A$2001,0)),"")</f>
        <v/>
      </c>
      <c r="V50" s="39" t="str">
        <f aca="false">IF($C50="","",IF(ISNUMBER(MATCH($C50,'CA Exclusion Map'!$A$2:$A$2001,0)),"Yes","No"))</f>
        <v/>
      </c>
      <c r="W50" s="39" t="str">
        <f aca="false">IFERROR(INDEX('CA Exclusion Map'!$D$2:$D$2001,MATCH($C50,'CA Exclusion Map'!$A$2:$A$2001,0)),"")</f>
        <v/>
      </c>
      <c r="X50" s="40" t="str">
        <f aca="false">IFERROR(INDEX('CA Exclusion Map'!$E$2:$E$2001,MATCH($C50,'CA Exclusion Map'!$A$2:$A$2001,0)),"")</f>
        <v/>
      </c>
      <c r="Y50" s="40" t="str">
        <f aca="false">IFERROR(INDEX('CA Exclusion Map'!$F$2:$F$2001,MATCH($C50,'CA Exclusion Map'!$A$2:$A$2001,0)),"")</f>
        <v/>
      </c>
      <c r="Z50" s="36"/>
      <c r="AA50" s="37"/>
      <c r="AB50" s="38"/>
      <c r="AC50" s="38"/>
      <c r="AD50" s="39" t="str">
        <f aca="true">IF(V50="","",IF(V50&lt;&gt;"Yes","N/A",IF(AC50="","NO EXPIRY SET",IF(TODAY()&gt;AC50,"EXPIRED",IF(AC50-TODAY()&lt;=30,"Expiring Soon","Active")))))</f>
        <v/>
      </c>
      <c r="AE50" s="36"/>
      <c r="AF50" s="36"/>
      <c r="AG50" s="37"/>
      <c r="AH50" s="36"/>
      <c r="AI50" s="37"/>
      <c r="AJ50" s="37"/>
      <c r="AK50" s="37"/>
      <c r="AL50" s="37"/>
      <c r="AM50" s="38"/>
      <c r="AN50" s="37"/>
      <c r="AO50" s="37"/>
      <c r="AP50" s="41" t="str">
        <f aca="false">IF(AM50="","",AM50+90)</f>
        <v/>
      </c>
      <c r="AQ50" s="39" t="str">
        <f aca="true">IF(C50="","",IF(AM50="","NOT REVIEWED",IF(TODAY()&gt;AP50,"OVERDUE",IF(AP50-TODAY()&lt;=14,"Due Soon","Current"))))</f>
        <v/>
      </c>
      <c r="AR50" s="36"/>
    </row>
    <row r="51" customFormat="false" ht="15" hidden="false" customHeight="false" outlineLevel="0" collapsed="false">
      <c r="A51" s="36"/>
      <c r="B51" s="36"/>
      <c r="C51" s="36"/>
      <c r="D51" s="36"/>
      <c r="E51" s="37"/>
      <c r="F51" s="37"/>
      <c r="G51" s="37"/>
      <c r="H51" s="38"/>
      <c r="I51" s="38"/>
      <c r="J51" s="38"/>
      <c r="K51" s="37"/>
      <c r="L51" s="36"/>
      <c r="M51" s="36"/>
      <c r="N51" s="37"/>
      <c r="O51" s="37"/>
      <c r="P51" s="36"/>
      <c r="Q51" s="39" t="str">
        <f aca="true">IF(J51="","",TODAY()-J51)</f>
        <v/>
      </c>
      <c r="R51" s="37"/>
      <c r="S51" s="40" t="str">
        <f aca="false">IFERROR(INDEX('Azure Resource Map'!$D$2:$D$2001,MATCH($C51,'Azure Resource Map'!$A$2:$A$2001,0)),"")</f>
        <v/>
      </c>
      <c r="T51" s="39" t="str">
        <f aca="false">IFERROR(INDEX('Azure Resource Map'!$E$2:$E$2001,MATCH($C51,'Azure Resource Map'!$A$2:$A$2001,0)),"")</f>
        <v/>
      </c>
      <c r="U51" s="39" t="str">
        <f aca="false">IFERROR(INDEX('Azure Resource Map'!$F$2:$F$2001,MATCH($C51,'Azure Resource Map'!$A$2:$A$2001,0)),"")</f>
        <v/>
      </c>
      <c r="V51" s="39" t="str">
        <f aca="false">IF($C51="","",IF(ISNUMBER(MATCH($C51,'CA Exclusion Map'!$A$2:$A$2001,0)),"Yes","No"))</f>
        <v/>
      </c>
      <c r="W51" s="39" t="str">
        <f aca="false">IFERROR(INDEX('CA Exclusion Map'!$D$2:$D$2001,MATCH($C51,'CA Exclusion Map'!$A$2:$A$2001,0)),"")</f>
        <v/>
      </c>
      <c r="X51" s="40" t="str">
        <f aca="false">IFERROR(INDEX('CA Exclusion Map'!$E$2:$E$2001,MATCH($C51,'CA Exclusion Map'!$A$2:$A$2001,0)),"")</f>
        <v/>
      </c>
      <c r="Y51" s="40" t="str">
        <f aca="false">IFERROR(INDEX('CA Exclusion Map'!$F$2:$F$2001,MATCH($C51,'CA Exclusion Map'!$A$2:$A$2001,0)),"")</f>
        <v/>
      </c>
      <c r="Z51" s="36"/>
      <c r="AA51" s="37"/>
      <c r="AB51" s="38"/>
      <c r="AC51" s="38"/>
      <c r="AD51" s="39" t="str">
        <f aca="true">IF(V51="","",IF(V51&lt;&gt;"Yes","N/A",IF(AC51="","NO EXPIRY SET",IF(TODAY()&gt;AC51,"EXPIRED",IF(AC51-TODAY()&lt;=30,"Expiring Soon","Active")))))</f>
        <v/>
      </c>
      <c r="AE51" s="36"/>
      <c r="AF51" s="36"/>
      <c r="AG51" s="37"/>
      <c r="AH51" s="36"/>
      <c r="AI51" s="37"/>
      <c r="AJ51" s="37"/>
      <c r="AK51" s="37"/>
      <c r="AL51" s="37"/>
      <c r="AM51" s="38"/>
      <c r="AN51" s="37"/>
      <c r="AO51" s="37"/>
      <c r="AP51" s="41" t="str">
        <f aca="false">IF(AM51="","",AM51+90)</f>
        <v/>
      </c>
      <c r="AQ51" s="39" t="str">
        <f aca="true">IF(C51="","",IF(AM51="","NOT REVIEWED",IF(TODAY()&gt;AP51,"OVERDUE",IF(AP51-TODAY()&lt;=14,"Due Soon","Current"))))</f>
        <v/>
      </c>
      <c r="AR51" s="36"/>
    </row>
    <row r="52" customFormat="false" ht="15" hidden="false" customHeight="false" outlineLevel="0" collapsed="false">
      <c r="A52" s="36"/>
      <c r="B52" s="36"/>
      <c r="C52" s="36"/>
      <c r="D52" s="36"/>
      <c r="E52" s="37"/>
      <c r="F52" s="37"/>
      <c r="G52" s="37"/>
      <c r="H52" s="38"/>
      <c r="I52" s="38"/>
      <c r="J52" s="38"/>
      <c r="K52" s="37"/>
      <c r="L52" s="36"/>
      <c r="M52" s="36"/>
      <c r="N52" s="37"/>
      <c r="O52" s="37"/>
      <c r="P52" s="36"/>
      <c r="Q52" s="39" t="str">
        <f aca="true">IF(J52="","",TODAY()-J52)</f>
        <v/>
      </c>
      <c r="R52" s="37"/>
      <c r="S52" s="40" t="str">
        <f aca="false">IFERROR(INDEX('Azure Resource Map'!$D$2:$D$2001,MATCH($C52,'Azure Resource Map'!$A$2:$A$2001,0)),"")</f>
        <v/>
      </c>
      <c r="T52" s="39" t="str">
        <f aca="false">IFERROR(INDEX('Azure Resource Map'!$E$2:$E$2001,MATCH($C52,'Azure Resource Map'!$A$2:$A$2001,0)),"")</f>
        <v/>
      </c>
      <c r="U52" s="39" t="str">
        <f aca="false">IFERROR(INDEX('Azure Resource Map'!$F$2:$F$2001,MATCH($C52,'Azure Resource Map'!$A$2:$A$2001,0)),"")</f>
        <v/>
      </c>
      <c r="V52" s="39" t="str">
        <f aca="false">IF($C52="","",IF(ISNUMBER(MATCH($C52,'CA Exclusion Map'!$A$2:$A$2001,0)),"Yes","No"))</f>
        <v/>
      </c>
      <c r="W52" s="39" t="str">
        <f aca="false">IFERROR(INDEX('CA Exclusion Map'!$D$2:$D$2001,MATCH($C52,'CA Exclusion Map'!$A$2:$A$2001,0)),"")</f>
        <v/>
      </c>
      <c r="X52" s="40" t="str">
        <f aca="false">IFERROR(INDEX('CA Exclusion Map'!$E$2:$E$2001,MATCH($C52,'CA Exclusion Map'!$A$2:$A$2001,0)),"")</f>
        <v/>
      </c>
      <c r="Y52" s="40" t="str">
        <f aca="false">IFERROR(INDEX('CA Exclusion Map'!$F$2:$F$2001,MATCH($C52,'CA Exclusion Map'!$A$2:$A$2001,0)),"")</f>
        <v/>
      </c>
      <c r="Z52" s="36"/>
      <c r="AA52" s="37"/>
      <c r="AB52" s="38"/>
      <c r="AC52" s="38"/>
      <c r="AD52" s="39" t="str">
        <f aca="true">IF(V52="","",IF(V52&lt;&gt;"Yes","N/A",IF(AC52="","NO EXPIRY SET",IF(TODAY()&gt;AC52,"EXPIRED",IF(AC52-TODAY()&lt;=30,"Expiring Soon","Active")))))</f>
        <v/>
      </c>
      <c r="AE52" s="36"/>
      <c r="AF52" s="36"/>
      <c r="AG52" s="37"/>
      <c r="AH52" s="36"/>
      <c r="AI52" s="37"/>
      <c r="AJ52" s="37"/>
      <c r="AK52" s="37"/>
      <c r="AL52" s="37"/>
      <c r="AM52" s="38"/>
      <c r="AN52" s="37"/>
      <c r="AO52" s="37"/>
      <c r="AP52" s="41" t="str">
        <f aca="false">IF(AM52="","",AM52+90)</f>
        <v/>
      </c>
      <c r="AQ52" s="39" t="str">
        <f aca="true">IF(C52="","",IF(AM52="","NOT REVIEWED",IF(TODAY()&gt;AP52,"OVERDUE",IF(AP52-TODAY()&lt;=14,"Due Soon","Current"))))</f>
        <v/>
      </c>
      <c r="AR52" s="36"/>
    </row>
    <row r="53" customFormat="false" ht="15" hidden="false" customHeight="false" outlineLevel="0" collapsed="false">
      <c r="A53" s="36"/>
      <c r="B53" s="36"/>
      <c r="C53" s="36"/>
      <c r="D53" s="36"/>
      <c r="E53" s="37"/>
      <c r="F53" s="37"/>
      <c r="G53" s="37"/>
      <c r="H53" s="38"/>
      <c r="I53" s="38"/>
      <c r="J53" s="38"/>
      <c r="K53" s="37"/>
      <c r="L53" s="36"/>
      <c r="M53" s="36"/>
      <c r="N53" s="37"/>
      <c r="O53" s="37"/>
      <c r="P53" s="36"/>
      <c r="Q53" s="39" t="str">
        <f aca="true">IF(J53="","",TODAY()-J53)</f>
        <v/>
      </c>
      <c r="R53" s="37"/>
      <c r="S53" s="40" t="str">
        <f aca="false">IFERROR(INDEX('Azure Resource Map'!$D$2:$D$2001,MATCH($C53,'Azure Resource Map'!$A$2:$A$2001,0)),"")</f>
        <v/>
      </c>
      <c r="T53" s="39" t="str">
        <f aca="false">IFERROR(INDEX('Azure Resource Map'!$E$2:$E$2001,MATCH($C53,'Azure Resource Map'!$A$2:$A$2001,0)),"")</f>
        <v/>
      </c>
      <c r="U53" s="39" t="str">
        <f aca="false">IFERROR(INDEX('Azure Resource Map'!$F$2:$F$2001,MATCH($C53,'Azure Resource Map'!$A$2:$A$2001,0)),"")</f>
        <v/>
      </c>
      <c r="V53" s="39" t="str">
        <f aca="false">IF($C53="","",IF(ISNUMBER(MATCH($C53,'CA Exclusion Map'!$A$2:$A$2001,0)),"Yes","No"))</f>
        <v/>
      </c>
      <c r="W53" s="39" t="str">
        <f aca="false">IFERROR(INDEX('CA Exclusion Map'!$D$2:$D$2001,MATCH($C53,'CA Exclusion Map'!$A$2:$A$2001,0)),"")</f>
        <v/>
      </c>
      <c r="X53" s="40" t="str">
        <f aca="false">IFERROR(INDEX('CA Exclusion Map'!$E$2:$E$2001,MATCH($C53,'CA Exclusion Map'!$A$2:$A$2001,0)),"")</f>
        <v/>
      </c>
      <c r="Y53" s="40" t="str">
        <f aca="false">IFERROR(INDEX('CA Exclusion Map'!$F$2:$F$2001,MATCH($C53,'CA Exclusion Map'!$A$2:$A$2001,0)),"")</f>
        <v/>
      </c>
      <c r="Z53" s="36"/>
      <c r="AA53" s="37"/>
      <c r="AB53" s="38"/>
      <c r="AC53" s="38"/>
      <c r="AD53" s="39" t="str">
        <f aca="true">IF(V53="","",IF(V53&lt;&gt;"Yes","N/A",IF(AC53="","NO EXPIRY SET",IF(TODAY()&gt;AC53,"EXPIRED",IF(AC53-TODAY()&lt;=30,"Expiring Soon","Active")))))</f>
        <v/>
      </c>
      <c r="AE53" s="36"/>
      <c r="AF53" s="36"/>
      <c r="AG53" s="37"/>
      <c r="AH53" s="36"/>
      <c r="AI53" s="37"/>
      <c r="AJ53" s="37"/>
      <c r="AK53" s="37"/>
      <c r="AL53" s="37"/>
      <c r="AM53" s="38"/>
      <c r="AN53" s="37"/>
      <c r="AO53" s="37"/>
      <c r="AP53" s="41" t="str">
        <f aca="false">IF(AM53="","",AM53+90)</f>
        <v/>
      </c>
      <c r="AQ53" s="39" t="str">
        <f aca="true">IF(C53="","",IF(AM53="","NOT REVIEWED",IF(TODAY()&gt;AP53,"OVERDUE",IF(AP53-TODAY()&lt;=14,"Due Soon","Current"))))</f>
        <v/>
      </c>
      <c r="AR53" s="36"/>
    </row>
    <row r="54" customFormat="false" ht="15" hidden="false" customHeight="false" outlineLevel="0" collapsed="false">
      <c r="A54" s="36"/>
      <c r="B54" s="36"/>
      <c r="C54" s="36"/>
      <c r="D54" s="36"/>
      <c r="E54" s="37"/>
      <c r="F54" s="37"/>
      <c r="G54" s="37"/>
      <c r="H54" s="38"/>
      <c r="I54" s="38"/>
      <c r="J54" s="38"/>
      <c r="K54" s="37"/>
      <c r="L54" s="36"/>
      <c r="M54" s="36"/>
      <c r="N54" s="37"/>
      <c r="O54" s="37"/>
      <c r="P54" s="36"/>
      <c r="Q54" s="39" t="str">
        <f aca="true">IF(J54="","",TODAY()-J54)</f>
        <v/>
      </c>
      <c r="R54" s="37"/>
      <c r="S54" s="40" t="str">
        <f aca="false">IFERROR(INDEX('Azure Resource Map'!$D$2:$D$2001,MATCH($C54,'Azure Resource Map'!$A$2:$A$2001,0)),"")</f>
        <v/>
      </c>
      <c r="T54" s="39" t="str">
        <f aca="false">IFERROR(INDEX('Azure Resource Map'!$E$2:$E$2001,MATCH($C54,'Azure Resource Map'!$A$2:$A$2001,0)),"")</f>
        <v/>
      </c>
      <c r="U54" s="39" t="str">
        <f aca="false">IFERROR(INDEX('Azure Resource Map'!$F$2:$F$2001,MATCH($C54,'Azure Resource Map'!$A$2:$A$2001,0)),"")</f>
        <v/>
      </c>
      <c r="V54" s="39" t="str">
        <f aca="false">IF($C54="","",IF(ISNUMBER(MATCH($C54,'CA Exclusion Map'!$A$2:$A$2001,0)),"Yes","No"))</f>
        <v/>
      </c>
      <c r="W54" s="39" t="str">
        <f aca="false">IFERROR(INDEX('CA Exclusion Map'!$D$2:$D$2001,MATCH($C54,'CA Exclusion Map'!$A$2:$A$2001,0)),"")</f>
        <v/>
      </c>
      <c r="X54" s="40" t="str">
        <f aca="false">IFERROR(INDEX('CA Exclusion Map'!$E$2:$E$2001,MATCH($C54,'CA Exclusion Map'!$A$2:$A$2001,0)),"")</f>
        <v/>
      </c>
      <c r="Y54" s="40" t="str">
        <f aca="false">IFERROR(INDEX('CA Exclusion Map'!$F$2:$F$2001,MATCH($C54,'CA Exclusion Map'!$A$2:$A$2001,0)),"")</f>
        <v/>
      </c>
      <c r="Z54" s="36"/>
      <c r="AA54" s="37"/>
      <c r="AB54" s="38"/>
      <c r="AC54" s="38"/>
      <c r="AD54" s="39" t="str">
        <f aca="true">IF(V54="","",IF(V54&lt;&gt;"Yes","N/A",IF(AC54="","NO EXPIRY SET",IF(TODAY()&gt;AC54,"EXPIRED",IF(AC54-TODAY()&lt;=30,"Expiring Soon","Active")))))</f>
        <v/>
      </c>
      <c r="AE54" s="36"/>
      <c r="AF54" s="36"/>
      <c r="AG54" s="37"/>
      <c r="AH54" s="36"/>
      <c r="AI54" s="37"/>
      <c r="AJ54" s="37"/>
      <c r="AK54" s="37"/>
      <c r="AL54" s="37"/>
      <c r="AM54" s="38"/>
      <c r="AN54" s="37"/>
      <c r="AO54" s="37"/>
      <c r="AP54" s="41" t="str">
        <f aca="false">IF(AM54="","",AM54+90)</f>
        <v/>
      </c>
      <c r="AQ54" s="39" t="str">
        <f aca="true">IF(C54="","",IF(AM54="","NOT REVIEWED",IF(TODAY()&gt;AP54,"OVERDUE",IF(AP54-TODAY()&lt;=14,"Due Soon","Current"))))</f>
        <v/>
      </c>
      <c r="AR54" s="36"/>
    </row>
    <row r="55" customFormat="false" ht="15" hidden="false" customHeight="false" outlineLevel="0" collapsed="false">
      <c r="A55" s="36"/>
      <c r="B55" s="36"/>
      <c r="C55" s="36"/>
      <c r="D55" s="36"/>
      <c r="E55" s="37"/>
      <c r="F55" s="37"/>
      <c r="G55" s="37"/>
      <c r="H55" s="38"/>
      <c r="I55" s="38"/>
      <c r="J55" s="38"/>
      <c r="K55" s="37"/>
      <c r="L55" s="36"/>
      <c r="M55" s="36"/>
      <c r="N55" s="37"/>
      <c r="O55" s="37"/>
      <c r="P55" s="36"/>
      <c r="Q55" s="39" t="str">
        <f aca="true">IF(J55="","",TODAY()-J55)</f>
        <v/>
      </c>
      <c r="R55" s="37"/>
      <c r="S55" s="40" t="str">
        <f aca="false">IFERROR(INDEX('Azure Resource Map'!$D$2:$D$2001,MATCH($C55,'Azure Resource Map'!$A$2:$A$2001,0)),"")</f>
        <v/>
      </c>
      <c r="T55" s="39" t="str">
        <f aca="false">IFERROR(INDEX('Azure Resource Map'!$E$2:$E$2001,MATCH($C55,'Azure Resource Map'!$A$2:$A$2001,0)),"")</f>
        <v/>
      </c>
      <c r="U55" s="39" t="str">
        <f aca="false">IFERROR(INDEX('Azure Resource Map'!$F$2:$F$2001,MATCH($C55,'Azure Resource Map'!$A$2:$A$2001,0)),"")</f>
        <v/>
      </c>
      <c r="V55" s="39" t="str">
        <f aca="false">IF($C55="","",IF(ISNUMBER(MATCH($C55,'CA Exclusion Map'!$A$2:$A$2001,0)),"Yes","No"))</f>
        <v/>
      </c>
      <c r="W55" s="39" t="str">
        <f aca="false">IFERROR(INDEX('CA Exclusion Map'!$D$2:$D$2001,MATCH($C55,'CA Exclusion Map'!$A$2:$A$2001,0)),"")</f>
        <v/>
      </c>
      <c r="X55" s="40" t="str">
        <f aca="false">IFERROR(INDEX('CA Exclusion Map'!$E$2:$E$2001,MATCH($C55,'CA Exclusion Map'!$A$2:$A$2001,0)),"")</f>
        <v/>
      </c>
      <c r="Y55" s="40" t="str">
        <f aca="false">IFERROR(INDEX('CA Exclusion Map'!$F$2:$F$2001,MATCH($C55,'CA Exclusion Map'!$A$2:$A$2001,0)),"")</f>
        <v/>
      </c>
      <c r="Z55" s="36"/>
      <c r="AA55" s="37"/>
      <c r="AB55" s="38"/>
      <c r="AC55" s="38"/>
      <c r="AD55" s="39" t="str">
        <f aca="true">IF(V55="","",IF(V55&lt;&gt;"Yes","N/A",IF(AC55="","NO EXPIRY SET",IF(TODAY()&gt;AC55,"EXPIRED",IF(AC55-TODAY()&lt;=30,"Expiring Soon","Active")))))</f>
        <v/>
      </c>
      <c r="AE55" s="36"/>
      <c r="AF55" s="36"/>
      <c r="AG55" s="37"/>
      <c r="AH55" s="36"/>
      <c r="AI55" s="37"/>
      <c r="AJ55" s="37"/>
      <c r="AK55" s="37"/>
      <c r="AL55" s="37"/>
      <c r="AM55" s="38"/>
      <c r="AN55" s="37"/>
      <c r="AO55" s="37"/>
      <c r="AP55" s="41" t="str">
        <f aca="false">IF(AM55="","",AM55+90)</f>
        <v/>
      </c>
      <c r="AQ55" s="39" t="str">
        <f aca="true">IF(C55="","",IF(AM55="","NOT REVIEWED",IF(TODAY()&gt;AP55,"OVERDUE",IF(AP55-TODAY()&lt;=14,"Due Soon","Current"))))</f>
        <v/>
      </c>
      <c r="AR55" s="36"/>
    </row>
    <row r="56" customFormat="false" ht="15" hidden="false" customHeight="false" outlineLevel="0" collapsed="false">
      <c r="A56" s="36"/>
      <c r="B56" s="36"/>
      <c r="C56" s="36"/>
      <c r="D56" s="36"/>
      <c r="E56" s="37"/>
      <c r="F56" s="37"/>
      <c r="G56" s="37"/>
      <c r="H56" s="38"/>
      <c r="I56" s="38"/>
      <c r="J56" s="38"/>
      <c r="K56" s="37"/>
      <c r="L56" s="36"/>
      <c r="M56" s="36"/>
      <c r="N56" s="37"/>
      <c r="O56" s="37"/>
      <c r="P56" s="36"/>
      <c r="Q56" s="39" t="str">
        <f aca="true">IF(J56="","",TODAY()-J56)</f>
        <v/>
      </c>
      <c r="R56" s="37"/>
      <c r="S56" s="40" t="str">
        <f aca="false">IFERROR(INDEX('Azure Resource Map'!$D$2:$D$2001,MATCH($C56,'Azure Resource Map'!$A$2:$A$2001,0)),"")</f>
        <v/>
      </c>
      <c r="T56" s="39" t="str">
        <f aca="false">IFERROR(INDEX('Azure Resource Map'!$E$2:$E$2001,MATCH($C56,'Azure Resource Map'!$A$2:$A$2001,0)),"")</f>
        <v/>
      </c>
      <c r="U56" s="39" t="str">
        <f aca="false">IFERROR(INDEX('Azure Resource Map'!$F$2:$F$2001,MATCH($C56,'Azure Resource Map'!$A$2:$A$2001,0)),"")</f>
        <v/>
      </c>
      <c r="V56" s="39" t="str">
        <f aca="false">IF($C56="","",IF(ISNUMBER(MATCH($C56,'CA Exclusion Map'!$A$2:$A$2001,0)),"Yes","No"))</f>
        <v/>
      </c>
      <c r="W56" s="39" t="str">
        <f aca="false">IFERROR(INDEX('CA Exclusion Map'!$D$2:$D$2001,MATCH($C56,'CA Exclusion Map'!$A$2:$A$2001,0)),"")</f>
        <v/>
      </c>
      <c r="X56" s="40" t="str">
        <f aca="false">IFERROR(INDEX('CA Exclusion Map'!$E$2:$E$2001,MATCH($C56,'CA Exclusion Map'!$A$2:$A$2001,0)),"")</f>
        <v/>
      </c>
      <c r="Y56" s="40" t="str">
        <f aca="false">IFERROR(INDEX('CA Exclusion Map'!$F$2:$F$2001,MATCH($C56,'CA Exclusion Map'!$A$2:$A$2001,0)),"")</f>
        <v/>
      </c>
      <c r="Z56" s="36"/>
      <c r="AA56" s="37"/>
      <c r="AB56" s="38"/>
      <c r="AC56" s="38"/>
      <c r="AD56" s="39" t="str">
        <f aca="true">IF(V56="","",IF(V56&lt;&gt;"Yes","N/A",IF(AC56="","NO EXPIRY SET",IF(TODAY()&gt;AC56,"EXPIRED",IF(AC56-TODAY()&lt;=30,"Expiring Soon","Active")))))</f>
        <v/>
      </c>
      <c r="AE56" s="36"/>
      <c r="AF56" s="36"/>
      <c r="AG56" s="37"/>
      <c r="AH56" s="36"/>
      <c r="AI56" s="37"/>
      <c r="AJ56" s="37"/>
      <c r="AK56" s="37"/>
      <c r="AL56" s="37"/>
      <c r="AM56" s="38"/>
      <c r="AN56" s="37"/>
      <c r="AO56" s="37"/>
      <c r="AP56" s="41" t="str">
        <f aca="false">IF(AM56="","",AM56+90)</f>
        <v/>
      </c>
      <c r="AQ56" s="39" t="str">
        <f aca="true">IF(C56="","",IF(AM56="","NOT REVIEWED",IF(TODAY()&gt;AP56,"OVERDUE",IF(AP56-TODAY()&lt;=14,"Due Soon","Current"))))</f>
        <v/>
      </c>
      <c r="AR56" s="36"/>
    </row>
    <row r="57" customFormat="false" ht="15" hidden="false" customHeight="false" outlineLevel="0" collapsed="false">
      <c r="A57" s="36"/>
      <c r="B57" s="36"/>
      <c r="C57" s="36"/>
      <c r="D57" s="36"/>
      <c r="E57" s="37"/>
      <c r="F57" s="37"/>
      <c r="G57" s="37"/>
      <c r="H57" s="38"/>
      <c r="I57" s="38"/>
      <c r="J57" s="38"/>
      <c r="K57" s="37"/>
      <c r="L57" s="36"/>
      <c r="M57" s="36"/>
      <c r="N57" s="37"/>
      <c r="O57" s="37"/>
      <c r="P57" s="36"/>
      <c r="Q57" s="39" t="str">
        <f aca="true">IF(J57="","",TODAY()-J57)</f>
        <v/>
      </c>
      <c r="R57" s="37"/>
      <c r="S57" s="40" t="str">
        <f aca="false">IFERROR(INDEX('Azure Resource Map'!$D$2:$D$2001,MATCH($C57,'Azure Resource Map'!$A$2:$A$2001,0)),"")</f>
        <v/>
      </c>
      <c r="T57" s="39" t="str">
        <f aca="false">IFERROR(INDEX('Azure Resource Map'!$E$2:$E$2001,MATCH($C57,'Azure Resource Map'!$A$2:$A$2001,0)),"")</f>
        <v/>
      </c>
      <c r="U57" s="39" t="str">
        <f aca="false">IFERROR(INDEX('Azure Resource Map'!$F$2:$F$2001,MATCH($C57,'Azure Resource Map'!$A$2:$A$2001,0)),"")</f>
        <v/>
      </c>
      <c r="V57" s="39" t="str">
        <f aca="false">IF($C57="","",IF(ISNUMBER(MATCH($C57,'CA Exclusion Map'!$A$2:$A$2001,0)),"Yes","No"))</f>
        <v/>
      </c>
      <c r="W57" s="39" t="str">
        <f aca="false">IFERROR(INDEX('CA Exclusion Map'!$D$2:$D$2001,MATCH($C57,'CA Exclusion Map'!$A$2:$A$2001,0)),"")</f>
        <v/>
      </c>
      <c r="X57" s="40" t="str">
        <f aca="false">IFERROR(INDEX('CA Exclusion Map'!$E$2:$E$2001,MATCH($C57,'CA Exclusion Map'!$A$2:$A$2001,0)),"")</f>
        <v/>
      </c>
      <c r="Y57" s="40" t="str">
        <f aca="false">IFERROR(INDEX('CA Exclusion Map'!$F$2:$F$2001,MATCH($C57,'CA Exclusion Map'!$A$2:$A$2001,0)),"")</f>
        <v/>
      </c>
      <c r="Z57" s="36"/>
      <c r="AA57" s="37"/>
      <c r="AB57" s="38"/>
      <c r="AC57" s="38"/>
      <c r="AD57" s="39" t="str">
        <f aca="true">IF(V57="","",IF(V57&lt;&gt;"Yes","N/A",IF(AC57="","NO EXPIRY SET",IF(TODAY()&gt;AC57,"EXPIRED",IF(AC57-TODAY()&lt;=30,"Expiring Soon","Active")))))</f>
        <v/>
      </c>
      <c r="AE57" s="36"/>
      <c r="AF57" s="36"/>
      <c r="AG57" s="37"/>
      <c r="AH57" s="36"/>
      <c r="AI57" s="37"/>
      <c r="AJ57" s="37"/>
      <c r="AK57" s="37"/>
      <c r="AL57" s="37"/>
      <c r="AM57" s="38"/>
      <c r="AN57" s="37"/>
      <c r="AO57" s="37"/>
      <c r="AP57" s="41" t="str">
        <f aca="false">IF(AM57="","",AM57+90)</f>
        <v/>
      </c>
      <c r="AQ57" s="39" t="str">
        <f aca="true">IF(C57="","",IF(AM57="","NOT REVIEWED",IF(TODAY()&gt;AP57,"OVERDUE",IF(AP57-TODAY()&lt;=14,"Due Soon","Current"))))</f>
        <v/>
      </c>
      <c r="AR57" s="36"/>
    </row>
    <row r="58" customFormat="false" ht="15" hidden="false" customHeight="false" outlineLevel="0" collapsed="false">
      <c r="A58" s="36"/>
      <c r="B58" s="36"/>
      <c r="C58" s="36"/>
      <c r="D58" s="36"/>
      <c r="E58" s="37"/>
      <c r="F58" s="37"/>
      <c r="G58" s="37"/>
      <c r="H58" s="38"/>
      <c r="I58" s="38"/>
      <c r="J58" s="38"/>
      <c r="K58" s="37"/>
      <c r="L58" s="36"/>
      <c r="M58" s="36"/>
      <c r="N58" s="37"/>
      <c r="O58" s="37"/>
      <c r="P58" s="36"/>
      <c r="Q58" s="39" t="str">
        <f aca="true">IF(J58="","",TODAY()-J58)</f>
        <v/>
      </c>
      <c r="R58" s="37"/>
      <c r="S58" s="40" t="str">
        <f aca="false">IFERROR(INDEX('Azure Resource Map'!$D$2:$D$2001,MATCH($C58,'Azure Resource Map'!$A$2:$A$2001,0)),"")</f>
        <v/>
      </c>
      <c r="T58" s="39" t="str">
        <f aca="false">IFERROR(INDEX('Azure Resource Map'!$E$2:$E$2001,MATCH($C58,'Azure Resource Map'!$A$2:$A$2001,0)),"")</f>
        <v/>
      </c>
      <c r="U58" s="39" t="str">
        <f aca="false">IFERROR(INDEX('Azure Resource Map'!$F$2:$F$2001,MATCH($C58,'Azure Resource Map'!$A$2:$A$2001,0)),"")</f>
        <v/>
      </c>
      <c r="V58" s="39" t="str">
        <f aca="false">IF($C58="","",IF(ISNUMBER(MATCH($C58,'CA Exclusion Map'!$A$2:$A$2001,0)),"Yes","No"))</f>
        <v/>
      </c>
      <c r="W58" s="39" t="str">
        <f aca="false">IFERROR(INDEX('CA Exclusion Map'!$D$2:$D$2001,MATCH($C58,'CA Exclusion Map'!$A$2:$A$2001,0)),"")</f>
        <v/>
      </c>
      <c r="X58" s="40" t="str">
        <f aca="false">IFERROR(INDEX('CA Exclusion Map'!$E$2:$E$2001,MATCH($C58,'CA Exclusion Map'!$A$2:$A$2001,0)),"")</f>
        <v/>
      </c>
      <c r="Y58" s="40" t="str">
        <f aca="false">IFERROR(INDEX('CA Exclusion Map'!$F$2:$F$2001,MATCH($C58,'CA Exclusion Map'!$A$2:$A$2001,0)),"")</f>
        <v/>
      </c>
      <c r="Z58" s="36"/>
      <c r="AA58" s="37"/>
      <c r="AB58" s="38"/>
      <c r="AC58" s="38"/>
      <c r="AD58" s="39" t="str">
        <f aca="true">IF(V58="","",IF(V58&lt;&gt;"Yes","N/A",IF(AC58="","NO EXPIRY SET",IF(TODAY()&gt;AC58,"EXPIRED",IF(AC58-TODAY()&lt;=30,"Expiring Soon","Active")))))</f>
        <v/>
      </c>
      <c r="AE58" s="36"/>
      <c r="AF58" s="36"/>
      <c r="AG58" s="37"/>
      <c r="AH58" s="36"/>
      <c r="AI58" s="37"/>
      <c r="AJ58" s="37"/>
      <c r="AK58" s="37"/>
      <c r="AL58" s="37"/>
      <c r="AM58" s="38"/>
      <c r="AN58" s="37"/>
      <c r="AO58" s="37"/>
      <c r="AP58" s="41" t="str">
        <f aca="false">IF(AM58="","",AM58+90)</f>
        <v/>
      </c>
      <c r="AQ58" s="39" t="str">
        <f aca="true">IF(C58="","",IF(AM58="","NOT REVIEWED",IF(TODAY()&gt;AP58,"OVERDUE",IF(AP58-TODAY()&lt;=14,"Due Soon","Current"))))</f>
        <v/>
      </c>
      <c r="AR58" s="36"/>
    </row>
    <row r="59" customFormat="false" ht="15" hidden="false" customHeight="false" outlineLevel="0" collapsed="false">
      <c r="A59" s="36"/>
      <c r="B59" s="36"/>
      <c r="C59" s="36"/>
      <c r="D59" s="36"/>
      <c r="E59" s="37"/>
      <c r="F59" s="37"/>
      <c r="G59" s="37"/>
      <c r="H59" s="38"/>
      <c r="I59" s="38"/>
      <c r="J59" s="38"/>
      <c r="K59" s="37"/>
      <c r="L59" s="36"/>
      <c r="M59" s="36"/>
      <c r="N59" s="37"/>
      <c r="O59" s="37"/>
      <c r="P59" s="36"/>
      <c r="Q59" s="39" t="str">
        <f aca="true">IF(J59="","",TODAY()-J59)</f>
        <v/>
      </c>
      <c r="R59" s="37"/>
      <c r="S59" s="40" t="str">
        <f aca="false">IFERROR(INDEX('Azure Resource Map'!$D$2:$D$2001,MATCH($C59,'Azure Resource Map'!$A$2:$A$2001,0)),"")</f>
        <v/>
      </c>
      <c r="T59" s="39" t="str">
        <f aca="false">IFERROR(INDEX('Azure Resource Map'!$E$2:$E$2001,MATCH($C59,'Azure Resource Map'!$A$2:$A$2001,0)),"")</f>
        <v/>
      </c>
      <c r="U59" s="39" t="str">
        <f aca="false">IFERROR(INDEX('Azure Resource Map'!$F$2:$F$2001,MATCH($C59,'Azure Resource Map'!$A$2:$A$2001,0)),"")</f>
        <v/>
      </c>
      <c r="V59" s="39" t="str">
        <f aca="false">IF($C59="","",IF(ISNUMBER(MATCH($C59,'CA Exclusion Map'!$A$2:$A$2001,0)),"Yes","No"))</f>
        <v/>
      </c>
      <c r="W59" s="39" t="str">
        <f aca="false">IFERROR(INDEX('CA Exclusion Map'!$D$2:$D$2001,MATCH($C59,'CA Exclusion Map'!$A$2:$A$2001,0)),"")</f>
        <v/>
      </c>
      <c r="X59" s="40" t="str">
        <f aca="false">IFERROR(INDEX('CA Exclusion Map'!$E$2:$E$2001,MATCH($C59,'CA Exclusion Map'!$A$2:$A$2001,0)),"")</f>
        <v/>
      </c>
      <c r="Y59" s="40" t="str">
        <f aca="false">IFERROR(INDEX('CA Exclusion Map'!$F$2:$F$2001,MATCH($C59,'CA Exclusion Map'!$A$2:$A$2001,0)),"")</f>
        <v/>
      </c>
      <c r="Z59" s="36"/>
      <c r="AA59" s="37"/>
      <c r="AB59" s="38"/>
      <c r="AC59" s="38"/>
      <c r="AD59" s="39" t="str">
        <f aca="true">IF(V59="","",IF(V59&lt;&gt;"Yes","N/A",IF(AC59="","NO EXPIRY SET",IF(TODAY()&gt;AC59,"EXPIRED",IF(AC59-TODAY()&lt;=30,"Expiring Soon","Active")))))</f>
        <v/>
      </c>
      <c r="AE59" s="36"/>
      <c r="AF59" s="36"/>
      <c r="AG59" s="37"/>
      <c r="AH59" s="36"/>
      <c r="AI59" s="37"/>
      <c r="AJ59" s="37"/>
      <c r="AK59" s="37"/>
      <c r="AL59" s="37"/>
      <c r="AM59" s="38"/>
      <c r="AN59" s="37"/>
      <c r="AO59" s="37"/>
      <c r="AP59" s="41" t="str">
        <f aca="false">IF(AM59="","",AM59+90)</f>
        <v/>
      </c>
      <c r="AQ59" s="39" t="str">
        <f aca="true">IF(C59="","",IF(AM59="","NOT REVIEWED",IF(TODAY()&gt;AP59,"OVERDUE",IF(AP59-TODAY()&lt;=14,"Due Soon","Current"))))</f>
        <v/>
      </c>
      <c r="AR59" s="36"/>
    </row>
    <row r="60" customFormat="false" ht="15" hidden="false" customHeight="false" outlineLevel="0" collapsed="false">
      <c r="A60" s="36"/>
      <c r="B60" s="36"/>
      <c r="C60" s="36"/>
      <c r="D60" s="36"/>
      <c r="E60" s="37"/>
      <c r="F60" s="37"/>
      <c r="G60" s="37"/>
      <c r="H60" s="38"/>
      <c r="I60" s="38"/>
      <c r="J60" s="38"/>
      <c r="K60" s="37"/>
      <c r="L60" s="36"/>
      <c r="M60" s="36"/>
      <c r="N60" s="37"/>
      <c r="O60" s="37"/>
      <c r="P60" s="36"/>
      <c r="Q60" s="39" t="str">
        <f aca="true">IF(J60="","",TODAY()-J60)</f>
        <v/>
      </c>
      <c r="R60" s="37"/>
      <c r="S60" s="40" t="str">
        <f aca="false">IFERROR(INDEX('Azure Resource Map'!$D$2:$D$2001,MATCH($C60,'Azure Resource Map'!$A$2:$A$2001,0)),"")</f>
        <v/>
      </c>
      <c r="T60" s="39" t="str">
        <f aca="false">IFERROR(INDEX('Azure Resource Map'!$E$2:$E$2001,MATCH($C60,'Azure Resource Map'!$A$2:$A$2001,0)),"")</f>
        <v/>
      </c>
      <c r="U60" s="39" t="str">
        <f aca="false">IFERROR(INDEX('Azure Resource Map'!$F$2:$F$2001,MATCH($C60,'Azure Resource Map'!$A$2:$A$2001,0)),"")</f>
        <v/>
      </c>
      <c r="V60" s="39" t="str">
        <f aca="false">IF($C60="","",IF(ISNUMBER(MATCH($C60,'CA Exclusion Map'!$A$2:$A$2001,0)),"Yes","No"))</f>
        <v/>
      </c>
      <c r="W60" s="39" t="str">
        <f aca="false">IFERROR(INDEX('CA Exclusion Map'!$D$2:$D$2001,MATCH($C60,'CA Exclusion Map'!$A$2:$A$2001,0)),"")</f>
        <v/>
      </c>
      <c r="X60" s="40" t="str">
        <f aca="false">IFERROR(INDEX('CA Exclusion Map'!$E$2:$E$2001,MATCH($C60,'CA Exclusion Map'!$A$2:$A$2001,0)),"")</f>
        <v/>
      </c>
      <c r="Y60" s="40" t="str">
        <f aca="false">IFERROR(INDEX('CA Exclusion Map'!$F$2:$F$2001,MATCH($C60,'CA Exclusion Map'!$A$2:$A$2001,0)),"")</f>
        <v/>
      </c>
      <c r="Z60" s="36"/>
      <c r="AA60" s="37"/>
      <c r="AB60" s="38"/>
      <c r="AC60" s="38"/>
      <c r="AD60" s="39" t="str">
        <f aca="true">IF(V60="","",IF(V60&lt;&gt;"Yes","N/A",IF(AC60="","NO EXPIRY SET",IF(TODAY()&gt;AC60,"EXPIRED",IF(AC60-TODAY()&lt;=30,"Expiring Soon","Active")))))</f>
        <v/>
      </c>
      <c r="AE60" s="36"/>
      <c r="AF60" s="36"/>
      <c r="AG60" s="37"/>
      <c r="AH60" s="36"/>
      <c r="AI60" s="37"/>
      <c r="AJ60" s="37"/>
      <c r="AK60" s="37"/>
      <c r="AL60" s="37"/>
      <c r="AM60" s="38"/>
      <c r="AN60" s="37"/>
      <c r="AO60" s="37"/>
      <c r="AP60" s="41" t="str">
        <f aca="false">IF(AM60="","",AM60+90)</f>
        <v/>
      </c>
      <c r="AQ60" s="39" t="str">
        <f aca="true">IF(C60="","",IF(AM60="","NOT REVIEWED",IF(TODAY()&gt;AP60,"OVERDUE",IF(AP60-TODAY()&lt;=14,"Due Soon","Current"))))</f>
        <v/>
      </c>
      <c r="AR60" s="36"/>
    </row>
    <row r="61" customFormat="false" ht="15" hidden="false" customHeight="false" outlineLevel="0" collapsed="false">
      <c r="A61" s="36"/>
      <c r="B61" s="36"/>
      <c r="C61" s="36"/>
      <c r="D61" s="36"/>
      <c r="E61" s="37"/>
      <c r="F61" s="37"/>
      <c r="G61" s="37"/>
      <c r="H61" s="38"/>
      <c r="I61" s="38"/>
      <c r="J61" s="38"/>
      <c r="K61" s="37"/>
      <c r="L61" s="36"/>
      <c r="M61" s="36"/>
      <c r="N61" s="37"/>
      <c r="O61" s="37"/>
      <c r="P61" s="36"/>
      <c r="Q61" s="39" t="str">
        <f aca="true">IF(J61="","",TODAY()-J61)</f>
        <v/>
      </c>
      <c r="R61" s="37"/>
      <c r="S61" s="40" t="str">
        <f aca="false">IFERROR(INDEX('Azure Resource Map'!$D$2:$D$2001,MATCH($C61,'Azure Resource Map'!$A$2:$A$2001,0)),"")</f>
        <v/>
      </c>
      <c r="T61" s="39" t="str">
        <f aca="false">IFERROR(INDEX('Azure Resource Map'!$E$2:$E$2001,MATCH($C61,'Azure Resource Map'!$A$2:$A$2001,0)),"")</f>
        <v/>
      </c>
      <c r="U61" s="39" t="str">
        <f aca="false">IFERROR(INDEX('Azure Resource Map'!$F$2:$F$2001,MATCH($C61,'Azure Resource Map'!$A$2:$A$2001,0)),"")</f>
        <v/>
      </c>
      <c r="V61" s="39" t="str">
        <f aca="false">IF($C61="","",IF(ISNUMBER(MATCH($C61,'CA Exclusion Map'!$A$2:$A$2001,0)),"Yes","No"))</f>
        <v/>
      </c>
      <c r="W61" s="39" t="str">
        <f aca="false">IFERROR(INDEX('CA Exclusion Map'!$D$2:$D$2001,MATCH($C61,'CA Exclusion Map'!$A$2:$A$2001,0)),"")</f>
        <v/>
      </c>
      <c r="X61" s="40" t="str">
        <f aca="false">IFERROR(INDEX('CA Exclusion Map'!$E$2:$E$2001,MATCH($C61,'CA Exclusion Map'!$A$2:$A$2001,0)),"")</f>
        <v/>
      </c>
      <c r="Y61" s="40" t="str">
        <f aca="false">IFERROR(INDEX('CA Exclusion Map'!$F$2:$F$2001,MATCH($C61,'CA Exclusion Map'!$A$2:$A$2001,0)),"")</f>
        <v/>
      </c>
      <c r="Z61" s="36"/>
      <c r="AA61" s="37"/>
      <c r="AB61" s="38"/>
      <c r="AC61" s="38"/>
      <c r="AD61" s="39" t="str">
        <f aca="true">IF(V61="","",IF(V61&lt;&gt;"Yes","N/A",IF(AC61="","NO EXPIRY SET",IF(TODAY()&gt;AC61,"EXPIRED",IF(AC61-TODAY()&lt;=30,"Expiring Soon","Active")))))</f>
        <v/>
      </c>
      <c r="AE61" s="36"/>
      <c r="AF61" s="36"/>
      <c r="AG61" s="37"/>
      <c r="AH61" s="36"/>
      <c r="AI61" s="37"/>
      <c r="AJ61" s="37"/>
      <c r="AK61" s="37"/>
      <c r="AL61" s="37"/>
      <c r="AM61" s="38"/>
      <c r="AN61" s="37"/>
      <c r="AO61" s="37"/>
      <c r="AP61" s="41" t="str">
        <f aca="false">IF(AM61="","",AM61+90)</f>
        <v/>
      </c>
      <c r="AQ61" s="39" t="str">
        <f aca="true">IF(C61="","",IF(AM61="","NOT REVIEWED",IF(TODAY()&gt;AP61,"OVERDUE",IF(AP61-TODAY()&lt;=14,"Due Soon","Current"))))</f>
        <v/>
      </c>
      <c r="AR61" s="36"/>
    </row>
    <row r="62" customFormat="false" ht="15" hidden="false" customHeight="false" outlineLevel="0" collapsed="false">
      <c r="A62" s="36"/>
      <c r="B62" s="36"/>
      <c r="C62" s="36"/>
      <c r="D62" s="36"/>
      <c r="E62" s="37"/>
      <c r="F62" s="37"/>
      <c r="G62" s="37"/>
      <c r="H62" s="38"/>
      <c r="I62" s="38"/>
      <c r="J62" s="38"/>
      <c r="K62" s="37"/>
      <c r="L62" s="36"/>
      <c r="M62" s="36"/>
      <c r="N62" s="37"/>
      <c r="O62" s="37"/>
      <c r="P62" s="36"/>
      <c r="Q62" s="39" t="str">
        <f aca="true">IF(J62="","",TODAY()-J62)</f>
        <v/>
      </c>
      <c r="R62" s="37"/>
      <c r="S62" s="40" t="str">
        <f aca="false">IFERROR(INDEX('Azure Resource Map'!$D$2:$D$2001,MATCH($C62,'Azure Resource Map'!$A$2:$A$2001,0)),"")</f>
        <v/>
      </c>
      <c r="T62" s="39" t="str">
        <f aca="false">IFERROR(INDEX('Azure Resource Map'!$E$2:$E$2001,MATCH($C62,'Azure Resource Map'!$A$2:$A$2001,0)),"")</f>
        <v/>
      </c>
      <c r="U62" s="39" t="str">
        <f aca="false">IFERROR(INDEX('Azure Resource Map'!$F$2:$F$2001,MATCH($C62,'Azure Resource Map'!$A$2:$A$2001,0)),"")</f>
        <v/>
      </c>
      <c r="V62" s="39" t="str">
        <f aca="false">IF($C62="","",IF(ISNUMBER(MATCH($C62,'CA Exclusion Map'!$A$2:$A$2001,0)),"Yes","No"))</f>
        <v/>
      </c>
      <c r="W62" s="39" t="str">
        <f aca="false">IFERROR(INDEX('CA Exclusion Map'!$D$2:$D$2001,MATCH($C62,'CA Exclusion Map'!$A$2:$A$2001,0)),"")</f>
        <v/>
      </c>
      <c r="X62" s="40" t="str">
        <f aca="false">IFERROR(INDEX('CA Exclusion Map'!$E$2:$E$2001,MATCH($C62,'CA Exclusion Map'!$A$2:$A$2001,0)),"")</f>
        <v/>
      </c>
      <c r="Y62" s="40" t="str">
        <f aca="false">IFERROR(INDEX('CA Exclusion Map'!$F$2:$F$2001,MATCH($C62,'CA Exclusion Map'!$A$2:$A$2001,0)),"")</f>
        <v/>
      </c>
      <c r="Z62" s="36"/>
      <c r="AA62" s="37"/>
      <c r="AB62" s="38"/>
      <c r="AC62" s="38"/>
      <c r="AD62" s="39" t="str">
        <f aca="true">IF(V62="","",IF(V62&lt;&gt;"Yes","N/A",IF(AC62="","NO EXPIRY SET",IF(TODAY()&gt;AC62,"EXPIRED",IF(AC62-TODAY()&lt;=30,"Expiring Soon","Active")))))</f>
        <v/>
      </c>
      <c r="AE62" s="36"/>
      <c r="AF62" s="36"/>
      <c r="AG62" s="37"/>
      <c r="AH62" s="36"/>
      <c r="AI62" s="37"/>
      <c r="AJ62" s="37"/>
      <c r="AK62" s="37"/>
      <c r="AL62" s="37"/>
      <c r="AM62" s="38"/>
      <c r="AN62" s="37"/>
      <c r="AO62" s="37"/>
      <c r="AP62" s="41" t="str">
        <f aca="false">IF(AM62="","",AM62+90)</f>
        <v/>
      </c>
      <c r="AQ62" s="39" t="str">
        <f aca="true">IF(C62="","",IF(AM62="","NOT REVIEWED",IF(TODAY()&gt;AP62,"OVERDUE",IF(AP62-TODAY()&lt;=14,"Due Soon","Current"))))</f>
        <v/>
      </c>
      <c r="AR62" s="36"/>
    </row>
    <row r="63" customFormat="false" ht="15" hidden="false" customHeight="false" outlineLevel="0" collapsed="false">
      <c r="A63" s="36"/>
      <c r="B63" s="36"/>
      <c r="C63" s="36"/>
      <c r="D63" s="36"/>
      <c r="E63" s="37"/>
      <c r="F63" s="37"/>
      <c r="G63" s="37"/>
      <c r="H63" s="38"/>
      <c r="I63" s="38"/>
      <c r="J63" s="38"/>
      <c r="K63" s="37"/>
      <c r="L63" s="36"/>
      <c r="M63" s="36"/>
      <c r="N63" s="37"/>
      <c r="O63" s="37"/>
      <c r="P63" s="36"/>
      <c r="Q63" s="39" t="str">
        <f aca="true">IF(J63="","",TODAY()-J63)</f>
        <v/>
      </c>
      <c r="R63" s="37"/>
      <c r="S63" s="40" t="str">
        <f aca="false">IFERROR(INDEX('Azure Resource Map'!$D$2:$D$2001,MATCH($C63,'Azure Resource Map'!$A$2:$A$2001,0)),"")</f>
        <v/>
      </c>
      <c r="T63" s="39" t="str">
        <f aca="false">IFERROR(INDEX('Azure Resource Map'!$E$2:$E$2001,MATCH($C63,'Azure Resource Map'!$A$2:$A$2001,0)),"")</f>
        <v/>
      </c>
      <c r="U63" s="39" t="str">
        <f aca="false">IFERROR(INDEX('Azure Resource Map'!$F$2:$F$2001,MATCH($C63,'Azure Resource Map'!$A$2:$A$2001,0)),"")</f>
        <v/>
      </c>
      <c r="V63" s="39" t="str">
        <f aca="false">IF($C63="","",IF(ISNUMBER(MATCH($C63,'CA Exclusion Map'!$A$2:$A$2001,0)),"Yes","No"))</f>
        <v/>
      </c>
      <c r="W63" s="39" t="str">
        <f aca="false">IFERROR(INDEX('CA Exclusion Map'!$D$2:$D$2001,MATCH($C63,'CA Exclusion Map'!$A$2:$A$2001,0)),"")</f>
        <v/>
      </c>
      <c r="X63" s="40" t="str">
        <f aca="false">IFERROR(INDEX('CA Exclusion Map'!$E$2:$E$2001,MATCH($C63,'CA Exclusion Map'!$A$2:$A$2001,0)),"")</f>
        <v/>
      </c>
      <c r="Y63" s="40" t="str">
        <f aca="false">IFERROR(INDEX('CA Exclusion Map'!$F$2:$F$2001,MATCH($C63,'CA Exclusion Map'!$A$2:$A$2001,0)),"")</f>
        <v/>
      </c>
      <c r="Z63" s="36"/>
      <c r="AA63" s="37"/>
      <c r="AB63" s="38"/>
      <c r="AC63" s="38"/>
      <c r="AD63" s="39" t="str">
        <f aca="true">IF(V63="","",IF(V63&lt;&gt;"Yes","N/A",IF(AC63="","NO EXPIRY SET",IF(TODAY()&gt;AC63,"EXPIRED",IF(AC63-TODAY()&lt;=30,"Expiring Soon","Active")))))</f>
        <v/>
      </c>
      <c r="AE63" s="36"/>
      <c r="AF63" s="36"/>
      <c r="AG63" s="37"/>
      <c r="AH63" s="36"/>
      <c r="AI63" s="37"/>
      <c r="AJ63" s="37"/>
      <c r="AK63" s="37"/>
      <c r="AL63" s="37"/>
      <c r="AM63" s="38"/>
      <c r="AN63" s="37"/>
      <c r="AO63" s="37"/>
      <c r="AP63" s="41" t="str">
        <f aca="false">IF(AM63="","",AM63+90)</f>
        <v/>
      </c>
      <c r="AQ63" s="39" t="str">
        <f aca="true">IF(C63="","",IF(AM63="","NOT REVIEWED",IF(TODAY()&gt;AP63,"OVERDUE",IF(AP63-TODAY()&lt;=14,"Due Soon","Current"))))</f>
        <v/>
      </c>
      <c r="AR63" s="36"/>
    </row>
    <row r="64" customFormat="false" ht="15" hidden="false" customHeight="false" outlineLevel="0" collapsed="false">
      <c r="A64" s="36"/>
      <c r="B64" s="36"/>
      <c r="C64" s="36"/>
      <c r="D64" s="36"/>
      <c r="E64" s="37"/>
      <c r="F64" s="37"/>
      <c r="G64" s="37"/>
      <c r="H64" s="38"/>
      <c r="I64" s="38"/>
      <c r="J64" s="38"/>
      <c r="K64" s="37"/>
      <c r="L64" s="36"/>
      <c r="M64" s="36"/>
      <c r="N64" s="37"/>
      <c r="O64" s="37"/>
      <c r="P64" s="36"/>
      <c r="Q64" s="39" t="str">
        <f aca="true">IF(J64="","",TODAY()-J64)</f>
        <v/>
      </c>
      <c r="R64" s="37"/>
      <c r="S64" s="40" t="str">
        <f aca="false">IFERROR(INDEX('Azure Resource Map'!$D$2:$D$2001,MATCH($C64,'Azure Resource Map'!$A$2:$A$2001,0)),"")</f>
        <v/>
      </c>
      <c r="T64" s="39" t="str">
        <f aca="false">IFERROR(INDEX('Azure Resource Map'!$E$2:$E$2001,MATCH($C64,'Azure Resource Map'!$A$2:$A$2001,0)),"")</f>
        <v/>
      </c>
      <c r="U64" s="39" t="str">
        <f aca="false">IFERROR(INDEX('Azure Resource Map'!$F$2:$F$2001,MATCH($C64,'Azure Resource Map'!$A$2:$A$2001,0)),"")</f>
        <v/>
      </c>
      <c r="V64" s="39" t="str">
        <f aca="false">IF($C64="","",IF(ISNUMBER(MATCH($C64,'CA Exclusion Map'!$A$2:$A$2001,0)),"Yes","No"))</f>
        <v/>
      </c>
      <c r="W64" s="39" t="str">
        <f aca="false">IFERROR(INDEX('CA Exclusion Map'!$D$2:$D$2001,MATCH($C64,'CA Exclusion Map'!$A$2:$A$2001,0)),"")</f>
        <v/>
      </c>
      <c r="X64" s="40" t="str">
        <f aca="false">IFERROR(INDEX('CA Exclusion Map'!$E$2:$E$2001,MATCH($C64,'CA Exclusion Map'!$A$2:$A$2001,0)),"")</f>
        <v/>
      </c>
      <c r="Y64" s="40" t="str">
        <f aca="false">IFERROR(INDEX('CA Exclusion Map'!$F$2:$F$2001,MATCH($C64,'CA Exclusion Map'!$A$2:$A$2001,0)),"")</f>
        <v/>
      </c>
      <c r="Z64" s="36"/>
      <c r="AA64" s="37"/>
      <c r="AB64" s="38"/>
      <c r="AC64" s="38"/>
      <c r="AD64" s="39" t="str">
        <f aca="true">IF(V64="","",IF(V64&lt;&gt;"Yes","N/A",IF(AC64="","NO EXPIRY SET",IF(TODAY()&gt;AC64,"EXPIRED",IF(AC64-TODAY()&lt;=30,"Expiring Soon","Active")))))</f>
        <v/>
      </c>
      <c r="AE64" s="36"/>
      <c r="AF64" s="36"/>
      <c r="AG64" s="37"/>
      <c r="AH64" s="36"/>
      <c r="AI64" s="37"/>
      <c r="AJ64" s="37"/>
      <c r="AK64" s="37"/>
      <c r="AL64" s="37"/>
      <c r="AM64" s="38"/>
      <c r="AN64" s="37"/>
      <c r="AO64" s="37"/>
      <c r="AP64" s="41" t="str">
        <f aca="false">IF(AM64="","",AM64+90)</f>
        <v/>
      </c>
      <c r="AQ64" s="39" t="str">
        <f aca="true">IF(C64="","",IF(AM64="","NOT REVIEWED",IF(TODAY()&gt;AP64,"OVERDUE",IF(AP64-TODAY()&lt;=14,"Due Soon","Current"))))</f>
        <v/>
      </c>
      <c r="AR64" s="36"/>
    </row>
    <row r="65" customFormat="false" ht="15" hidden="false" customHeight="false" outlineLevel="0" collapsed="false">
      <c r="A65" s="36"/>
      <c r="B65" s="36"/>
      <c r="C65" s="36"/>
      <c r="D65" s="36"/>
      <c r="E65" s="37"/>
      <c r="F65" s="37"/>
      <c r="G65" s="37"/>
      <c r="H65" s="38"/>
      <c r="I65" s="38"/>
      <c r="J65" s="38"/>
      <c r="K65" s="37"/>
      <c r="L65" s="36"/>
      <c r="M65" s="36"/>
      <c r="N65" s="37"/>
      <c r="O65" s="37"/>
      <c r="P65" s="36"/>
      <c r="Q65" s="39" t="str">
        <f aca="true">IF(J65="","",TODAY()-J65)</f>
        <v/>
      </c>
      <c r="R65" s="37"/>
      <c r="S65" s="40" t="str">
        <f aca="false">IFERROR(INDEX('Azure Resource Map'!$D$2:$D$2001,MATCH($C65,'Azure Resource Map'!$A$2:$A$2001,0)),"")</f>
        <v/>
      </c>
      <c r="T65" s="39" t="str">
        <f aca="false">IFERROR(INDEX('Azure Resource Map'!$E$2:$E$2001,MATCH($C65,'Azure Resource Map'!$A$2:$A$2001,0)),"")</f>
        <v/>
      </c>
      <c r="U65" s="39" t="str">
        <f aca="false">IFERROR(INDEX('Azure Resource Map'!$F$2:$F$2001,MATCH($C65,'Azure Resource Map'!$A$2:$A$2001,0)),"")</f>
        <v/>
      </c>
      <c r="V65" s="39" t="str">
        <f aca="false">IF($C65="","",IF(ISNUMBER(MATCH($C65,'CA Exclusion Map'!$A$2:$A$2001,0)),"Yes","No"))</f>
        <v/>
      </c>
      <c r="W65" s="39" t="str">
        <f aca="false">IFERROR(INDEX('CA Exclusion Map'!$D$2:$D$2001,MATCH($C65,'CA Exclusion Map'!$A$2:$A$2001,0)),"")</f>
        <v/>
      </c>
      <c r="X65" s="40" t="str">
        <f aca="false">IFERROR(INDEX('CA Exclusion Map'!$E$2:$E$2001,MATCH($C65,'CA Exclusion Map'!$A$2:$A$2001,0)),"")</f>
        <v/>
      </c>
      <c r="Y65" s="40" t="str">
        <f aca="false">IFERROR(INDEX('CA Exclusion Map'!$F$2:$F$2001,MATCH($C65,'CA Exclusion Map'!$A$2:$A$2001,0)),"")</f>
        <v/>
      </c>
      <c r="Z65" s="36"/>
      <c r="AA65" s="37"/>
      <c r="AB65" s="38"/>
      <c r="AC65" s="38"/>
      <c r="AD65" s="39" t="str">
        <f aca="true">IF(V65="","",IF(V65&lt;&gt;"Yes","N/A",IF(AC65="","NO EXPIRY SET",IF(TODAY()&gt;AC65,"EXPIRED",IF(AC65-TODAY()&lt;=30,"Expiring Soon","Active")))))</f>
        <v/>
      </c>
      <c r="AE65" s="36"/>
      <c r="AF65" s="36"/>
      <c r="AG65" s="37"/>
      <c r="AH65" s="36"/>
      <c r="AI65" s="37"/>
      <c r="AJ65" s="37"/>
      <c r="AK65" s="37"/>
      <c r="AL65" s="37"/>
      <c r="AM65" s="38"/>
      <c r="AN65" s="37"/>
      <c r="AO65" s="37"/>
      <c r="AP65" s="41" t="str">
        <f aca="false">IF(AM65="","",AM65+90)</f>
        <v/>
      </c>
      <c r="AQ65" s="39" t="str">
        <f aca="true">IF(C65="","",IF(AM65="","NOT REVIEWED",IF(TODAY()&gt;AP65,"OVERDUE",IF(AP65-TODAY()&lt;=14,"Due Soon","Current"))))</f>
        <v/>
      </c>
      <c r="AR65" s="36"/>
    </row>
    <row r="66" customFormat="false" ht="15" hidden="false" customHeight="false" outlineLevel="0" collapsed="false">
      <c r="A66" s="36"/>
      <c r="B66" s="36"/>
      <c r="C66" s="36"/>
      <c r="D66" s="36"/>
      <c r="E66" s="37"/>
      <c r="F66" s="37"/>
      <c r="G66" s="37"/>
      <c r="H66" s="38"/>
      <c r="I66" s="38"/>
      <c r="J66" s="38"/>
      <c r="K66" s="37"/>
      <c r="L66" s="36"/>
      <c r="M66" s="36"/>
      <c r="N66" s="37"/>
      <c r="O66" s="37"/>
      <c r="P66" s="36"/>
      <c r="Q66" s="39" t="str">
        <f aca="true">IF(J66="","",TODAY()-J66)</f>
        <v/>
      </c>
      <c r="R66" s="37"/>
      <c r="S66" s="40" t="str">
        <f aca="false">IFERROR(INDEX('Azure Resource Map'!$D$2:$D$2001,MATCH($C66,'Azure Resource Map'!$A$2:$A$2001,0)),"")</f>
        <v/>
      </c>
      <c r="T66" s="39" t="str">
        <f aca="false">IFERROR(INDEX('Azure Resource Map'!$E$2:$E$2001,MATCH($C66,'Azure Resource Map'!$A$2:$A$2001,0)),"")</f>
        <v/>
      </c>
      <c r="U66" s="39" t="str">
        <f aca="false">IFERROR(INDEX('Azure Resource Map'!$F$2:$F$2001,MATCH($C66,'Azure Resource Map'!$A$2:$A$2001,0)),"")</f>
        <v/>
      </c>
      <c r="V66" s="39" t="str">
        <f aca="false">IF($C66="","",IF(ISNUMBER(MATCH($C66,'CA Exclusion Map'!$A$2:$A$2001,0)),"Yes","No"))</f>
        <v/>
      </c>
      <c r="W66" s="39" t="str">
        <f aca="false">IFERROR(INDEX('CA Exclusion Map'!$D$2:$D$2001,MATCH($C66,'CA Exclusion Map'!$A$2:$A$2001,0)),"")</f>
        <v/>
      </c>
      <c r="X66" s="40" t="str">
        <f aca="false">IFERROR(INDEX('CA Exclusion Map'!$E$2:$E$2001,MATCH($C66,'CA Exclusion Map'!$A$2:$A$2001,0)),"")</f>
        <v/>
      </c>
      <c r="Y66" s="40" t="str">
        <f aca="false">IFERROR(INDEX('CA Exclusion Map'!$F$2:$F$2001,MATCH($C66,'CA Exclusion Map'!$A$2:$A$2001,0)),"")</f>
        <v/>
      </c>
      <c r="Z66" s="36"/>
      <c r="AA66" s="37"/>
      <c r="AB66" s="38"/>
      <c r="AC66" s="38"/>
      <c r="AD66" s="39" t="str">
        <f aca="true">IF(V66="","",IF(V66&lt;&gt;"Yes","N/A",IF(AC66="","NO EXPIRY SET",IF(TODAY()&gt;AC66,"EXPIRED",IF(AC66-TODAY()&lt;=30,"Expiring Soon","Active")))))</f>
        <v/>
      </c>
      <c r="AE66" s="36"/>
      <c r="AF66" s="36"/>
      <c r="AG66" s="37"/>
      <c r="AH66" s="36"/>
      <c r="AI66" s="37"/>
      <c r="AJ66" s="37"/>
      <c r="AK66" s="37"/>
      <c r="AL66" s="37"/>
      <c r="AM66" s="38"/>
      <c r="AN66" s="37"/>
      <c r="AO66" s="37"/>
      <c r="AP66" s="41" t="str">
        <f aca="false">IF(AM66="","",AM66+90)</f>
        <v/>
      </c>
      <c r="AQ66" s="39" t="str">
        <f aca="true">IF(C66="","",IF(AM66="","NOT REVIEWED",IF(TODAY()&gt;AP66,"OVERDUE",IF(AP66-TODAY()&lt;=14,"Due Soon","Current"))))</f>
        <v/>
      </c>
      <c r="AR66" s="36"/>
    </row>
    <row r="67" customFormat="false" ht="15" hidden="false" customHeight="false" outlineLevel="0" collapsed="false">
      <c r="A67" s="36"/>
      <c r="B67" s="36"/>
      <c r="C67" s="36"/>
      <c r="D67" s="36"/>
      <c r="E67" s="37"/>
      <c r="F67" s="37"/>
      <c r="G67" s="37"/>
      <c r="H67" s="38"/>
      <c r="I67" s="38"/>
      <c r="J67" s="38"/>
      <c r="K67" s="37"/>
      <c r="L67" s="36"/>
      <c r="M67" s="36"/>
      <c r="N67" s="37"/>
      <c r="O67" s="37"/>
      <c r="P67" s="36"/>
      <c r="Q67" s="39" t="str">
        <f aca="true">IF(J67="","",TODAY()-J67)</f>
        <v/>
      </c>
      <c r="R67" s="37"/>
      <c r="S67" s="40" t="str">
        <f aca="false">IFERROR(INDEX('Azure Resource Map'!$D$2:$D$2001,MATCH($C67,'Azure Resource Map'!$A$2:$A$2001,0)),"")</f>
        <v/>
      </c>
      <c r="T67" s="39" t="str">
        <f aca="false">IFERROR(INDEX('Azure Resource Map'!$E$2:$E$2001,MATCH($C67,'Azure Resource Map'!$A$2:$A$2001,0)),"")</f>
        <v/>
      </c>
      <c r="U67" s="39" t="str">
        <f aca="false">IFERROR(INDEX('Azure Resource Map'!$F$2:$F$2001,MATCH($C67,'Azure Resource Map'!$A$2:$A$2001,0)),"")</f>
        <v/>
      </c>
      <c r="V67" s="39" t="str">
        <f aca="false">IF($C67="","",IF(ISNUMBER(MATCH($C67,'CA Exclusion Map'!$A$2:$A$2001,0)),"Yes","No"))</f>
        <v/>
      </c>
      <c r="W67" s="39" t="str">
        <f aca="false">IFERROR(INDEX('CA Exclusion Map'!$D$2:$D$2001,MATCH($C67,'CA Exclusion Map'!$A$2:$A$2001,0)),"")</f>
        <v/>
      </c>
      <c r="X67" s="40" t="str">
        <f aca="false">IFERROR(INDEX('CA Exclusion Map'!$E$2:$E$2001,MATCH($C67,'CA Exclusion Map'!$A$2:$A$2001,0)),"")</f>
        <v/>
      </c>
      <c r="Y67" s="40" t="str">
        <f aca="false">IFERROR(INDEX('CA Exclusion Map'!$F$2:$F$2001,MATCH($C67,'CA Exclusion Map'!$A$2:$A$2001,0)),"")</f>
        <v/>
      </c>
      <c r="Z67" s="36"/>
      <c r="AA67" s="37"/>
      <c r="AB67" s="38"/>
      <c r="AC67" s="38"/>
      <c r="AD67" s="39" t="str">
        <f aca="true">IF(V67="","",IF(V67&lt;&gt;"Yes","N/A",IF(AC67="","NO EXPIRY SET",IF(TODAY()&gt;AC67,"EXPIRED",IF(AC67-TODAY()&lt;=30,"Expiring Soon","Active")))))</f>
        <v/>
      </c>
      <c r="AE67" s="36"/>
      <c r="AF67" s="36"/>
      <c r="AG67" s="37"/>
      <c r="AH67" s="36"/>
      <c r="AI67" s="37"/>
      <c r="AJ67" s="37"/>
      <c r="AK67" s="37"/>
      <c r="AL67" s="37"/>
      <c r="AM67" s="38"/>
      <c r="AN67" s="37"/>
      <c r="AO67" s="37"/>
      <c r="AP67" s="41" t="str">
        <f aca="false">IF(AM67="","",AM67+90)</f>
        <v/>
      </c>
      <c r="AQ67" s="39" t="str">
        <f aca="true">IF(C67="","",IF(AM67="","NOT REVIEWED",IF(TODAY()&gt;AP67,"OVERDUE",IF(AP67-TODAY()&lt;=14,"Due Soon","Current"))))</f>
        <v/>
      </c>
      <c r="AR67" s="36"/>
    </row>
    <row r="68" customFormat="false" ht="15" hidden="false" customHeight="false" outlineLevel="0" collapsed="false">
      <c r="A68" s="36"/>
      <c r="B68" s="36"/>
      <c r="C68" s="36"/>
      <c r="D68" s="36"/>
      <c r="E68" s="37"/>
      <c r="F68" s="37"/>
      <c r="G68" s="37"/>
      <c r="H68" s="38"/>
      <c r="I68" s="38"/>
      <c r="J68" s="38"/>
      <c r="K68" s="37"/>
      <c r="L68" s="36"/>
      <c r="M68" s="36"/>
      <c r="N68" s="37"/>
      <c r="O68" s="37"/>
      <c r="P68" s="36"/>
      <c r="Q68" s="39" t="str">
        <f aca="true">IF(J68="","",TODAY()-J68)</f>
        <v/>
      </c>
      <c r="R68" s="37"/>
      <c r="S68" s="40" t="str">
        <f aca="false">IFERROR(INDEX('Azure Resource Map'!$D$2:$D$2001,MATCH($C68,'Azure Resource Map'!$A$2:$A$2001,0)),"")</f>
        <v/>
      </c>
      <c r="T68" s="39" t="str">
        <f aca="false">IFERROR(INDEX('Azure Resource Map'!$E$2:$E$2001,MATCH($C68,'Azure Resource Map'!$A$2:$A$2001,0)),"")</f>
        <v/>
      </c>
      <c r="U68" s="39" t="str">
        <f aca="false">IFERROR(INDEX('Azure Resource Map'!$F$2:$F$2001,MATCH($C68,'Azure Resource Map'!$A$2:$A$2001,0)),"")</f>
        <v/>
      </c>
      <c r="V68" s="39" t="str">
        <f aca="false">IF($C68="","",IF(ISNUMBER(MATCH($C68,'CA Exclusion Map'!$A$2:$A$2001,0)),"Yes","No"))</f>
        <v/>
      </c>
      <c r="W68" s="39" t="str">
        <f aca="false">IFERROR(INDEX('CA Exclusion Map'!$D$2:$D$2001,MATCH($C68,'CA Exclusion Map'!$A$2:$A$2001,0)),"")</f>
        <v/>
      </c>
      <c r="X68" s="40" t="str">
        <f aca="false">IFERROR(INDEX('CA Exclusion Map'!$E$2:$E$2001,MATCH($C68,'CA Exclusion Map'!$A$2:$A$2001,0)),"")</f>
        <v/>
      </c>
      <c r="Y68" s="40" t="str">
        <f aca="false">IFERROR(INDEX('CA Exclusion Map'!$F$2:$F$2001,MATCH($C68,'CA Exclusion Map'!$A$2:$A$2001,0)),"")</f>
        <v/>
      </c>
      <c r="Z68" s="36"/>
      <c r="AA68" s="37"/>
      <c r="AB68" s="38"/>
      <c r="AC68" s="38"/>
      <c r="AD68" s="39" t="str">
        <f aca="true">IF(V68="","",IF(V68&lt;&gt;"Yes","N/A",IF(AC68="","NO EXPIRY SET",IF(TODAY()&gt;AC68,"EXPIRED",IF(AC68-TODAY()&lt;=30,"Expiring Soon","Active")))))</f>
        <v/>
      </c>
      <c r="AE68" s="36"/>
      <c r="AF68" s="36"/>
      <c r="AG68" s="37"/>
      <c r="AH68" s="36"/>
      <c r="AI68" s="37"/>
      <c r="AJ68" s="37"/>
      <c r="AK68" s="37"/>
      <c r="AL68" s="37"/>
      <c r="AM68" s="38"/>
      <c r="AN68" s="37"/>
      <c r="AO68" s="37"/>
      <c r="AP68" s="41" t="str">
        <f aca="false">IF(AM68="","",AM68+90)</f>
        <v/>
      </c>
      <c r="AQ68" s="39" t="str">
        <f aca="true">IF(C68="","",IF(AM68="","NOT REVIEWED",IF(TODAY()&gt;AP68,"OVERDUE",IF(AP68-TODAY()&lt;=14,"Due Soon","Current"))))</f>
        <v/>
      </c>
      <c r="AR68" s="36"/>
    </row>
    <row r="69" customFormat="false" ht="15" hidden="false" customHeight="false" outlineLevel="0" collapsed="false">
      <c r="A69" s="36"/>
      <c r="B69" s="36"/>
      <c r="C69" s="36"/>
      <c r="D69" s="36"/>
      <c r="E69" s="37"/>
      <c r="F69" s="37"/>
      <c r="G69" s="37"/>
      <c r="H69" s="38"/>
      <c r="I69" s="38"/>
      <c r="J69" s="38"/>
      <c r="K69" s="37"/>
      <c r="L69" s="36"/>
      <c r="M69" s="36"/>
      <c r="N69" s="37"/>
      <c r="O69" s="37"/>
      <c r="P69" s="36"/>
      <c r="Q69" s="39" t="str">
        <f aca="true">IF(J69="","",TODAY()-J69)</f>
        <v/>
      </c>
      <c r="R69" s="37"/>
      <c r="S69" s="40" t="str">
        <f aca="false">IFERROR(INDEX('Azure Resource Map'!$D$2:$D$2001,MATCH($C69,'Azure Resource Map'!$A$2:$A$2001,0)),"")</f>
        <v/>
      </c>
      <c r="T69" s="39" t="str">
        <f aca="false">IFERROR(INDEX('Azure Resource Map'!$E$2:$E$2001,MATCH($C69,'Azure Resource Map'!$A$2:$A$2001,0)),"")</f>
        <v/>
      </c>
      <c r="U69" s="39" t="str">
        <f aca="false">IFERROR(INDEX('Azure Resource Map'!$F$2:$F$2001,MATCH($C69,'Azure Resource Map'!$A$2:$A$2001,0)),"")</f>
        <v/>
      </c>
      <c r="V69" s="39" t="str">
        <f aca="false">IF($C69="","",IF(ISNUMBER(MATCH($C69,'CA Exclusion Map'!$A$2:$A$2001,0)),"Yes","No"))</f>
        <v/>
      </c>
      <c r="W69" s="39" t="str">
        <f aca="false">IFERROR(INDEX('CA Exclusion Map'!$D$2:$D$2001,MATCH($C69,'CA Exclusion Map'!$A$2:$A$2001,0)),"")</f>
        <v/>
      </c>
      <c r="X69" s="40" t="str">
        <f aca="false">IFERROR(INDEX('CA Exclusion Map'!$E$2:$E$2001,MATCH($C69,'CA Exclusion Map'!$A$2:$A$2001,0)),"")</f>
        <v/>
      </c>
      <c r="Y69" s="40" t="str">
        <f aca="false">IFERROR(INDEX('CA Exclusion Map'!$F$2:$F$2001,MATCH($C69,'CA Exclusion Map'!$A$2:$A$2001,0)),"")</f>
        <v/>
      </c>
      <c r="Z69" s="36"/>
      <c r="AA69" s="37"/>
      <c r="AB69" s="38"/>
      <c r="AC69" s="38"/>
      <c r="AD69" s="39" t="str">
        <f aca="true">IF(V69="","",IF(V69&lt;&gt;"Yes","N/A",IF(AC69="","NO EXPIRY SET",IF(TODAY()&gt;AC69,"EXPIRED",IF(AC69-TODAY()&lt;=30,"Expiring Soon","Active")))))</f>
        <v/>
      </c>
      <c r="AE69" s="36"/>
      <c r="AF69" s="36"/>
      <c r="AG69" s="37"/>
      <c r="AH69" s="36"/>
      <c r="AI69" s="37"/>
      <c r="AJ69" s="37"/>
      <c r="AK69" s="37"/>
      <c r="AL69" s="37"/>
      <c r="AM69" s="38"/>
      <c r="AN69" s="37"/>
      <c r="AO69" s="37"/>
      <c r="AP69" s="41" t="str">
        <f aca="false">IF(AM69="","",AM69+90)</f>
        <v/>
      </c>
      <c r="AQ69" s="39" t="str">
        <f aca="true">IF(C69="","",IF(AM69="","NOT REVIEWED",IF(TODAY()&gt;AP69,"OVERDUE",IF(AP69-TODAY()&lt;=14,"Due Soon","Current"))))</f>
        <v/>
      </c>
      <c r="AR69" s="36"/>
    </row>
    <row r="70" customFormat="false" ht="15" hidden="false" customHeight="false" outlineLevel="0" collapsed="false">
      <c r="A70" s="36"/>
      <c r="B70" s="36"/>
      <c r="C70" s="36"/>
      <c r="D70" s="36"/>
      <c r="E70" s="37"/>
      <c r="F70" s="37"/>
      <c r="G70" s="37"/>
      <c r="H70" s="38"/>
      <c r="I70" s="38"/>
      <c r="J70" s="38"/>
      <c r="K70" s="37"/>
      <c r="L70" s="36"/>
      <c r="M70" s="36"/>
      <c r="N70" s="37"/>
      <c r="O70" s="37"/>
      <c r="P70" s="36"/>
      <c r="Q70" s="39" t="str">
        <f aca="true">IF(J70="","",TODAY()-J70)</f>
        <v/>
      </c>
      <c r="R70" s="37"/>
      <c r="S70" s="40" t="str">
        <f aca="false">IFERROR(INDEX('Azure Resource Map'!$D$2:$D$2001,MATCH($C70,'Azure Resource Map'!$A$2:$A$2001,0)),"")</f>
        <v/>
      </c>
      <c r="T70" s="39" t="str">
        <f aca="false">IFERROR(INDEX('Azure Resource Map'!$E$2:$E$2001,MATCH($C70,'Azure Resource Map'!$A$2:$A$2001,0)),"")</f>
        <v/>
      </c>
      <c r="U70" s="39" t="str">
        <f aca="false">IFERROR(INDEX('Azure Resource Map'!$F$2:$F$2001,MATCH($C70,'Azure Resource Map'!$A$2:$A$2001,0)),"")</f>
        <v/>
      </c>
      <c r="V70" s="39" t="str">
        <f aca="false">IF($C70="","",IF(ISNUMBER(MATCH($C70,'CA Exclusion Map'!$A$2:$A$2001,0)),"Yes","No"))</f>
        <v/>
      </c>
      <c r="W70" s="39" t="str">
        <f aca="false">IFERROR(INDEX('CA Exclusion Map'!$D$2:$D$2001,MATCH($C70,'CA Exclusion Map'!$A$2:$A$2001,0)),"")</f>
        <v/>
      </c>
      <c r="X70" s="40" t="str">
        <f aca="false">IFERROR(INDEX('CA Exclusion Map'!$E$2:$E$2001,MATCH($C70,'CA Exclusion Map'!$A$2:$A$2001,0)),"")</f>
        <v/>
      </c>
      <c r="Y70" s="40" t="str">
        <f aca="false">IFERROR(INDEX('CA Exclusion Map'!$F$2:$F$2001,MATCH($C70,'CA Exclusion Map'!$A$2:$A$2001,0)),"")</f>
        <v/>
      </c>
      <c r="Z70" s="36"/>
      <c r="AA70" s="37"/>
      <c r="AB70" s="38"/>
      <c r="AC70" s="38"/>
      <c r="AD70" s="39" t="str">
        <f aca="true">IF(V70="","",IF(V70&lt;&gt;"Yes","N/A",IF(AC70="","NO EXPIRY SET",IF(TODAY()&gt;AC70,"EXPIRED",IF(AC70-TODAY()&lt;=30,"Expiring Soon","Active")))))</f>
        <v/>
      </c>
      <c r="AE70" s="36"/>
      <c r="AF70" s="36"/>
      <c r="AG70" s="37"/>
      <c r="AH70" s="36"/>
      <c r="AI70" s="37"/>
      <c r="AJ70" s="37"/>
      <c r="AK70" s="37"/>
      <c r="AL70" s="37"/>
      <c r="AM70" s="38"/>
      <c r="AN70" s="37"/>
      <c r="AO70" s="37"/>
      <c r="AP70" s="41" t="str">
        <f aca="false">IF(AM70="","",AM70+90)</f>
        <v/>
      </c>
      <c r="AQ70" s="39" t="str">
        <f aca="true">IF(C70="","",IF(AM70="","NOT REVIEWED",IF(TODAY()&gt;AP70,"OVERDUE",IF(AP70-TODAY()&lt;=14,"Due Soon","Current"))))</f>
        <v/>
      </c>
      <c r="AR70" s="36"/>
    </row>
    <row r="71" customFormat="false" ht="15" hidden="false" customHeight="false" outlineLevel="0" collapsed="false">
      <c r="A71" s="36"/>
      <c r="B71" s="36"/>
      <c r="C71" s="36"/>
      <c r="D71" s="36"/>
      <c r="E71" s="37"/>
      <c r="F71" s="37"/>
      <c r="G71" s="37"/>
      <c r="H71" s="38"/>
      <c r="I71" s="38"/>
      <c r="J71" s="38"/>
      <c r="K71" s="37"/>
      <c r="L71" s="36"/>
      <c r="M71" s="36"/>
      <c r="N71" s="37"/>
      <c r="O71" s="37"/>
      <c r="P71" s="36"/>
      <c r="Q71" s="39" t="str">
        <f aca="true">IF(J71="","",TODAY()-J71)</f>
        <v/>
      </c>
      <c r="R71" s="37"/>
      <c r="S71" s="40" t="str">
        <f aca="false">IFERROR(INDEX('Azure Resource Map'!$D$2:$D$2001,MATCH($C71,'Azure Resource Map'!$A$2:$A$2001,0)),"")</f>
        <v/>
      </c>
      <c r="T71" s="39" t="str">
        <f aca="false">IFERROR(INDEX('Azure Resource Map'!$E$2:$E$2001,MATCH($C71,'Azure Resource Map'!$A$2:$A$2001,0)),"")</f>
        <v/>
      </c>
      <c r="U71" s="39" t="str">
        <f aca="false">IFERROR(INDEX('Azure Resource Map'!$F$2:$F$2001,MATCH($C71,'Azure Resource Map'!$A$2:$A$2001,0)),"")</f>
        <v/>
      </c>
      <c r="V71" s="39" t="str">
        <f aca="false">IF($C71="","",IF(ISNUMBER(MATCH($C71,'CA Exclusion Map'!$A$2:$A$2001,0)),"Yes","No"))</f>
        <v/>
      </c>
      <c r="W71" s="39" t="str">
        <f aca="false">IFERROR(INDEX('CA Exclusion Map'!$D$2:$D$2001,MATCH($C71,'CA Exclusion Map'!$A$2:$A$2001,0)),"")</f>
        <v/>
      </c>
      <c r="X71" s="40" t="str">
        <f aca="false">IFERROR(INDEX('CA Exclusion Map'!$E$2:$E$2001,MATCH($C71,'CA Exclusion Map'!$A$2:$A$2001,0)),"")</f>
        <v/>
      </c>
      <c r="Y71" s="40" t="str">
        <f aca="false">IFERROR(INDEX('CA Exclusion Map'!$F$2:$F$2001,MATCH($C71,'CA Exclusion Map'!$A$2:$A$2001,0)),"")</f>
        <v/>
      </c>
      <c r="Z71" s="36"/>
      <c r="AA71" s="37"/>
      <c r="AB71" s="38"/>
      <c r="AC71" s="38"/>
      <c r="AD71" s="39" t="str">
        <f aca="true">IF(V71="","",IF(V71&lt;&gt;"Yes","N/A",IF(AC71="","NO EXPIRY SET",IF(TODAY()&gt;AC71,"EXPIRED",IF(AC71-TODAY()&lt;=30,"Expiring Soon","Active")))))</f>
        <v/>
      </c>
      <c r="AE71" s="36"/>
      <c r="AF71" s="36"/>
      <c r="AG71" s="37"/>
      <c r="AH71" s="36"/>
      <c r="AI71" s="37"/>
      <c r="AJ71" s="37"/>
      <c r="AK71" s="37"/>
      <c r="AL71" s="37"/>
      <c r="AM71" s="38"/>
      <c r="AN71" s="37"/>
      <c r="AO71" s="37"/>
      <c r="AP71" s="41" t="str">
        <f aca="false">IF(AM71="","",AM71+90)</f>
        <v/>
      </c>
      <c r="AQ71" s="39" t="str">
        <f aca="true">IF(C71="","",IF(AM71="","NOT REVIEWED",IF(TODAY()&gt;AP71,"OVERDUE",IF(AP71-TODAY()&lt;=14,"Due Soon","Current"))))</f>
        <v/>
      </c>
      <c r="AR71" s="36"/>
    </row>
    <row r="72" customFormat="false" ht="15" hidden="false" customHeight="false" outlineLevel="0" collapsed="false">
      <c r="A72" s="36"/>
      <c r="B72" s="36"/>
      <c r="C72" s="36"/>
      <c r="D72" s="36"/>
      <c r="E72" s="37"/>
      <c r="F72" s="37"/>
      <c r="G72" s="37"/>
      <c r="H72" s="38"/>
      <c r="I72" s="38"/>
      <c r="J72" s="38"/>
      <c r="K72" s="37"/>
      <c r="L72" s="36"/>
      <c r="M72" s="36"/>
      <c r="N72" s="37"/>
      <c r="O72" s="37"/>
      <c r="P72" s="36"/>
      <c r="Q72" s="39" t="str">
        <f aca="true">IF(J72="","",TODAY()-J72)</f>
        <v/>
      </c>
      <c r="R72" s="37"/>
      <c r="S72" s="40" t="str">
        <f aca="false">IFERROR(INDEX('Azure Resource Map'!$D$2:$D$2001,MATCH($C72,'Azure Resource Map'!$A$2:$A$2001,0)),"")</f>
        <v/>
      </c>
      <c r="T72" s="39" t="str">
        <f aca="false">IFERROR(INDEX('Azure Resource Map'!$E$2:$E$2001,MATCH($C72,'Azure Resource Map'!$A$2:$A$2001,0)),"")</f>
        <v/>
      </c>
      <c r="U72" s="39" t="str">
        <f aca="false">IFERROR(INDEX('Azure Resource Map'!$F$2:$F$2001,MATCH($C72,'Azure Resource Map'!$A$2:$A$2001,0)),"")</f>
        <v/>
      </c>
      <c r="V72" s="39" t="str">
        <f aca="false">IF($C72="","",IF(ISNUMBER(MATCH($C72,'CA Exclusion Map'!$A$2:$A$2001,0)),"Yes","No"))</f>
        <v/>
      </c>
      <c r="W72" s="39" t="str">
        <f aca="false">IFERROR(INDEX('CA Exclusion Map'!$D$2:$D$2001,MATCH($C72,'CA Exclusion Map'!$A$2:$A$2001,0)),"")</f>
        <v/>
      </c>
      <c r="X72" s="40" t="str">
        <f aca="false">IFERROR(INDEX('CA Exclusion Map'!$E$2:$E$2001,MATCH($C72,'CA Exclusion Map'!$A$2:$A$2001,0)),"")</f>
        <v/>
      </c>
      <c r="Y72" s="40" t="str">
        <f aca="false">IFERROR(INDEX('CA Exclusion Map'!$F$2:$F$2001,MATCH($C72,'CA Exclusion Map'!$A$2:$A$2001,0)),"")</f>
        <v/>
      </c>
      <c r="Z72" s="36"/>
      <c r="AA72" s="37"/>
      <c r="AB72" s="38"/>
      <c r="AC72" s="38"/>
      <c r="AD72" s="39" t="str">
        <f aca="true">IF(V72="","",IF(V72&lt;&gt;"Yes","N/A",IF(AC72="","NO EXPIRY SET",IF(TODAY()&gt;AC72,"EXPIRED",IF(AC72-TODAY()&lt;=30,"Expiring Soon","Active")))))</f>
        <v/>
      </c>
      <c r="AE72" s="36"/>
      <c r="AF72" s="36"/>
      <c r="AG72" s="37"/>
      <c r="AH72" s="36"/>
      <c r="AI72" s="37"/>
      <c r="AJ72" s="37"/>
      <c r="AK72" s="37"/>
      <c r="AL72" s="37"/>
      <c r="AM72" s="38"/>
      <c r="AN72" s="37"/>
      <c r="AO72" s="37"/>
      <c r="AP72" s="41" t="str">
        <f aca="false">IF(AM72="","",AM72+90)</f>
        <v/>
      </c>
      <c r="AQ72" s="39" t="str">
        <f aca="true">IF(C72="","",IF(AM72="","NOT REVIEWED",IF(TODAY()&gt;AP72,"OVERDUE",IF(AP72-TODAY()&lt;=14,"Due Soon","Current"))))</f>
        <v/>
      </c>
      <c r="AR72" s="36"/>
    </row>
    <row r="73" customFormat="false" ht="15" hidden="false" customHeight="false" outlineLevel="0" collapsed="false">
      <c r="A73" s="36"/>
      <c r="B73" s="36"/>
      <c r="C73" s="36"/>
      <c r="D73" s="36"/>
      <c r="E73" s="37"/>
      <c r="F73" s="37"/>
      <c r="G73" s="37"/>
      <c r="H73" s="38"/>
      <c r="I73" s="38"/>
      <c r="J73" s="38"/>
      <c r="K73" s="37"/>
      <c r="L73" s="36"/>
      <c r="M73" s="36"/>
      <c r="N73" s="37"/>
      <c r="O73" s="37"/>
      <c r="P73" s="36"/>
      <c r="Q73" s="39" t="str">
        <f aca="true">IF(J73="","",TODAY()-J73)</f>
        <v/>
      </c>
      <c r="R73" s="37"/>
      <c r="S73" s="40" t="str">
        <f aca="false">IFERROR(INDEX('Azure Resource Map'!$D$2:$D$2001,MATCH($C73,'Azure Resource Map'!$A$2:$A$2001,0)),"")</f>
        <v/>
      </c>
      <c r="T73" s="39" t="str">
        <f aca="false">IFERROR(INDEX('Azure Resource Map'!$E$2:$E$2001,MATCH($C73,'Azure Resource Map'!$A$2:$A$2001,0)),"")</f>
        <v/>
      </c>
      <c r="U73" s="39" t="str">
        <f aca="false">IFERROR(INDEX('Azure Resource Map'!$F$2:$F$2001,MATCH($C73,'Azure Resource Map'!$A$2:$A$2001,0)),"")</f>
        <v/>
      </c>
      <c r="V73" s="39" t="str">
        <f aca="false">IF($C73="","",IF(ISNUMBER(MATCH($C73,'CA Exclusion Map'!$A$2:$A$2001,0)),"Yes","No"))</f>
        <v/>
      </c>
      <c r="W73" s="39" t="str">
        <f aca="false">IFERROR(INDEX('CA Exclusion Map'!$D$2:$D$2001,MATCH($C73,'CA Exclusion Map'!$A$2:$A$2001,0)),"")</f>
        <v/>
      </c>
      <c r="X73" s="40" t="str">
        <f aca="false">IFERROR(INDEX('CA Exclusion Map'!$E$2:$E$2001,MATCH($C73,'CA Exclusion Map'!$A$2:$A$2001,0)),"")</f>
        <v/>
      </c>
      <c r="Y73" s="40" t="str">
        <f aca="false">IFERROR(INDEX('CA Exclusion Map'!$F$2:$F$2001,MATCH($C73,'CA Exclusion Map'!$A$2:$A$2001,0)),"")</f>
        <v/>
      </c>
      <c r="Z73" s="36"/>
      <c r="AA73" s="37"/>
      <c r="AB73" s="38"/>
      <c r="AC73" s="38"/>
      <c r="AD73" s="39" t="str">
        <f aca="true">IF(V73="","",IF(V73&lt;&gt;"Yes","N/A",IF(AC73="","NO EXPIRY SET",IF(TODAY()&gt;AC73,"EXPIRED",IF(AC73-TODAY()&lt;=30,"Expiring Soon","Active")))))</f>
        <v/>
      </c>
      <c r="AE73" s="36"/>
      <c r="AF73" s="36"/>
      <c r="AG73" s="37"/>
      <c r="AH73" s="36"/>
      <c r="AI73" s="37"/>
      <c r="AJ73" s="37"/>
      <c r="AK73" s="37"/>
      <c r="AL73" s="37"/>
      <c r="AM73" s="38"/>
      <c r="AN73" s="37"/>
      <c r="AO73" s="37"/>
      <c r="AP73" s="41" t="str">
        <f aca="false">IF(AM73="","",AM73+90)</f>
        <v/>
      </c>
      <c r="AQ73" s="39" t="str">
        <f aca="true">IF(C73="","",IF(AM73="","NOT REVIEWED",IF(TODAY()&gt;AP73,"OVERDUE",IF(AP73-TODAY()&lt;=14,"Due Soon","Current"))))</f>
        <v/>
      </c>
      <c r="AR73" s="36"/>
    </row>
    <row r="74" customFormat="false" ht="15" hidden="false" customHeight="false" outlineLevel="0" collapsed="false">
      <c r="A74" s="36"/>
      <c r="B74" s="36"/>
      <c r="C74" s="36"/>
      <c r="D74" s="36"/>
      <c r="E74" s="37"/>
      <c r="F74" s="37"/>
      <c r="G74" s="37"/>
      <c r="H74" s="38"/>
      <c r="I74" s="38"/>
      <c r="J74" s="38"/>
      <c r="K74" s="37"/>
      <c r="L74" s="36"/>
      <c r="M74" s="36"/>
      <c r="N74" s="37"/>
      <c r="O74" s="37"/>
      <c r="P74" s="36"/>
      <c r="Q74" s="39" t="str">
        <f aca="true">IF(J74="","",TODAY()-J74)</f>
        <v/>
      </c>
      <c r="R74" s="37"/>
      <c r="S74" s="40" t="str">
        <f aca="false">IFERROR(INDEX('Azure Resource Map'!$D$2:$D$2001,MATCH($C74,'Azure Resource Map'!$A$2:$A$2001,0)),"")</f>
        <v/>
      </c>
      <c r="T74" s="39" t="str">
        <f aca="false">IFERROR(INDEX('Azure Resource Map'!$E$2:$E$2001,MATCH($C74,'Azure Resource Map'!$A$2:$A$2001,0)),"")</f>
        <v/>
      </c>
      <c r="U74" s="39" t="str">
        <f aca="false">IFERROR(INDEX('Azure Resource Map'!$F$2:$F$2001,MATCH($C74,'Azure Resource Map'!$A$2:$A$2001,0)),"")</f>
        <v/>
      </c>
      <c r="V74" s="39" t="str">
        <f aca="false">IF($C74="","",IF(ISNUMBER(MATCH($C74,'CA Exclusion Map'!$A$2:$A$2001,0)),"Yes","No"))</f>
        <v/>
      </c>
      <c r="W74" s="39" t="str">
        <f aca="false">IFERROR(INDEX('CA Exclusion Map'!$D$2:$D$2001,MATCH($C74,'CA Exclusion Map'!$A$2:$A$2001,0)),"")</f>
        <v/>
      </c>
      <c r="X74" s="40" t="str">
        <f aca="false">IFERROR(INDEX('CA Exclusion Map'!$E$2:$E$2001,MATCH($C74,'CA Exclusion Map'!$A$2:$A$2001,0)),"")</f>
        <v/>
      </c>
      <c r="Y74" s="40" t="str">
        <f aca="false">IFERROR(INDEX('CA Exclusion Map'!$F$2:$F$2001,MATCH($C74,'CA Exclusion Map'!$A$2:$A$2001,0)),"")</f>
        <v/>
      </c>
      <c r="Z74" s="36"/>
      <c r="AA74" s="37"/>
      <c r="AB74" s="38"/>
      <c r="AC74" s="38"/>
      <c r="AD74" s="39" t="str">
        <f aca="true">IF(V74="","",IF(V74&lt;&gt;"Yes","N/A",IF(AC74="","NO EXPIRY SET",IF(TODAY()&gt;AC74,"EXPIRED",IF(AC74-TODAY()&lt;=30,"Expiring Soon","Active")))))</f>
        <v/>
      </c>
      <c r="AE74" s="36"/>
      <c r="AF74" s="36"/>
      <c r="AG74" s="37"/>
      <c r="AH74" s="36"/>
      <c r="AI74" s="37"/>
      <c r="AJ74" s="37"/>
      <c r="AK74" s="37"/>
      <c r="AL74" s="37"/>
      <c r="AM74" s="38"/>
      <c r="AN74" s="37"/>
      <c r="AO74" s="37"/>
      <c r="AP74" s="41" t="str">
        <f aca="false">IF(AM74="","",AM74+90)</f>
        <v/>
      </c>
      <c r="AQ74" s="39" t="str">
        <f aca="true">IF(C74="","",IF(AM74="","NOT REVIEWED",IF(TODAY()&gt;AP74,"OVERDUE",IF(AP74-TODAY()&lt;=14,"Due Soon","Current"))))</f>
        <v/>
      </c>
      <c r="AR74" s="36"/>
    </row>
    <row r="75" customFormat="false" ht="15" hidden="false" customHeight="false" outlineLevel="0" collapsed="false">
      <c r="A75" s="36"/>
      <c r="B75" s="36"/>
      <c r="C75" s="36"/>
      <c r="D75" s="36"/>
      <c r="E75" s="37"/>
      <c r="F75" s="37"/>
      <c r="G75" s="37"/>
      <c r="H75" s="38"/>
      <c r="I75" s="38"/>
      <c r="J75" s="38"/>
      <c r="K75" s="37"/>
      <c r="L75" s="36"/>
      <c r="M75" s="36"/>
      <c r="N75" s="37"/>
      <c r="O75" s="37"/>
      <c r="P75" s="36"/>
      <c r="Q75" s="39" t="str">
        <f aca="true">IF(J75="","",TODAY()-J75)</f>
        <v/>
      </c>
      <c r="R75" s="37"/>
      <c r="S75" s="40" t="str">
        <f aca="false">IFERROR(INDEX('Azure Resource Map'!$D$2:$D$2001,MATCH($C75,'Azure Resource Map'!$A$2:$A$2001,0)),"")</f>
        <v/>
      </c>
      <c r="T75" s="39" t="str">
        <f aca="false">IFERROR(INDEX('Azure Resource Map'!$E$2:$E$2001,MATCH($C75,'Azure Resource Map'!$A$2:$A$2001,0)),"")</f>
        <v/>
      </c>
      <c r="U75" s="39" t="str">
        <f aca="false">IFERROR(INDEX('Azure Resource Map'!$F$2:$F$2001,MATCH($C75,'Azure Resource Map'!$A$2:$A$2001,0)),"")</f>
        <v/>
      </c>
      <c r="V75" s="39" t="str">
        <f aca="false">IF($C75="","",IF(ISNUMBER(MATCH($C75,'CA Exclusion Map'!$A$2:$A$2001,0)),"Yes","No"))</f>
        <v/>
      </c>
      <c r="W75" s="39" t="str">
        <f aca="false">IFERROR(INDEX('CA Exclusion Map'!$D$2:$D$2001,MATCH($C75,'CA Exclusion Map'!$A$2:$A$2001,0)),"")</f>
        <v/>
      </c>
      <c r="X75" s="40" t="str">
        <f aca="false">IFERROR(INDEX('CA Exclusion Map'!$E$2:$E$2001,MATCH($C75,'CA Exclusion Map'!$A$2:$A$2001,0)),"")</f>
        <v/>
      </c>
      <c r="Y75" s="40" t="str">
        <f aca="false">IFERROR(INDEX('CA Exclusion Map'!$F$2:$F$2001,MATCH($C75,'CA Exclusion Map'!$A$2:$A$2001,0)),"")</f>
        <v/>
      </c>
      <c r="Z75" s="36"/>
      <c r="AA75" s="37"/>
      <c r="AB75" s="38"/>
      <c r="AC75" s="38"/>
      <c r="AD75" s="39" t="str">
        <f aca="true">IF(V75="","",IF(V75&lt;&gt;"Yes","N/A",IF(AC75="","NO EXPIRY SET",IF(TODAY()&gt;AC75,"EXPIRED",IF(AC75-TODAY()&lt;=30,"Expiring Soon","Active")))))</f>
        <v/>
      </c>
      <c r="AE75" s="36"/>
      <c r="AF75" s="36"/>
      <c r="AG75" s="37"/>
      <c r="AH75" s="36"/>
      <c r="AI75" s="37"/>
      <c r="AJ75" s="37"/>
      <c r="AK75" s="37"/>
      <c r="AL75" s="37"/>
      <c r="AM75" s="38"/>
      <c r="AN75" s="37"/>
      <c r="AO75" s="37"/>
      <c r="AP75" s="41" t="str">
        <f aca="false">IF(AM75="","",AM75+90)</f>
        <v/>
      </c>
      <c r="AQ75" s="39" t="str">
        <f aca="true">IF(C75="","",IF(AM75="","NOT REVIEWED",IF(TODAY()&gt;AP75,"OVERDUE",IF(AP75-TODAY()&lt;=14,"Due Soon","Current"))))</f>
        <v/>
      </c>
      <c r="AR75" s="36"/>
    </row>
    <row r="76" customFormat="false" ht="15" hidden="false" customHeight="false" outlineLevel="0" collapsed="false">
      <c r="A76" s="36"/>
      <c r="B76" s="36"/>
      <c r="C76" s="36"/>
      <c r="D76" s="36"/>
      <c r="E76" s="37"/>
      <c r="F76" s="37"/>
      <c r="G76" s="37"/>
      <c r="H76" s="38"/>
      <c r="I76" s="38"/>
      <c r="J76" s="38"/>
      <c r="K76" s="37"/>
      <c r="L76" s="36"/>
      <c r="M76" s="36"/>
      <c r="N76" s="37"/>
      <c r="O76" s="37"/>
      <c r="P76" s="36"/>
      <c r="Q76" s="39" t="str">
        <f aca="true">IF(J76="","",TODAY()-J76)</f>
        <v/>
      </c>
      <c r="R76" s="37"/>
      <c r="S76" s="40" t="str">
        <f aca="false">IFERROR(INDEX('Azure Resource Map'!$D$2:$D$2001,MATCH($C76,'Azure Resource Map'!$A$2:$A$2001,0)),"")</f>
        <v/>
      </c>
      <c r="T76" s="39" t="str">
        <f aca="false">IFERROR(INDEX('Azure Resource Map'!$E$2:$E$2001,MATCH($C76,'Azure Resource Map'!$A$2:$A$2001,0)),"")</f>
        <v/>
      </c>
      <c r="U76" s="39" t="str">
        <f aca="false">IFERROR(INDEX('Azure Resource Map'!$F$2:$F$2001,MATCH($C76,'Azure Resource Map'!$A$2:$A$2001,0)),"")</f>
        <v/>
      </c>
      <c r="V76" s="39" t="str">
        <f aca="false">IF($C76="","",IF(ISNUMBER(MATCH($C76,'CA Exclusion Map'!$A$2:$A$2001,0)),"Yes","No"))</f>
        <v/>
      </c>
      <c r="W76" s="39" t="str">
        <f aca="false">IFERROR(INDEX('CA Exclusion Map'!$D$2:$D$2001,MATCH($C76,'CA Exclusion Map'!$A$2:$A$2001,0)),"")</f>
        <v/>
      </c>
      <c r="X76" s="40" t="str">
        <f aca="false">IFERROR(INDEX('CA Exclusion Map'!$E$2:$E$2001,MATCH($C76,'CA Exclusion Map'!$A$2:$A$2001,0)),"")</f>
        <v/>
      </c>
      <c r="Y76" s="40" t="str">
        <f aca="false">IFERROR(INDEX('CA Exclusion Map'!$F$2:$F$2001,MATCH($C76,'CA Exclusion Map'!$A$2:$A$2001,0)),"")</f>
        <v/>
      </c>
      <c r="Z76" s="36"/>
      <c r="AA76" s="37"/>
      <c r="AB76" s="38"/>
      <c r="AC76" s="38"/>
      <c r="AD76" s="39" t="str">
        <f aca="true">IF(V76="","",IF(V76&lt;&gt;"Yes","N/A",IF(AC76="","NO EXPIRY SET",IF(TODAY()&gt;AC76,"EXPIRED",IF(AC76-TODAY()&lt;=30,"Expiring Soon","Active")))))</f>
        <v/>
      </c>
      <c r="AE76" s="36"/>
      <c r="AF76" s="36"/>
      <c r="AG76" s="37"/>
      <c r="AH76" s="36"/>
      <c r="AI76" s="37"/>
      <c r="AJ76" s="37"/>
      <c r="AK76" s="37"/>
      <c r="AL76" s="37"/>
      <c r="AM76" s="38"/>
      <c r="AN76" s="37"/>
      <c r="AO76" s="37"/>
      <c r="AP76" s="41" t="str">
        <f aca="false">IF(AM76="","",AM76+90)</f>
        <v/>
      </c>
      <c r="AQ76" s="39" t="str">
        <f aca="true">IF(C76="","",IF(AM76="","NOT REVIEWED",IF(TODAY()&gt;AP76,"OVERDUE",IF(AP76-TODAY()&lt;=14,"Due Soon","Current"))))</f>
        <v/>
      </c>
      <c r="AR76" s="36"/>
    </row>
    <row r="77" customFormat="false" ht="15" hidden="false" customHeight="false" outlineLevel="0" collapsed="false">
      <c r="A77" s="36"/>
      <c r="B77" s="36"/>
      <c r="C77" s="36"/>
      <c r="D77" s="36"/>
      <c r="E77" s="37"/>
      <c r="F77" s="37"/>
      <c r="G77" s="37"/>
      <c r="H77" s="38"/>
      <c r="I77" s="38"/>
      <c r="J77" s="38"/>
      <c r="K77" s="37"/>
      <c r="L77" s="36"/>
      <c r="M77" s="36"/>
      <c r="N77" s="37"/>
      <c r="O77" s="37"/>
      <c r="P77" s="36"/>
      <c r="Q77" s="39" t="str">
        <f aca="true">IF(J77="","",TODAY()-J77)</f>
        <v/>
      </c>
      <c r="R77" s="37"/>
      <c r="S77" s="40" t="str">
        <f aca="false">IFERROR(INDEX('Azure Resource Map'!$D$2:$D$2001,MATCH($C77,'Azure Resource Map'!$A$2:$A$2001,0)),"")</f>
        <v/>
      </c>
      <c r="T77" s="39" t="str">
        <f aca="false">IFERROR(INDEX('Azure Resource Map'!$E$2:$E$2001,MATCH($C77,'Azure Resource Map'!$A$2:$A$2001,0)),"")</f>
        <v/>
      </c>
      <c r="U77" s="39" t="str">
        <f aca="false">IFERROR(INDEX('Azure Resource Map'!$F$2:$F$2001,MATCH($C77,'Azure Resource Map'!$A$2:$A$2001,0)),"")</f>
        <v/>
      </c>
      <c r="V77" s="39" t="str">
        <f aca="false">IF($C77="","",IF(ISNUMBER(MATCH($C77,'CA Exclusion Map'!$A$2:$A$2001,0)),"Yes","No"))</f>
        <v/>
      </c>
      <c r="W77" s="39" t="str">
        <f aca="false">IFERROR(INDEX('CA Exclusion Map'!$D$2:$D$2001,MATCH($C77,'CA Exclusion Map'!$A$2:$A$2001,0)),"")</f>
        <v/>
      </c>
      <c r="X77" s="40" t="str">
        <f aca="false">IFERROR(INDEX('CA Exclusion Map'!$E$2:$E$2001,MATCH($C77,'CA Exclusion Map'!$A$2:$A$2001,0)),"")</f>
        <v/>
      </c>
      <c r="Y77" s="40" t="str">
        <f aca="false">IFERROR(INDEX('CA Exclusion Map'!$F$2:$F$2001,MATCH($C77,'CA Exclusion Map'!$A$2:$A$2001,0)),"")</f>
        <v/>
      </c>
      <c r="Z77" s="36"/>
      <c r="AA77" s="37"/>
      <c r="AB77" s="38"/>
      <c r="AC77" s="38"/>
      <c r="AD77" s="39" t="str">
        <f aca="true">IF(V77="","",IF(V77&lt;&gt;"Yes","N/A",IF(AC77="","NO EXPIRY SET",IF(TODAY()&gt;AC77,"EXPIRED",IF(AC77-TODAY()&lt;=30,"Expiring Soon","Active")))))</f>
        <v/>
      </c>
      <c r="AE77" s="36"/>
      <c r="AF77" s="36"/>
      <c r="AG77" s="37"/>
      <c r="AH77" s="36"/>
      <c r="AI77" s="37"/>
      <c r="AJ77" s="37"/>
      <c r="AK77" s="37"/>
      <c r="AL77" s="37"/>
      <c r="AM77" s="38"/>
      <c r="AN77" s="37"/>
      <c r="AO77" s="37"/>
      <c r="AP77" s="41" t="str">
        <f aca="false">IF(AM77="","",AM77+90)</f>
        <v/>
      </c>
      <c r="AQ77" s="39" t="str">
        <f aca="true">IF(C77="","",IF(AM77="","NOT REVIEWED",IF(TODAY()&gt;AP77,"OVERDUE",IF(AP77-TODAY()&lt;=14,"Due Soon","Current"))))</f>
        <v/>
      </c>
      <c r="AR77" s="36"/>
    </row>
    <row r="78" customFormat="false" ht="15" hidden="false" customHeight="false" outlineLevel="0" collapsed="false">
      <c r="A78" s="36"/>
      <c r="B78" s="36"/>
      <c r="C78" s="36"/>
      <c r="D78" s="36"/>
      <c r="E78" s="37"/>
      <c r="F78" s="37"/>
      <c r="G78" s="37"/>
      <c r="H78" s="38"/>
      <c r="I78" s="38"/>
      <c r="J78" s="38"/>
      <c r="K78" s="37"/>
      <c r="L78" s="36"/>
      <c r="M78" s="36"/>
      <c r="N78" s="37"/>
      <c r="O78" s="37"/>
      <c r="P78" s="36"/>
      <c r="Q78" s="39" t="str">
        <f aca="true">IF(J78="","",TODAY()-J78)</f>
        <v/>
      </c>
      <c r="R78" s="37"/>
      <c r="S78" s="40" t="str">
        <f aca="false">IFERROR(INDEX('Azure Resource Map'!$D$2:$D$2001,MATCH($C78,'Azure Resource Map'!$A$2:$A$2001,0)),"")</f>
        <v/>
      </c>
      <c r="T78" s="39" t="str">
        <f aca="false">IFERROR(INDEX('Azure Resource Map'!$E$2:$E$2001,MATCH($C78,'Azure Resource Map'!$A$2:$A$2001,0)),"")</f>
        <v/>
      </c>
      <c r="U78" s="39" t="str">
        <f aca="false">IFERROR(INDEX('Azure Resource Map'!$F$2:$F$2001,MATCH($C78,'Azure Resource Map'!$A$2:$A$2001,0)),"")</f>
        <v/>
      </c>
      <c r="V78" s="39" t="str">
        <f aca="false">IF($C78="","",IF(ISNUMBER(MATCH($C78,'CA Exclusion Map'!$A$2:$A$2001,0)),"Yes","No"))</f>
        <v/>
      </c>
      <c r="W78" s="39" t="str">
        <f aca="false">IFERROR(INDEX('CA Exclusion Map'!$D$2:$D$2001,MATCH($C78,'CA Exclusion Map'!$A$2:$A$2001,0)),"")</f>
        <v/>
      </c>
      <c r="X78" s="40" t="str">
        <f aca="false">IFERROR(INDEX('CA Exclusion Map'!$E$2:$E$2001,MATCH($C78,'CA Exclusion Map'!$A$2:$A$2001,0)),"")</f>
        <v/>
      </c>
      <c r="Y78" s="40" t="str">
        <f aca="false">IFERROR(INDEX('CA Exclusion Map'!$F$2:$F$2001,MATCH($C78,'CA Exclusion Map'!$A$2:$A$2001,0)),"")</f>
        <v/>
      </c>
      <c r="Z78" s="36"/>
      <c r="AA78" s="37"/>
      <c r="AB78" s="38"/>
      <c r="AC78" s="38"/>
      <c r="AD78" s="39" t="str">
        <f aca="true">IF(V78="","",IF(V78&lt;&gt;"Yes","N/A",IF(AC78="","NO EXPIRY SET",IF(TODAY()&gt;AC78,"EXPIRED",IF(AC78-TODAY()&lt;=30,"Expiring Soon","Active")))))</f>
        <v/>
      </c>
      <c r="AE78" s="36"/>
      <c r="AF78" s="36"/>
      <c r="AG78" s="37"/>
      <c r="AH78" s="36"/>
      <c r="AI78" s="37"/>
      <c r="AJ78" s="37"/>
      <c r="AK78" s="37"/>
      <c r="AL78" s="37"/>
      <c r="AM78" s="38"/>
      <c r="AN78" s="37"/>
      <c r="AO78" s="37"/>
      <c r="AP78" s="41" t="str">
        <f aca="false">IF(AM78="","",AM78+90)</f>
        <v/>
      </c>
      <c r="AQ78" s="39" t="str">
        <f aca="true">IF(C78="","",IF(AM78="","NOT REVIEWED",IF(TODAY()&gt;AP78,"OVERDUE",IF(AP78-TODAY()&lt;=14,"Due Soon","Current"))))</f>
        <v/>
      </c>
      <c r="AR78" s="36"/>
    </row>
    <row r="79" customFormat="false" ht="15" hidden="false" customHeight="false" outlineLevel="0" collapsed="false">
      <c r="A79" s="36"/>
      <c r="B79" s="36"/>
      <c r="C79" s="36"/>
      <c r="D79" s="36"/>
      <c r="E79" s="37"/>
      <c r="F79" s="37"/>
      <c r="G79" s="37"/>
      <c r="H79" s="38"/>
      <c r="I79" s="38"/>
      <c r="J79" s="38"/>
      <c r="K79" s="37"/>
      <c r="L79" s="36"/>
      <c r="M79" s="36"/>
      <c r="N79" s="37"/>
      <c r="O79" s="37"/>
      <c r="P79" s="36"/>
      <c r="Q79" s="39" t="str">
        <f aca="true">IF(J79="","",TODAY()-J79)</f>
        <v/>
      </c>
      <c r="R79" s="37"/>
      <c r="S79" s="40" t="str">
        <f aca="false">IFERROR(INDEX('Azure Resource Map'!$D$2:$D$2001,MATCH($C79,'Azure Resource Map'!$A$2:$A$2001,0)),"")</f>
        <v/>
      </c>
      <c r="T79" s="39" t="str">
        <f aca="false">IFERROR(INDEX('Azure Resource Map'!$E$2:$E$2001,MATCH($C79,'Azure Resource Map'!$A$2:$A$2001,0)),"")</f>
        <v/>
      </c>
      <c r="U79" s="39" t="str">
        <f aca="false">IFERROR(INDEX('Azure Resource Map'!$F$2:$F$2001,MATCH($C79,'Azure Resource Map'!$A$2:$A$2001,0)),"")</f>
        <v/>
      </c>
      <c r="V79" s="39" t="str">
        <f aca="false">IF($C79="","",IF(ISNUMBER(MATCH($C79,'CA Exclusion Map'!$A$2:$A$2001,0)),"Yes","No"))</f>
        <v/>
      </c>
      <c r="W79" s="39" t="str">
        <f aca="false">IFERROR(INDEX('CA Exclusion Map'!$D$2:$D$2001,MATCH($C79,'CA Exclusion Map'!$A$2:$A$2001,0)),"")</f>
        <v/>
      </c>
      <c r="X79" s="40" t="str">
        <f aca="false">IFERROR(INDEX('CA Exclusion Map'!$E$2:$E$2001,MATCH($C79,'CA Exclusion Map'!$A$2:$A$2001,0)),"")</f>
        <v/>
      </c>
      <c r="Y79" s="40" t="str">
        <f aca="false">IFERROR(INDEX('CA Exclusion Map'!$F$2:$F$2001,MATCH($C79,'CA Exclusion Map'!$A$2:$A$2001,0)),"")</f>
        <v/>
      </c>
      <c r="Z79" s="36"/>
      <c r="AA79" s="37"/>
      <c r="AB79" s="38"/>
      <c r="AC79" s="38"/>
      <c r="AD79" s="39" t="str">
        <f aca="true">IF(V79="","",IF(V79&lt;&gt;"Yes","N/A",IF(AC79="","NO EXPIRY SET",IF(TODAY()&gt;AC79,"EXPIRED",IF(AC79-TODAY()&lt;=30,"Expiring Soon","Active")))))</f>
        <v/>
      </c>
      <c r="AE79" s="36"/>
      <c r="AF79" s="36"/>
      <c r="AG79" s="37"/>
      <c r="AH79" s="36"/>
      <c r="AI79" s="37"/>
      <c r="AJ79" s="37"/>
      <c r="AK79" s="37"/>
      <c r="AL79" s="37"/>
      <c r="AM79" s="38"/>
      <c r="AN79" s="37"/>
      <c r="AO79" s="37"/>
      <c r="AP79" s="41" t="str">
        <f aca="false">IF(AM79="","",AM79+90)</f>
        <v/>
      </c>
      <c r="AQ79" s="39" t="str">
        <f aca="true">IF(C79="","",IF(AM79="","NOT REVIEWED",IF(TODAY()&gt;AP79,"OVERDUE",IF(AP79-TODAY()&lt;=14,"Due Soon","Current"))))</f>
        <v/>
      </c>
      <c r="AR79" s="36"/>
    </row>
    <row r="80" customFormat="false" ht="15" hidden="false" customHeight="false" outlineLevel="0" collapsed="false">
      <c r="A80" s="36"/>
      <c r="B80" s="36"/>
      <c r="C80" s="36"/>
      <c r="D80" s="36"/>
      <c r="E80" s="37"/>
      <c r="F80" s="37"/>
      <c r="G80" s="37"/>
      <c r="H80" s="38"/>
      <c r="I80" s="38"/>
      <c r="J80" s="38"/>
      <c r="K80" s="37"/>
      <c r="L80" s="36"/>
      <c r="M80" s="36"/>
      <c r="N80" s="37"/>
      <c r="O80" s="37"/>
      <c r="P80" s="36"/>
      <c r="Q80" s="39" t="str">
        <f aca="true">IF(J80="","",TODAY()-J80)</f>
        <v/>
      </c>
      <c r="R80" s="37"/>
      <c r="S80" s="40" t="str">
        <f aca="false">IFERROR(INDEX('Azure Resource Map'!$D$2:$D$2001,MATCH($C80,'Azure Resource Map'!$A$2:$A$2001,0)),"")</f>
        <v/>
      </c>
      <c r="T80" s="39" t="str">
        <f aca="false">IFERROR(INDEX('Azure Resource Map'!$E$2:$E$2001,MATCH($C80,'Azure Resource Map'!$A$2:$A$2001,0)),"")</f>
        <v/>
      </c>
      <c r="U80" s="39" t="str">
        <f aca="false">IFERROR(INDEX('Azure Resource Map'!$F$2:$F$2001,MATCH($C80,'Azure Resource Map'!$A$2:$A$2001,0)),"")</f>
        <v/>
      </c>
      <c r="V80" s="39" t="str">
        <f aca="false">IF($C80="","",IF(ISNUMBER(MATCH($C80,'CA Exclusion Map'!$A$2:$A$2001,0)),"Yes","No"))</f>
        <v/>
      </c>
      <c r="W80" s="39" t="str">
        <f aca="false">IFERROR(INDEX('CA Exclusion Map'!$D$2:$D$2001,MATCH($C80,'CA Exclusion Map'!$A$2:$A$2001,0)),"")</f>
        <v/>
      </c>
      <c r="X80" s="40" t="str">
        <f aca="false">IFERROR(INDEX('CA Exclusion Map'!$E$2:$E$2001,MATCH($C80,'CA Exclusion Map'!$A$2:$A$2001,0)),"")</f>
        <v/>
      </c>
      <c r="Y80" s="40" t="str">
        <f aca="false">IFERROR(INDEX('CA Exclusion Map'!$F$2:$F$2001,MATCH($C80,'CA Exclusion Map'!$A$2:$A$2001,0)),"")</f>
        <v/>
      </c>
      <c r="Z80" s="36"/>
      <c r="AA80" s="37"/>
      <c r="AB80" s="38"/>
      <c r="AC80" s="38"/>
      <c r="AD80" s="39" t="str">
        <f aca="true">IF(V80="","",IF(V80&lt;&gt;"Yes","N/A",IF(AC80="","NO EXPIRY SET",IF(TODAY()&gt;AC80,"EXPIRED",IF(AC80-TODAY()&lt;=30,"Expiring Soon","Active")))))</f>
        <v/>
      </c>
      <c r="AE80" s="36"/>
      <c r="AF80" s="36"/>
      <c r="AG80" s="37"/>
      <c r="AH80" s="36"/>
      <c r="AI80" s="37"/>
      <c r="AJ80" s="37"/>
      <c r="AK80" s="37"/>
      <c r="AL80" s="37"/>
      <c r="AM80" s="38"/>
      <c r="AN80" s="37"/>
      <c r="AO80" s="37"/>
      <c r="AP80" s="41" t="str">
        <f aca="false">IF(AM80="","",AM80+90)</f>
        <v/>
      </c>
      <c r="AQ80" s="39" t="str">
        <f aca="true">IF(C80="","",IF(AM80="","NOT REVIEWED",IF(TODAY()&gt;AP80,"OVERDUE",IF(AP80-TODAY()&lt;=14,"Due Soon","Current"))))</f>
        <v/>
      </c>
      <c r="AR80" s="36"/>
    </row>
    <row r="81" customFormat="false" ht="15" hidden="false" customHeight="false" outlineLevel="0" collapsed="false">
      <c r="A81" s="36"/>
      <c r="B81" s="36"/>
      <c r="C81" s="36"/>
      <c r="D81" s="36"/>
      <c r="E81" s="37"/>
      <c r="F81" s="37"/>
      <c r="G81" s="37"/>
      <c r="H81" s="38"/>
      <c r="I81" s="38"/>
      <c r="J81" s="38"/>
      <c r="K81" s="37"/>
      <c r="L81" s="36"/>
      <c r="M81" s="36"/>
      <c r="N81" s="37"/>
      <c r="O81" s="37"/>
      <c r="P81" s="36"/>
      <c r="Q81" s="39" t="str">
        <f aca="true">IF(J81="","",TODAY()-J81)</f>
        <v/>
      </c>
      <c r="R81" s="37"/>
      <c r="S81" s="40" t="str">
        <f aca="false">IFERROR(INDEX('Azure Resource Map'!$D$2:$D$2001,MATCH($C81,'Azure Resource Map'!$A$2:$A$2001,0)),"")</f>
        <v/>
      </c>
      <c r="T81" s="39" t="str">
        <f aca="false">IFERROR(INDEX('Azure Resource Map'!$E$2:$E$2001,MATCH($C81,'Azure Resource Map'!$A$2:$A$2001,0)),"")</f>
        <v/>
      </c>
      <c r="U81" s="39" t="str">
        <f aca="false">IFERROR(INDEX('Azure Resource Map'!$F$2:$F$2001,MATCH($C81,'Azure Resource Map'!$A$2:$A$2001,0)),"")</f>
        <v/>
      </c>
      <c r="V81" s="39" t="str">
        <f aca="false">IF($C81="","",IF(ISNUMBER(MATCH($C81,'CA Exclusion Map'!$A$2:$A$2001,0)),"Yes","No"))</f>
        <v/>
      </c>
      <c r="W81" s="39" t="str">
        <f aca="false">IFERROR(INDEX('CA Exclusion Map'!$D$2:$D$2001,MATCH($C81,'CA Exclusion Map'!$A$2:$A$2001,0)),"")</f>
        <v/>
      </c>
      <c r="X81" s="40" t="str">
        <f aca="false">IFERROR(INDEX('CA Exclusion Map'!$E$2:$E$2001,MATCH($C81,'CA Exclusion Map'!$A$2:$A$2001,0)),"")</f>
        <v/>
      </c>
      <c r="Y81" s="40" t="str">
        <f aca="false">IFERROR(INDEX('CA Exclusion Map'!$F$2:$F$2001,MATCH($C81,'CA Exclusion Map'!$A$2:$A$2001,0)),"")</f>
        <v/>
      </c>
      <c r="Z81" s="36"/>
      <c r="AA81" s="37"/>
      <c r="AB81" s="38"/>
      <c r="AC81" s="38"/>
      <c r="AD81" s="39" t="str">
        <f aca="true">IF(V81="","",IF(V81&lt;&gt;"Yes","N/A",IF(AC81="","NO EXPIRY SET",IF(TODAY()&gt;AC81,"EXPIRED",IF(AC81-TODAY()&lt;=30,"Expiring Soon","Active")))))</f>
        <v/>
      </c>
      <c r="AE81" s="36"/>
      <c r="AF81" s="36"/>
      <c r="AG81" s="37"/>
      <c r="AH81" s="36"/>
      <c r="AI81" s="37"/>
      <c r="AJ81" s="37"/>
      <c r="AK81" s="37"/>
      <c r="AL81" s="37"/>
      <c r="AM81" s="38"/>
      <c r="AN81" s="37"/>
      <c r="AO81" s="37"/>
      <c r="AP81" s="41" t="str">
        <f aca="false">IF(AM81="","",AM81+90)</f>
        <v/>
      </c>
      <c r="AQ81" s="39" t="str">
        <f aca="true">IF(C81="","",IF(AM81="","NOT REVIEWED",IF(TODAY()&gt;AP81,"OVERDUE",IF(AP81-TODAY()&lt;=14,"Due Soon","Current"))))</f>
        <v/>
      </c>
      <c r="AR81" s="36"/>
    </row>
    <row r="82" customFormat="false" ht="15" hidden="false" customHeight="false" outlineLevel="0" collapsed="false">
      <c r="A82" s="36"/>
      <c r="B82" s="36"/>
      <c r="C82" s="36"/>
      <c r="D82" s="36"/>
      <c r="E82" s="37"/>
      <c r="F82" s="37"/>
      <c r="G82" s="37"/>
      <c r="H82" s="38"/>
      <c r="I82" s="38"/>
      <c r="J82" s="38"/>
      <c r="K82" s="37"/>
      <c r="L82" s="36"/>
      <c r="M82" s="36"/>
      <c r="N82" s="37"/>
      <c r="O82" s="37"/>
      <c r="P82" s="36"/>
      <c r="Q82" s="39" t="str">
        <f aca="true">IF(J82="","",TODAY()-J82)</f>
        <v/>
      </c>
      <c r="R82" s="37"/>
      <c r="S82" s="40" t="str">
        <f aca="false">IFERROR(INDEX('Azure Resource Map'!$D$2:$D$2001,MATCH($C82,'Azure Resource Map'!$A$2:$A$2001,0)),"")</f>
        <v/>
      </c>
      <c r="T82" s="39" t="str">
        <f aca="false">IFERROR(INDEX('Azure Resource Map'!$E$2:$E$2001,MATCH($C82,'Azure Resource Map'!$A$2:$A$2001,0)),"")</f>
        <v/>
      </c>
      <c r="U82" s="39" t="str">
        <f aca="false">IFERROR(INDEX('Azure Resource Map'!$F$2:$F$2001,MATCH($C82,'Azure Resource Map'!$A$2:$A$2001,0)),"")</f>
        <v/>
      </c>
      <c r="V82" s="39" t="str">
        <f aca="false">IF($C82="","",IF(ISNUMBER(MATCH($C82,'CA Exclusion Map'!$A$2:$A$2001,0)),"Yes","No"))</f>
        <v/>
      </c>
      <c r="W82" s="39" t="str">
        <f aca="false">IFERROR(INDEX('CA Exclusion Map'!$D$2:$D$2001,MATCH($C82,'CA Exclusion Map'!$A$2:$A$2001,0)),"")</f>
        <v/>
      </c>
      <c r="X82" s="40" t="str">
        <f aca="false">IFERROR(INDEX('CA Exclusion Map'!$E$2:$E$2001,MATCH($C82,'CA Exclusion Map'!$A$2:$A$2001,0)),"")</f>
        <v/>
      </c>
      <c r="Y82" s="40" t="str">
        <f aca="false">IFERROR(INDEX('CA Exclusion Map'!$F$2:$F$2001,MATCH($C82,'CA Exclusion Map'!$A$2:$A$2001,0)),"")</f>
        <v/>
      </c>
      <c r="Z82" s="36"/>
      <c r="AA82" s="37"/>
      <c r="AB82" s="38"/>
      <c r="AC82" s="38"/>
      <c r="AD82" s="39" t="str">
        <f aca="true">IF(V82="","",IF(V82&lt;&gt;"Yes","N/A",IF(AC82="","NO EXPIRY SET",IF(TODAY()&gt;AC82,"EXPIRED",IF(AC82-TODAY()&lt;=30,"Expiring Soon","Active")))))</f>
        <v/>
      </c>
      <c r="AE82" s="36"/>
      <c r="AF82" s="36"/>
      <c r="AG82" s="37"/>
      <c r="AH82" s="36"/>
      <c r="AI82" s="37"/>
      <c r="AJ82" s="37"/>
      <c r="AK82" s="37"/>
      <c r="AL82" s="37"/>
      <c r="AM82" s="38"/>
      <c r="AN82" s="37"/>
      <c r="AO82" s="37"/>
      <c r="AP82" s="41" t="str">
        <f aca="false">IF(AM82="","",AM82+90)</f>
        <v/>
      </c>
      <c r="AQ82" s="39" t="str">
        <f aca="true">IF(C82="","",IF(AM82="","NOT REVIEWED",IF(TODAY()&gt;AP82,"OVERDUE",IF(AP82-TODAY()&lt;=14,"Due Soon","Current"))))</f>
        <v/>
      </c>
      <c r="AR82" s="36"/>
    </row>
    <row r="83" customFormat="false" ht="15" hidden="false" customHeight="false" outlineLevel="0" collapsed="false">
      <c r="A83" s="36"/>
      <c r="B83" s="36"/>
      <c r="C83" s="36"/>
      <c r="D83" s="36"/>
      <c r="E83" s="37"/>
      <c r="F83" s="37"/>
      <c r="G83" s="37"/>
      <c r="H83" s="38"/>
      <c r="I83" s="38"/>
      <c r="J83" s="38"/>
      <c r="K83" s="37"/>
      <c r="L83" s="36"/>
      <c r="M83" s="36"/>
      <c r="N83" s="37"/>
      <c r="O83" s="37"/>
      <c r="P83" s="36"/>
      <c r="Q83" s="39" t="str">
        <f aca="true">IF(J83="","",TODAY()-J83)</f>
        <v/>
      </c>
      <c r="R83" s="37"/>
      <c r="S83" s="40" t="str">
        <f aca="false">IFERROR(INDEX('Azure Resource Map'!$D$2:$D$2001,MATCH($C83,'Azure Resource Map'!$A$2:$A$2001,0)),"")</f>
        <v/>
      </c>
      <c r="T83" s="39" t="str">
        <f aca="false">IFERROR(INDEX('Azure Resource Map'!$E$2:$E$2001,MATCH($C83,'Azure Resource Map'!$A$2:$A$2001,0)),"")</f>
        <v/>
      </c>
      <c r="U83" s="39" t="str">
        <f aca="false">IFERROR(INDEX('Azure Resource Map'!$F$2:$F$2001,MATCH($C83,'Azure Resource Map'!$A$2:$A$2001,0)),"")</f>
        <v/>
      </c>
      <c r="V83" s="39" t="str">
        <f aca="false">IF($C83="","",IF(ISNUMBER(MATCH($C83,'CA Exclusion Map'!$A$2:$A$2001,0)),"Yes","No"))</f>
        <v/>
      </c>
      <c r="W83" s="39" t="str">
        <f aca="false">IFERROR(INDEX('CA Exclusion Map'!$D$2:$D$2001,MATCH($C83,'CA Exclusion Map'!$A$2:$A$2001,0)),"")</f>
        <v/>
      </c>
      <c r="X83" s="40" t="str">
        <f aca="false">IFERROR(INDEX('CA Exclusion Map'!$E$2:$E$2001,MATCH($C83,'CA Exclusion Map'!$A$2:$A$2001,0)),"")</f>
        <v/>
      </c>
      <c r="Y83" s="40" t="str">
        <f aca="false">IFERROR(INDEX('CA Exclusion Map'!$F$2:$F$2001,MATCH($C83,'CA Exclusion Map'!$A$2:$A$2001,0)),"")</f>
        <v/>
      </c>
      <c r="Z83" s="36"/>
      <c r="AA83" s="37"/>
      <c r="AB83" s="38"/>
      <c r="AC83" s="38"/>
      <c r="AD83" s="39" t="str">
        <f aca="true">IF(V83="","",IF(V83&lt;&gt;"Yes","N/A",IF(AC83="","NO EXPIRY SET",IF(TODAY()&gt;AC83,"EXPIRED",IF(AC83-TODAY()&lt;=30,"Expiring Soon","Active")))))</f>
        <v/>
      </c>
      <c r="AE83" s="36"/>
      <c r="AF83" s="36"/>
      <c r="AG83" s="37"/>
      <c r="AH83" s="36"/>
      <c r="AI83" s="37"/>
      <c r="AJ83" s="37"/>
      <c r="AK83" s="37"/>
      <c r="AL83" s="37"/>
      <c r="AM83" s="38"/>
      <c r="AN83" s="37"/>
      <c r="AO83" s="37"/>
      <c r="AP83" s="41" t="str">
        <f aca="false">IF(AM83="","",AM83+90)</f>
        <v/>
      </c>
      <c r="AQ83" s="39" t="str">
        <f aca="true">IF(C83="","",IF(AM83="","NOT REVIEWED",IF(TODAY()&gt;AP83,"OVERDUE",IF(AP83-TODAY()&lt;=14,"Due Soon","Current"))))</f>
        <v/>
      </c>
      <c r="AR83" s="36"/>
    </row>
    <row r="84" customFormat="false" ht="15" hidden="false" customHeight="false" outlineLevel="0" collapsed="false">
      <c r="A84" s="36"/>
      <c r="B84" s="36"/>
      <c r="C84" s="36"/>
      <c r="D84" s="36"/>
      <c r="E84" s="37"/>
      <c r="F84" s="37"/>
      <c r="G84" s="37"/>
      <c r="H84" s="38"/>
      <c r="I84" s="38"/>
      <c r="J84" s="38"/>
      <c r="K84" s="37"/>
      <c r="L84" s="36"/>
      <c r="M84" s="36"/>
      <c r="N84" s="37"/>
      <c r="O84" s="37"/>
      <c r="P84" s="36"/>
      <c r="Q84" s="39" t="str">
        <f aca="true">IF(J84="","",TODAY()-J84)</f>
        <v/>
      </c>
      <c r="R84" s="37"/>
      <c r="S84" s="40" t="str">
        <f aca="false">IFERROR(INDEX('Azure Resource Map'!$D$2:$D$2001,MATCH($C84,'Azure Resource Map'!$A$2:$A$2001,0)),"")</f>
        <v/>
      </c>
      <c r="T84" s="39" t="str">
        <f aca="false">IFERROR(INDEX('Azure Resource Map'!$E$2:$E$2001,MATCH($C84,'Azure Resource Map'!$A$2:$A$2001,0)),"")</f>
        <v/>
      </c>
      <c r="U84" s="39" t="str">
        <f aca="false">IFERROR(INDEX('Azure Resource Map'!$F$2:$F$2001,MATCH($C84,'Azure Resource Map'!$A$2:$A$2001,0)),"")</f>
        <v/>
      </c>
      <c r="V84" s="39" t="str">
        <f aca="false">IF($C84="","",IF(ISNUMBER(MATCH($C84,'CA Exclusion Map'!$A$2:$A$2001,0)),"Yes","No"))</f>
        <v/>
      </c>
      <c r="W84" s="39" t="str">
        <f aca="false">IFERROR(INDEX('CA Exclusion Map'!$D$2:$D$2001,MATCH($C84,'CA Exclusion Map'!$A$2:$A$2001,0)),"")</f>
        <v/>
      </c>
      <c r="X84" s="40" t="str">
        <f aca="false">IFERROR(INDEX('CA Exclusion Map'!$E$2:$E$2001,MATCH($C84,'CA Exclusion Map'!$A$2:$A$2001,0)),"")</f>
        <v/>
      </c>
      <c r="Y84" s="40" t="str">
        <f aca="false">IFERROR(INDEX('CA Exclusion Map'!$F$2:$F$2001,MATCH($C84,'CA Exclusion Map'!$A$2:$A$2001,0)),"")</f>
        <v/>
      </c>
      <c r="Z84" s="36"/>
      <c r="AA84" s="37"/>
      <c r="AB84" s="38"/>
      <c r="AC84" s="38"/>
      <c r="AD84" s="39" t="str">
        <f aca="true">IF(V84="","",IF(V84&lt;&gt;"Yes","N/A",IF(AC84="","NO EXPIRY SET",IF(TODAY()&gt;AC84,"EXPIRED",IF(AC84-TODAY()&lt;=30,"Expiring Soon","Active")))))</f>
        <v/>
      </c>
      <c r="AE84" s="36"/>
      <c r="AF84" s="36"/>
      <c r="AG84" s="37"/>
      <c r="AH84" s="36"/>
      <c r="AI84" s="37"/>
      <c r="AJ84" s="37"/>
      <c r="AK84" s="37"/>
      <c r="AL84" s="37"/>
      <c r="AM84" s="38"/>
      <c r="AN84" s="37"/>
      <c r="AO84" s="37"/>
      <c r="AP84" s="41" t="str">
        <f aca="false">IF(AM84="","",AM84+90)</f>
        <v/>
      </c>
      <c r="AQ84" s="39" t="str">
        <f aca="true">IF(C84="","",IF(AM84="","NOT REVIEWED",IF(TODAY()&gt;AP84,"OVERDUE",IF(AP84-TODAY()&lt;=14,"Due Soon","Current"))))</f>
        <v/>
      </c>
      <c r="AR84" s="36"/>
    </row>
    <row r="85" customFormat="false" ht="15" hidden="false" customHeight="false" outlineLevel="0" collapsed="false">
      <c r="A85" s="36"/>
      <c r="B85" s="36"/>
      <c r="C85" s="36"/>
      <c r="D85" s="36"/>
      <c r="E85" s="37"/>
      <c r="F85" s="37"/>
      <c r="G85" s="37"/>
      <c r="H85" s="38"/>
      <c r="I85" s="38"/>
      <c r="J85" s="38"/>
      <c r="K85" s="37"/>
      <c r="L85" s="36"/>
      <c r="M85" s="36"/>
      <c r="N85" s="37"/>
      <c r="O85" s="37"/>
      <c r="P85" s="36"/>
      <c r="Q85" s="39" t="str">
        <f aca="true">IF(J85="","",TODAY()-J85)</f>
        <v/>
      </c>
      <c r="R85" s="37"/>
      <c r="S85" s="40" t="str">
        <f aca="false">IFERROR(INDEX('Azure Resource Map'!$D$2:$D$2001,MATCH($C85,'Azure Resource Map'!$A$2:$A$2001,0)),"")</f>
        <v/>
      </c>
      <c r="T85" s="39" t="str">
        <f aca="false">IFERROR(INDEX('Azure Resource Map'!$E$2:$E$2001,MATCH($C85,'Azure Resource Map'!$A$2:$A$2001,0)),"")</f>
        <v/>
      </c>
      <c r="U85" s="39" t="str">
        <f aca="false">IFERROR(INDEX('Azure Resource Map'!$F$2:$F$2001,MATCH($C85,'Azure Resource Map'!$A$2:$A$2001,0)),"")</f>
        <v/>
      </c>
      <c r="V85" s="39" t="str">
        <f aca="false">IF($C85="","",IF(ISNUMBER(MATCH($C85,'CA Exclusion Map'!$A$2:$A$2001,0)),"Yes","No"))</f>
        <v/>
      </c>
      <c r="W85" s="39" t="str">
        <f aca="false">IFERROR(INDEX('CA Exclusion Map'!$D$2:$D$2001,MATCH($C85,'CA Exclusion Map'!$A$2:$A$2001,0)),"")</f>
        <v/>
      </c>
      <c r="X85" s="40" t="str">
        <f aca="false">IFERROR(INDEX('CA Exclusion Map'!$E$2:$E$2001,MATCH($C85,'CA Exclusion Map'!$A$2:$A$2001,0)),"")</f>
        <v/>
      </c>
      <c r="Y85" s="40" t="str">
        <f aca="false">IFERROR(INDEX('CA Exclusion Map'!$F$2:$F$2001,MATCH($C85,'CA Exclusion Map'!$A$2:$A$2001,0)),"")</f>
        <v/>
      </c>
      <c r="Z85" s="36"/>
      <c r="AA85" s="37"/>
      <c r="AB85" s="38"/>
      <c r="AC85" s="38"/>
      <c r="AD85" s="39" t="str">
        <f aca="true">IF(V85="","",IF(V85&lt;&gt;"Yes","N/A",IF(AC85="","NO EXPIRY SET",IF(TODAY()&gt;AC85,"EXPIRED",IF(AC85-TODAY()&lt;=30,"Expiring Soon","Active")))))</f>
        <v/>
      </c>
      <c r="AE85" s="36"/>
      <c r="AF85" s="36"/>
      <c r="AG85" s="37"/>
      <c r="AH85" s="36"/>
      <c r="AI85" s="37"/>
      <c r="AJ85" s="37"/>
      <c r="AK85" s="37"/>
      <c r="AL85" s="37"/>
      <c r="AM85" s="38"/>
      <c r="AN85" s="37"/>
      <c r="AO85" s="37"/>
      <c r="AP85" s="41" t="str">
        <f aca="false">IF(AM85="","",AM85+90)</f>
        <v/>
      </c>
      <c r="AQ85" s="39" t="str">
        <f aca="true">IF(C85="","",IF(AM85="","NOT REVIEWED",IF(TODAY()&gt;AP85,"OVERDUE",IF(AP85-TODAY()&lt;=14,"Due Soon","Current"))))</f>
        <v/>
      </c>
      <c r="AR85" s="36"/>
    </row>
    <row r="86" customFormat="false" ht="15" hidden="false" customHeight="false" outlineLevel="0" collapsed="false">
      <c r="A86" s="36"/>
      <c r="B86" s="36"/>
      <c r="C86" s="36"/>
      <c r="D86" s="36"/>
      <c r="E86" s="37"/>
      <c r="F86" s="37"/>
      <c r="G86" s="37"/>
      <c r="H86" s="38"/>
      <c r="I86" s="38"/>
      <c r="J86" s="38"/>
      <c r="K86" s="37"/>
      <c r="L86" s="36"/>
      <c r="M86" s="36"/>
      <c r="N86" s="37"/>
      <c r="O86" s="37"/>
      <c r="P86" s="36"/>
      <c r="Q86" s="39" t="str">
        <f aca="true">IF(J86="","",TODAY()-J86)</f>
        <v/>
      </c>
      <c r="R86" s="37"/>
      <c r="S86" s="40" t="str">
        <f aca="false">IFERROR(INDEX('Azure Resource Map'!$D$2:$D$2001,MATCH($C86,'Azure Resource Map'!$A$2:$A$2001,0)),"")</f>
        <v/>
      </c>
      <c r="T86" s="39" t="str">
        <f aca="false">IFERROR(INDEX('Azure Resource Map'!$E$2:$E$2001,MATCH($C86,'Azure Resource Map'!$A$2:$A$2001,0)),"")</f>
        <v/>
      </c>
      <c r="U86" s="39" t="str">
        <f aca="false">IFERROR(INDEX('Azure Resource Map'!$F$2:$F$2001,MATCH($C86,'Azure Resource Map'!$A$2:$A$2001,0)),"")</f>
        <v/>
      </c>
      <c r="V86" s="39" t="str">
        <f aca="false">IF($C86="","",IF(ISNUMBER(MATCH($C86,'CA Exclusion Map'!$A$2:$A$2001,0)),"Yes","No"))</f>
        <v/>
      </c>
      <c r="W86" s="39" t="str">
        <f aca="false">IFERROR(INDEX('CA Exclusion Map'!$D$2:$D$2001,MATCH($C86,'CA Exclusion Map'!$A$2:$A$2001,0)),"")</f>
        <v/>
      </c>
      <c r="X86" s="40" t="str">
        <f aca="false">IFERROR(INDEX('CA Exclusion Map'!$E$2:$E$2001,MATCH($C86,'CA Exclusion Map'!$A$2:$A$2001,0)),"")</f>
        <v/>
      </c>
      <c r="Y86" s="40" t="str">
        <f aca="false">IFERROR(INDEX('CA Exclusion Map'!$F$2:$F$2001,MATCH($C86,'CA Exclusion Map'!$A$2:$A$2001,0)),"")</f>
        <v/>
      </c>
      <c r="Z86" s="36"/>
      <c r="AA86" s="37"/>
      <c r="AB86" s="38"/>
      <c r="AC86" s="38"/>
      <c r="AD86" s="39" t="str">
        <f aca="true">IF(V86="","",IF(V86&lt;&gt;"Yes","N/A",IF(AC86="","NO EXPIRY SET",IF(TODAY()&gt;AC86,"EXPIRED",IF(AC86-TODAY()&lt;=30,"Expiring Soon","Active")))))</f>
        <v/>
      </c>
      <c r="AE86" s="36"/>
      <c r="AF86" s="36"/>
      <c r="AG86" s="37"/>
      <c r="AH86" s="36"/>
      <c r="AI86" s="37"/>
      <c r="AJ86" s="37"/>
      <c r="AK86" s="37"/>
      <c r="AL86" s="37"/>
      <c r="AM86" s="38"/>
      <c r="AN86" s="37"/>
      <c r="AO86" s="37"/>
      <c r="AP86" s="41" t="str">
        <f aca="false">IF(AM86="","",AM86+90)</f>
        <v/>
      </c>
      <c r="AQ86" s="39" t="str">
        <f aca="true">IF(C86="","",IF(AM86="","NOT REVIEWED",IF(TODAY()&gt;AP86,"OVERDUE",IF(AP86-TODAY()&lt;=14,"Due Soon","Current"))))</f>
        <v/>
      </c>
      <c r="AR86" s="36"/>
    </row>
    <row r="87" customFormat="false" ht="15" hidden="false" customHeight="false" outlineLevel="0" collapsed="false">
      <c r="A87" s="36"/>
      <c r="B87" s="36"/>
      <c r="C87" s="36"/>
      <c r="D87" s="36"/>
      <c r="E87" s="37"/>
      <c r="F87" s="37"/>
      <c r="G87" s="37"/>
      <c r="H87" s="38"/>
      <c r="I87" s="38"/>
      <c r="J87" s="38"/>
      <c r="K87" s="37"/>
      <c r="L87" s="36"/>
      <c r="M87" s="36"/>
      <c r="N87" s="37"/>
      <c r="O87" s="37"/>
      <c r="P87" s="36"/>
      <c r="Q87" s="39" t="str">
        <f aca="true">IF(J87="","",TODAY()-J87)</f>
        <v/>
      </c>
      <c r="R87" s="37"/>
      <c r="S87" s="40" t="str">
        <f aca="false">IFERROR(INDEX('Azure Resource Map'!$D$2:$D$2001,MATCH($C87,'Azure Resource Map'!$A$2:$A$2001,0)),"")</f>
        <v/>
      </c>
      <c r="T87" s="39" t="str">
        <f aca="false">IFERROR(INDEX('Azure Resource Map'!$E$2:$E$2001,MATCH($C87,'Azure Resource Map'!$A$2:$A$2001,0)),"")</f>
        <v/>
      </c>
      <c r="U87" s="39" t="str">
        <f aca="false">IFERROR(INDEX('Azure Resource Map'!$F$2:$F$2001,MATCH($C87,'Azure Resource Map'!$A$2:$A$2001,0)),"")</f>
        <v/>
      </c>
      <c r="V87" s="39" t="str">
        <f aca="false">IF($C87="","",IF(ISNUMBER(MATCH($C87,'CA Exclusion Map'!$A$2:$A$2001,0)),"Yes","No"))</f>
        <v/>
      </c>
      <c r="W87" s="39" t="str">
        <f aca="false">IFERROR(INDEX('CA Exclusion Map'!$D$2:$D$2001,MATCH($C87,'CA Exclusion Map'!$A$2:$A$2001,0)),"")</f>
        <v/>
      </c>
      <c r="X87" s="40" t="str">
        <f aca="false">IFERROR(INDEX('CA Exclusion Map'!$E$2:$E$2001,MATCH($C87,'CA Exclusion Map'!$A$2:$A$2001,0)),"")</f>
        <v/>
      </c>
      <c r="Y87" s="40" t="str">
        <f aca="false">IFERROR(INDEX('CA Exclusion Map'!$F$2:$F$2001,MATCH($C87,'CA Exclusion Map'!$A$2:$A$2001,0)),"")</f>
        <v/>
      </c>
      <c r="Z87" s="36"/>
      <c r="AA87" s="37"/>
      <c r="AB87" s="38"/>
      <c r="AC87" s="38"/>
      <c r="AD87" s="39" t="str">
        <f aca="true">IF(V87="","",IF(V87&lt;&gt;"Yes","N/A",IF(AC87="","NO EXPIRY SET",IF(TODAY()&gt;AC87,"EXPIRED",IF(AC87-TODAY()&lt;=30,"Expiring Soon","Active")))))</f>
        <v/>
      </c>
      <c r="AE87" s="36"/>
      <c r="AF87" s="36"/>
      <c r="AG87" s="37"/>
      <c r="AH87" s="36"/>
      <c r="AI87" s="37"/>
      <c r="AJ87" s="37"/>
      <c r="AK87" s="37"/>
      <c r="AL87" s="37"/>
      <c r="AM87" s="38"/>
      <c r="AN87" s="37"/>
      <c r="AO87" s="37"/>
      <c r="AP87" s="41" t="str">
        <f aca="false">IF(AM87="","",AM87+90)</f>
        <v/>
      </c>
      <c r="AQ87" s="39" t="str">
        <f aca="true">IF(C87="","",IF(AM87="","NOT REVIEWED",IF(TODAY()&gt;AP87,"OVERDUE",IF(AP87-TODAY()&lt;=14,"Due Soon","Current"))))</f>
        <v/>
      </c>
      <c r="AR87" s="36"/>
    </row>
    <row r="88" customFormat="false" ht="15" hidden="false" customHeight="false" outlineLevel="0" collapsed="false">
      <c r="A88" s="36"/>
      <c r="B88" s="36"/>
      <c r="C88" s="36"/>
      <c r="D88" s="36"/>
      <c r="E88" s="37"/>
      <c r="F88" s="37"/>
      <c r="G88" s="37"/>
      <c r="H88" s="38"/>
      <c r="I88" s="38"/>
      <c r="J88" s="38"/>
      <c r="K88" s="37"/>
      <c r="L88" s="36"/>
      <c r="M88" s="36"/>
      <c r="N88" s="37"/>
      <c r="O88" s="37"/>
      <c r="P88" s="36"/>
      <c r="Q88" s="39" t="str">
        <f aca="true">IF(J88="","",TODAY()-J88)</f>
        <v/>
      </c>
      <c r="R88" s="37"/>
      <c r="S88" s="40" t="str">
        <f aca="false">IFERROR(INDEX('Azure Resource Map'!$D$2:$D$2001,MATCH($C88,'Azure Resource Map'!$A$2:$A$2001,0)),"")</f>
        <v/>
      </c>
      <c r="T88" s="39" t="str">
        <f aca="false">IFERROR(INDEX('Azure Resource Map'!$E$2:$E$2001,MATCH($C88,'Azure Resource Map'!$A$2:$A$2001,0)),"")</f>
        <v/>
      </c>
      <c r="U88" s="39" t="str">
        <f aca="false">IFERROR(INDEX('Azure Resource Map'!$F$2:$F$2001,MATCH($C88,'Azure Resource Map'!$A$2:$A$2001,0)),"")</f>
        <v/>
      </c>
      <c r="V88" s="39" t="str">
        <f aca="false">IF($C88="","",IF(ISNUMBER(MATCH($C88,'CA Exclusion Map'!$A$2:$A$2001,0)),"Yes","No"))</f>
        <v/>
      </c>
      <c r="W88" s="39" t="str">
        <f aca="false">IFERROR(INDEX('CA Exclusion Map'!$D$2:$D$2001,MATCH($C88,'CA Exclusion Map'!$A$2:$A$2001,0)),"")</f>
        <v/>
      </c>
      <c r="X88" s="40" t="str">
        <f aca="false">IFERROR(INDEX('CA Exclusion Map'!$E$2:$E$2001,MATCH($C88,'CA Exclusion Map'!$A$2:$A$2001,0)),"")</f>
        <v/>
      </c>
      <c r="Y88" s="40" t="str">
        <f aca="false">IFERROR(INDEX('CA Exclusion Map'!$F$2:$F$2001,MATCH($C88,'CA Exclusion Map'!$A$2:$A$2001,0)),"")</f>
        <v/>
      </c>
      <c r="Z88" s="36"/>
      <c r="AA88" s="37"/>
      <c r="AB88" s="38"/>
      <c r="AC88" s="38"/>
      <c r="AD88" s="39" t="str">
        <f aca="true">IF(V88="","",IF(V88&lt;&gt;"Yes","N/A",IF(AC88="","NO EXPIRY SET",IF(TODAY()&gt;AC88,"EXPIRED",IF(AC88-TODAY()&lt;=30,"Expiring Soon","Active")))))</f>
        <v/>
      </c>
      <c r="AE88" s="36"/>
      <c r="AF88" s="36"/>
      <c r="AG88" s="37"/>
      <c r="AH88" s="36"/>
      <c r="AI88" s="37"/>
      <c r="AJ88" s="37"/>
      <c r="AK88" s="37"/>
      <c r="AL88" s="37"/>
      <c r="AM88" s="38"/>
      <c r="AN88" s="37"/>
      <c r="AO88" s="37"/>
      <c r="AP88" s="41" t="str">
        <f aca="false">IF(AM88="","",AM88+90)</f>
        <v/>
      </c>
      <c r="AQ88" s="39" t="str">
        <f aca="true">IF(C88="","",IF(AM88="","NOT REVIEWED",IF(TODAY()&gt;AP88,"OVERDUE",IF(AP88-TODAY()&lt;=14,"Due Soon","Current"))))</f>
        <v/>
      </c>
      <c r="AR88" s="36"/>
    </row>
    <row r="89" customFormat="false" ht="15" hidden="false" customHeight="false" outlineLevel="0" collapsed="false">
      <c r="A89" s="36"/>
      <c r="B89" s="36"/>
      <c r="C89" s="36"/>
      <c r="D89" s="36"/>
      <c r="E89" s="37"/>
      <c r="F89" s="37"/>
      <c r="G89" s="37"/>
      <c r="H89" s="38"/>
      <c r="I89" s="38"/>
      <c r="J89" s="38"/>
      <c r="K89" s="37"/>
      <c r="L89" s="36"/>
      <c r="M89" s="36"/>
      <c r="N89" s="37"/>
      <c r="O89" s="37"/>
      <c r="P89" s="36"/>
      <c r="Q89" s="39" t="str">
        <f aca="true">IF(J89="","",TODAY()-J89)</f>
        <v/>
      </c>
      <c r="R89" s="37"/>
      <c r="S89" s="40" t="str">
        <f aca="false">IFERROR(INDEX('Azure Resource Map'!$D$2:$D$2001,MATCH($C89,'Azure Resource Map'!$A$2:$A$2001,0)),"")</f>
        <v/>
      </c>
      <c r="T89" s="39" t="str">
        <f aca="false">IFERROR(INDEX('Azure Resource Map'!$E$2:$E$2001,MATCH($C89,'Azure Resource Map'!$A$2:$A$2001,0)),"")</f>
        <v/>
      </c>
      <c r="U89" s="39" t="str">
        <f aca="false">IFERROR(INDEX('Azure Resource Map'!$F$2:$F$2001,MATCH($C89,'Azure Resource Map'!$A$2:$A$2001,0)),"")</f>
        <v/>
      </c>
      <c r="V89" s="39" t="str">
        <f aca="false">IF($C89="","",IF(ISNUMBER(MATCH($C89,'CA Exclusion Map'!$A$2:$A$2001,0)),"Yes","No"))</f>
        <v/>
      </c>
      <c r="W89" s="39" t="str">
        <f aca="false">IFERROR(INDEX('CA Exclusion Map'!$D$2:$D$2001,MATCH($C89,'CA Exclusion Map'!$A$2:$A$2001,0)),"")</f>
        <v/>
      </c>
      <c r="X89" s="40" t="str">
        <f aca="false">IFERROR(INDEX('CA Exclusion Map'!$E$2:$E$2001,MATCH($C89,'CA Exclusion Map'!$A$2:$A$2001,0)),"")</f>
        <v/>
      </c>
      <c r="Y89" s="40" t="str">
        <f aca="false">IFERROR(INDEX('CA Exclusion Map'!$F$2:$F$2001,MATCH($C89,'CA Exclusion Map'!$A$2:$A$2001,0)),"")</f>
        <v/>
      </c>
      <c r="Z89" s="36"/>
      <c r="AA89" s="37"/>
      <c r="AB89" s="38"/>
      <c r="AC89" s="38"/>
      <c r="AD89" s="39" t="str">
        <f aca="true">IF(V89="","",IF(V89&lt;&gt;"Yes","N/A",IF(AC89="","NO EXPIRY SET",IF(TODAY()&gt;AC89,"EXPIRED",IF(AC89-TODAY()&lt;=30,"Expiring Soon","Active")))))</f>
        <v/>
      </c>
      <c r="AE89" s="36"/>
      <c r="AF89" s="36"/>
      <c r="AG89" s="37"/>
      <c r="AH89" s="36"/>
      <c r="AI89" s="37"/>
      <c r="AJ89" s="37"/>
      <c r="AK89" s="37"/>
      <c r="AL89" s="37"/>
      <c r="AM89" s="38"/>
      <c r="AN89" s="37"/>
      <c r="AO89" s="37"/>
      <c r="AP89" s="41" t="str">
        <f aca="false">IF(AM89="","",AM89+90)</f>
        <v/>
      </c>
      <c r="AQ89" s="39" t="str">
        <f aca="true">IF(C89="","",IF(AM89="","NOT REVIEWED",IF(TODAY()&gt;AP89,"OVERDUE",IF(AP89-TODAY()&lt;=14,"Due Soon","Current"))))</f>
        <v/>
      </c>
      <c r="AR89" s="36"/>
    </row>
    <row r="90" customFormat="false" ht="15" hidden="false" customHeight="false" outlineLevel="0" collapsed="false">
      <c r="A90" s="36"/>
      <c r="B90" s="36"/>
      <c r="C90" s="36"/>
      <c r="D90" s="36"/>
      <c r="E90" s="37"/>
      <c r="F90" s="37"/>
      <c r="G90" s="37"/>
      <c r="H90" s="38"/>
      <c r="I90" s="38"/>
      <c r="J90" s="38"/>
      <c r="K90" s="37"/>
      <c r="L90" s="36"/>
      <c r="M90" s="36"/>
      <c r="N90" s="37"/>
      <c r="O90" s="37"/>
      <c r="P90" s="36"/>
      <c r="Q90" s="39" t="str">
        <f aca="true">IF(J90="","",TODAY()-J90)</f>
        <v/>
      </c>
      <c r="R90" s="37"/>
      <c r="S90" s="40" t="str">
        <f aca="false">IFERROR(INDEX('Azure Resource Map'!$D$2:$D$2001,MATCH($C90,'Azure Resource Map'!$A$2:$A$2001,0)),"")</f>
        <v/>
      </c>
      <c r="T90" s="39" t="str">
        <f aca="false">IFERROR(INDEX('Azure Resource Map'!$E$2:$E$2001,MATCH($C90,'Azure Resource Map'!$A$2:$A$2001,0)),"")</f>
        <v/>
      </c>
      <c r="U90" s="39" t="str">
        <f aca="false">IFERROR(INDEX('Azure Resource Map'!$F$2:$F$2001,MATCH($C90,'Azure Resource Map'!$A$2:$A$2001,0)),"")</f>
        <v/>
      </c>
      <c r="V90" s="39" t="str">
        <f aca="false">IF($C90="","",IF(ISNUMBER(MATCH($C90,'CA Exclusion Map'!$A$2:$A$2001,0)),"Yes","No"))</f>
        <v/>
      </c>
      <c r="W90" s="39" t="str">
        <f aca="false">IFERROR(INDEX('CA Exclusion Map'!$D$2:$D$2001,MATCH($C90,'CA Exclusion Map'!$A$2:$A$2001,0)),"")</f>
        <v/>
      </c>
      <c r="X90" s="40" t="str">
        <f aca="false">IFERROR(INDEX('CA Exclusion Map'!$E$2:$E$2001,MATCH($C90,'CA Exclusion Map'!$A$2:$A$2001,0)),"")</f>
        <v/>
      </c>
      <c r="Y90" s="40" t="str">
        <f aca="false">IFERROR(INDEX('CA Exclusion Map'!$F$2:$F$2001,MATCH($C90,'CA Exclusion Map'!$A$2:$A$2001,0)),"")</f>
        <v/>
      </c>
      <c r="Z90" s="36"/>
      <c r="AA90" s="37"/>
      <c r="AB90" s="38"/>
      <c r="AC90" s="38"/>
      <c r="AD90" s="39" t="str">
        <f aca="true">IF(V90="","",IF(V90&lt;&gt;"Yes","N/A",IF(AC90="","NO EXPIRY SET",IF(TODAY()&gt;AC90,"EXPIRED",IF(AC90-TODAY()&lt;=30,"Expiring Soon","Active")))))</f>
        <v/>
      </c>
      <c r="AE90" s="36"/>
      <c r="AF90" s="36"/>
      <c r="AG90" s="37"/>
      <c r="AH90" s="36"/>
      <c r="AI90" s="37"/>
      <c r="AJ90" s="37"/>
      <c r="AK90" s="37"/>
      <c r="AL90" s="37"/>
      <c r="AM90" s="38"/>
      <c r="AN90" s="37"/>
      <c r="AO90" s="37"/>
      <c r="AP90" s="41" t="str">
        <f aca="false">IF(AM90="","",AM90+90)</f>
        <v/>
      </c>
      <c r="AQ90" s="39" t="str">
        <f aca="true">IF(C90="","",IF(AM90="","NOT REVIEWED",IF(TODAY()&gt;AP90,"OVERDUE",IF(AP90-TODAY()&lt;=14,"Due Soon","Current"))))</f>
        <v/>
      </c>
      <c r="AR90" s="36"/>
    </row>
    <row r="91" customFormat="false" ht="15" hidden="false" customHeight="false" outlineLevel="0" collapsed="false">
      <c r="A91" s="36"/>
      <c r="B91" s="36"/>
      <c r="C91" s="36"/>
      <c r="D91" s="36"/>
      <c r="E91" s="37"/>
      <c r="F91" s="37"/>
      <c r="G91" s="37"/>
      <c r="H91" s="38"/>
      <c r="I91" s="38"/>
      <c r="J91" s="38"/>
      <c r="K91" s="37"/>
      <c r="L91" s="36"/>
      <c r="M91" s="36"/>
      <c r="N91" s="37"/>
      <c r="O91" s="37"/>
      <c r="P91" s="36"/>
      <c r="Q91" s="39" t="str">
        <f aca="true">IF(J91="","",TODAY()-J91)</f>
        <v/>
      </c>
      <c r="R91" s="37"/>
      <c r="S91" s="40" t="str">
        <f aca="false">IFERROR(INDEX('Azure Resource Map'!$D$2:$D$2001,MATCH($C91,'Azure Resource Map'!$A$2:$A$2001,0)),"")</f>
        <v/>
      </c>
      <c r="T91" s="39" t="str">
        <f aca="false">IFERROR(INDEX('Azure Resource Map'!$E$2:$E$2001,MATCH($C91,'Azure Resource Map'!$A$2:$A$2001,0)),"")</f>
        <v/>
      </c>
      <c r="U91" s="39" t="str">
        <f aca="false">IFERROR(INDEX('Azure Resource Map'!$F$2:$F$2001,MATCH($C91,'Azure Resource Map'!$A$2:$A$2001,0)),"")</f>
        <v/>
      </c>
      <c r="V91" s="39" t="str">
        <f aca="false">IF($C91="","",IF(ISNUMBER(MATCH($C91,'CA Exclusion Map'!$A$2:$A$2001,0)),"Yes","No"))</f>
        <v/>
      </c>
      <c r="W91" s="39" t="str">
        <f aca="false">IFERROR(INDEX('CA Exclusion Map'!$D$2:$D$2001,MATCH($C91,'CA Exclusion Map'!$A$2:$A$2001,0)),"")</f>
        <v/>
      </c>
      <c r="X91" s="40" t="str">
        <f aca="false">IFERROR(INDEX('CA Exclusion Map'!$E$2:$E$2001,MATCH($C91,'CA Exclusion Map'!$A$2:$A$2001,0)),"")</f>
        <v/>
      </c>
      <c r="Y91" s="40" t="str">
        <f aca="false">IFERROR(INDEX('CA Exclusion Map'!$F$2:$F$2001,MATCH($C91,'CA Exclusion Map'!$A$2:$A$2001,0)),"")</f>
        <v/>
      </c>
      <c r="Z91" s="36"/>
      <c r="AA91" s="37"/>
      <c r="AB91" s="38"/>
      <c r="AC91" s="38"/>
      <c r="AD91" s="39" t="str">
        <f aca="true">IF(V91="","",IF(V91&lt;&gt;"Yes","N/A",IF(AC91="","NO EXPIRY SET",IF(TODAY()&gt;AC91,"EXPIRED",IF(AC91-TODAY()&lt;=30,"Expiring Soon","Active")))))</f>
        <v/>
      </c>
      <c r="AE91" s="36"/>
      <c r="AF91" s="36"/>
      <c r="AG91" s="37"/>
      <c r="AH91" s="36"/>
      <c r="AI91" s="37"/>
      <c r="AJ91" s="37"/>
      <c r="AK91" s="37"/>
      <c r="AL91" s="37"/>
      <c r="AM91" s="38"/>
      <c r="AN91" s="37"/>
      <c r="AO91" s="37"/>
      <c r="AP91" s="41" t="str">
        <f aca="false">IF(AM91="","",AM91+90)</f>
        <v/>
      </c>
      <c r="AQ91" s="39" t="str">
        <f aca="true">IF(C91="","",IF(AM91="","NOT REVIEWED",IF(TODAY()&gt;AP91,"OVERDUE",IF(AP91-TODAY()&lt;=14,"Due Soon","Current"))))</f>
        <v/>
      </c>
      <c r="AR91" s="36"/>
    </row>
    <row r="92" customFormat="false" ht="15" hidden="false" customHeight="false" outlineLevel="0" collapsed="false">
      <c r="A92" s="36"/>
      <c r="B92" s="36"/>
      <c r="C92" s="36"/>
      <c r="D92" s="36"/>
      <c r="E92" s="37"/>
      <c r="F92" s="37"/>
      <c r="G92" s="37"/>
      <c r="H92" s="38"/>
      <c r="I92" s="38"/>
      <c r="J92" s="38"/>
      <c r="K92" s="37"/>
      <c r="L92" s="36"/>
      <c r="M92" s="36"/>
      <c r="N92" s="37"/>
      <c r="O92" s="37"/>
      <c r="P92" s="36"/>
      <c r="Q92" s="39" t="str">
        <f aca="true">IF(J92="","",TODAY()-J92)</f>
        <v/>
      </c>
      <c r="R92" s="37"/>
      <c r="S92" s="40" t="str">
        <f aca="false">IFERROR(INDEX('Azure Resource Map'!$D$2:$D$2001,MATCH($C92,'Azure Resource Map'!$A$2:$A$2001,0)),"")</f>
        <v/>
      </c>
      <c r="T92" s="39" t="str">
        <f aca="false">IFERROR(INDEX('Azure Resource Map'!$E$2:$E$2001,MATCH($C92,'Azure Resource Map'!$A$2:$A$2001,0)),"")</f>
        <v/>
      </c>
      <c r="U92" s="39" t="str">
        <f aca="false">IFERROR(INDEX('Azure Resource Map'!$F$2:$F$2001,MATCH($C92,'Azure Resource Map'!$A$2:$A$2001,0)),"")</f>
        <v/>
      </c>
      <c r="V92" s="39" t="str">
        <f aca="false">IF($C92="","",IF(ISNUMBER(MATCH($C92,'CA Exclusion Map'!$A$2:$A$2001,0)),"Yes","No"))</f>
        <v/>
      </c>
      <c r="W92" s="39" t="str">
        <f aca="false">IFERROR(INDEX('CA Exclusion Map'!$D$2:$D$2001,MATCH($C92,'CA Exclusion Map'!$A$2:$A$2001,0)),"")</f>
        <v/>
      </c>
      <c r="X92" s="40" t="str">
        <f aca="false">IFERROR(INDEX('CA Exclusion Map'!$E$2:$E$2001,MATCH($C92,'CA Exclusion Map'!$A$2:$A$2001,0)),"")</f>
        <v/>
      </c>
      <c r="Y92" s="40" t="str">
        <f aca="false">IFERROR(INDEX('CA Exclusion Map'!$F$2:$F$2001,MATCH($C92,'CA Exclusion Map'!$A$2:$A$2001,0)),"")</f>
        <v/>
      </c>
      <c r="Z92" s="36"/>
      <c r="AA92" s="37"/>
      <c r="AB92" s="38"/>
      <c r="AC92" s="38"/>
      <c r="AD92" s="39" t="str">
        <f aca="true">IF(V92="","",IF(V92&lt;&gt;"Yes","N/A",IF(AC92="","NO EXPIRY SET",IF(TODAY()&gt;AC92,"EXPIRED",IF(AC92-TODAY()&lt;=30,"Expiring Soon","Active")))))</f>
        <v/>
      </c>
      <c r="AE92" s="36"/>
      <c r="AF92" s="36"/>
      <c r="AG92" s="37"/>
      <c r="AH92" s="36"/>
      <c r="AI92" s="37"/>
      <c r="AJ92" s="37"/>
      <c r="AK92" s="37"/>
      <c r="AL92" s="37"/>
      <c r="AM92" s="38"/>
      <c r="AN92" s="37"/>
      <c r="AO92" s="37"/>
      <c r="AP92" s="41" t="str">
        <f aca="false">IF(AM92="","",AM92+90)</f>
        <v/>
      </c>
      <c r="AQ92" s="39" t="str">
        <f aca="true">IF(C92="","",IF(AM92="","NOT REVIEWED",IF(TODAY()&gt;AP92,"OVERDUE",IF(AP92-TODAY()&lt;=14,"Due Soon","Current"))))</f>
        <v/>
      </c>
      <c r="AR92" s="36"/>
    </row>
    <row r="93" customFormat="false" ht="15" hidden="false" customHeight="false" outlineLevel="0" collapsed="false">
      <c r="A93" s="36"/>
      <c r="B93" s="36"/>
      <c r="C93" s="36"/>
      <c r="D93" s="36"/>
      <c r="E93" s="37"/>
      <c r="F93" s="37"/>
      <c r="G93" s="37"/>
      <c r="H93" s="38"/>
      <c r="I93" s="38"/>
      <c r="J93" s="38"/>
      <c r="K93" s="37"/>
      <c r="L93" s="36"/>
      <c r="M93" s="36"/>
      <c r="N93" s="37"/>
      <c r="O93" s="37"/>
      <c r="P93" s="36"/>
      <c r="Q93" s="39" t="str">
        <f aca="true">IF(J93="","",TODAY()-J93)</f>
        <v/>
      </c>
      <c r="R93" s="37"/>
      <c r="S93" s="40" t="str">
        <f aca="false">IFERROR(INDEX('Azure Resource Map'!$D$2:$D$2001,MATCH($C93,'Azure Resource Map'!$A$2:$A$2001,0)),"")</f>
        <v/>
      </c>
      <c r="T93" s="39" t="str">
        <f aca="false">IFERROR(INDEX('Azure Resource Map'!$E$2:$E$2001,MATCH($C93,'Azure Resource Map'!$A$2:$A$2001,0)),"")</f>
        <v/>
      </c>
      <c r="U93" s="39" t="str">
        <f aca="false">IFERROR(INDEX('Azure Resource Map'!$F$2:$F$2001,MATCH($C93,'Azure Resource Map'!$A$2:$A$2001,0)),"")</f>
        <v/>
      </c>
      <c r="V93" s="39" t="str">
        <f aca="false">IF($C93="","",IF(ISNUMBER(MATCH($C93,'CA Exclusion Map'!$A$2:$A$2001,0)),"Yes","No"))</f>
        <v/>
      </c>
      <c r="W93" s="39" t="str">
        <f aca="false">IFERROR(INDEX('CA Exclusion Map'!$D$2:$D$2001,MATCH($C93,'CA Exclusion Map'!$A$2:$A$2001,0)),"")</f>
        <v/>
      </c>
      <c r="X93" s="40" t="str">
        <f aca="false">IFERROR(INDEX('CA Exclusion Map'!$E$2:$E$2001,MATCH($C93,'CA Exclusion Map'!$A$2:$A$2001,0)),"")</f>
        <v/>
      </c>
      <c r="Y93" s="40" t="str">
        <f aca="false">IFERROR(INDEX('CA Exclusion Map'!$F$2:$F$2001,MATCH($C93,'CA Exclusion Map'!$A$2:$A$2001,0)),"")</f>
        <v/>
      </c>
      <c r="Z93" s="36"/>
      <c r="AA93" s="37"/>
      <c r="AB93" s="38"/>
      <c r="AC93" s="38"/>
      <c r="AD93" s="39" t="str">
        <f aca="true">IF(V93="","",IF(V93&lt;&gt;"Yes","N/A",IF(AC93="","NO EXPIRY SET",IF(TODAY()&gt;AC93,"EXPIRED",IF(AC93-TODAY()&lt;=30,"Expiring Soon","Active")))))</f>
        <v/>
      </c>
      <c r="AE93" s="36"/>
      <c r="AF93" s="36"/>
      <c r="AG93" s="37"/>
      <c r="AH93" s="36"/>
      <c r="AI93" s="37"/>
      <c r="AJ93" s="37"/>
      <c r="AK93" s="37"/>
      <c r="AL93" s="37"/>
      <c r="AM93" s="38"/>
      <c r="AN93" s="37"/>
      <c r="AO93" s="37"/>
      <c r="AP93" s="41" t="str">
        <f aca="false">IF(AM93="","",AM93+90)</f>
        <v/>
      </c>
      <c r="AQ93" s="39" t="str">
        <f aca="true">IF(C93="","",IF(AM93="","NOT REVIEWED",IF(TODAY()&gt;AP93,"OVERDUE",IF(AP93-TODAY()&lt;=14,"Due Soon","Current"))))</f>
        <v/>
      </c>
      <c r="AR93" s="36"/>
    </row>
    <row r="94" customFormat="false" ht="15" hidden="false" customHeight="false" outlineLevel="0" collapsed="false">
      <c r="A94" s="36"/>
      <c r="B94" s="36"/>
      <c r="C94" s="36"/>
      <c r="D94" s="36"/>
      <c r="E94" s="37"/>
      <c r="F94" s="37"/>
      <c r="G94" s="37"/>
      <c r="H94" s="38"/>
      <c r="I94" s="38"/>
      <c r="J94" s="38"/>
      <c r="K94" s="37"/>
      <c r="L94" s="36"/>
      <c r="M94" s="36"/>
      <c r="N94" s="37"/>
      <c r="O94" s="37"/>
      <c r="P94" s="36"/>
      <c r="Q94" s="39" t="str">
        <f aca="true">IF(J94="","",TODAY()-J94)</f>
        <v/>
      </c>
      <c r="R94" s="37"/>
      <c r="S94" s="40" t="str">
        <f aca="false">IFERROR(INDEX('Azure Resource Map'!$D$2:$D$2001,MATCH($C94,'Azure Resource Map'!$A$2:$A$2001,0)),"")</f>
        <v/>
      </c>
      <c r="T94" s="39" t="str">
        <f aca="false">IFERROR(INDEX('Azure Resource Map'!$E$2:$E$2001,MATCH($C94,'Azure Resource Map'!$A$2:$A$2001,0)),"")</f>
        <v/>
      </c>
      <c r="U94" s="39" t="str">
        <f aca="false">IFERROR(INDEX('Azure Resource Map'!$F$2:$F$2001,MATCH($C94,'Azure Resource Map'!$A$2:$A$2001,0)),"")</f>
        <v/>
      </c>
      <c r="V94" s="39" t="str">
        <f aca="false">IF($C94="","",IF(ISNUMBER(MATCH($C94,'CA Exclusion Map'!$A$2:$A$2001,0)),"Yes","No"))</f>
        <v/>
      </c>
      <c r="W94" s="39" t="str">
        <f aca="false">IFERROR(INDEX('CA Exclusion Map'!$D$2:$D$2001,MATCH($C94,'CA Exclusion Map'!$A$2:$A$2001,0)),"")</f>
        <v/>
      </c>
      <c r="X94" s="40" t="str">
        <f aca="false">IFERROR(INDEX('CA Exclusion Map'!$E$2:$E$2001,MATCH($C94,'CA Exclusion Map'!$A$2:$A$2001,0)),"")</f>
        <v/>
      </c>
      <c r="Y94" s="40" t="str">
        <f aca="false">IFERROR(INDEX('CA Exclusion Map'!$F$2:$F$2001,MATCH($C94,'CA Exclusion Map'!$A$2:$A$2001,0)),"")</f>
        <v/>
      </c>
      <c r="Z94" s="36"/>
      <c r="AA94" s="37"/>
      <c r="AB94" s="38"/>
      <c r="AC94" s="38"/>
      <c r="AD94" s="39" t="str">
        <f aca="true">IF(V94="","",IF(V94&lt;&gt;"Yes","N/A",IF(AC94="","NO EXPIRY SET",IF(TODAY()&gt;AC94,"EXPIRED",IF(AC94-TODAY()&lt;=30,"Expiring Soon","Active")))))</f>
        <v/>
      </c>
      <c r="AE94" s="36"/>
      <c r="AF94" s="36"/>
      <c r="AG94" s="37"/>
      <c r="AH94" s="36"/>
      <c r="AI94" s="37"/>
      <c r="AJ94" s="37"/>
      <c r="AK94" s="37"/>
      <c r="AL94" s="37"/>
      <c r="AM94" s="38"/>
      <c r="AN94" s="37"/>
      <c r="AO94" s="37"/>
      <c r="AP94" s="41" t="str">
        <f aca="false">IF(AM94="","",AM94+90)</f>
        <v/>
      </c>
      <c r="AQ94" s="39" t="str">
        <f aca="true">IF(C94="","",IF(AM94="","NOT REVIEWED",IF(TODAY()&gt;AP94,"OVERDUE",IF(AP94-TODAY()&lt;=14,"Due Soon","Current"))))</f>
        <v/>
      </c>
      <c r="AR94" s="36"/>
    </row>
    <row r="95" customFormat="false" ht="15" hidden="false" customHeight="false" outlineLevel="0" collapsed="false">
      <c r="A95" s="36"/>
      <c r="B95" s="36"/>
      <c r="C95" s="36"/>
      <c r="D95" s="36"/>
      <c r="E95" s="37"/>
      <c r="F95" s="37"/>
      <c r="G95" s="37"/>
      <c r="H95" s="38"/>
      <c r="I95" s="38"/>
      <c r="J95" s="38"/>
      <c r="K95" s="37"/>
      <c r="L95" s="36"/>
      <c r="M95" s="36"/>
      <c r="N95" s="37"/>
      <c r="O95" s="37"/>
      <c r="P95" s="36"/>
      <c r="Q95" s="39" t="str">
        <f aca="true">IF(J95="","",TODAY()-J95)</f>
        <v/>
      </c>
      <c r="R95" s="37"/>
      <c r="S95" s="40" t="str">
        <f aca="false">IFERROR(INDEX('Azure Resource Map'!$D$2:$D$2001,MATCH($C95,'Azure Resource Map'!$A$2:$A$2001,0)),"")</f>
        <v/>
      </c>
      <c r="T95" s="39" t="str">
        <f aca="false">IFERROR(INDEX('Azure Resource Map'!$E$2:$E$2001,MATCH($C95,'Azure Resource Map'!$A$2:$A$2001,0)),"")</f>
        <v/>
      </c>
      <c r="U95" s="39" t="str">
        <f aca="false">IFERROR(INDEX('Azure Resource Map'!$F$2:$F$2001,MATCH($C95,'Azure Resource Map'!$A$2:$A$2001,0)),"")</f>
        <v/>
      </c>
      <c r="V95" s="39" t="str">
        <f aca="false">IF($C95="","",IF(ISNUMBER(MATCH($C95,'CA Exclusion Map'!$A$2:$A$2001,0)),"Yes","No"))</f>
        <v/>
      </c>
      <c r="W95" s="39" t="str">
        <f aca="false">IFERROR(INDEX('CA Exclusion Map'!$D$2:$D$2001,MATCH($C95,'CA Exclusion Map'!$A$2:$A$2001,0)),"")</f>
        <v/>
      </c>
      <c r="X95" s="40" t="str">
        <f aca="false">IFERROR(INDEX('CA Exclusion Map'!$E$2:$E$2001,MATCH($C95,'CA Exclusion Map'!$A$2:$A$2001,0)),"")</f>
        <v/>
      </c>
      <c r="Y95" s="40" t="str">
        <f aca="false">IFERROR(INDEX('CA Exclusion Map'!$F$2:$F$2001,MATCH($C95,'CA Exclusion Map'!$A$2:$A$2001,0)),"")</f>
        <v/>
      </c>
      <c r="Z95" s="36"/>
      <c r="AA95" s="37"/>
      <c r="AB95" s="38"/>
      <c r="AC95" s="38"/>
      <c r="AD95" s="39" t="str">
        <f aca="true">IF(V95="","",IF(V95&lt;&gt;"Yes","N/A",IF(AC95="","NO EXPIRY SET",IF(TODAY()&gt;AC95,"EXPIRED",IF(AC95-TODAY()&lt;=30,"Expiring Soon","Active")))))</f>
        <v/>
      </c>
      <c r="AE95" s="36"/>
      <c r="AF95" s="36"/>
      <c r="AG95" s="37"/>
      <c r="AH95" s="36"/>
      <c r="AI95" s="37"/>
      <c r="AJ95" s="37"/>
      <c r="AK95" s="37"/>
      <c r="AL95" s="37"/>
      <c r="AM95" s="38"/>
      <c r="AN95" s="37"/>
      <c r="AO95" s="37"/>
      <c r="AP95" s="41" t="str">
        <f aca="false">IF(AM95="","",AM95+90)</f>
        <v/>
      </c>
      <c r="AQ95" s="39" t="str">
        <f aca="true">IF(C95="","",IF(AM95="","NOT REVIEWED",IF(TODAY()&gt;AP95,"OVERDUE",IF(AP95-TODAY()&lt;=14,"Due Soon","Current"))))</f>
        <v/>
      </c>
      <c r="AR95" s="36"/>
    </row>
    <row r="96" customFormat="false" ht="15" hidden="false" customHeight="false" outlineLevel="0" collapsed="false">
      <c r="A96" s="36"/>
      <c r="B96" s="36"/>
      <c r="C96" s="36"/>
      <c r="D96" s="36"/>
      <c r="E96" s="37"/>
      <c r="F96" s="37"/>
      <c r="G96" s="37"/>
      <c r="H96" s="38"/>
      <c r="I96" s="38"/>
      <c r="J96" s="38"/>
      <c r="K96" s="37"/>
      <c r="L96" s="36"/>
      <c r="M96" s="36"/>
      <c r="N96" s="37"/>
      <c r="O96" s="37"/>
      <c r="P96" s="36"/>
      <c r="Q96" s="39" t="str">
        <f aca="true">IF(J96="","",TODAY()-J96)</f>
        <v/>
      </c>
      <c r="R96" s="37"/>
      <c r="S96" s="40" t="str">
        <f aca="false">IFERROR(INDEX('Azure Resource Map'!$D$2:$D$2001,MATCH($C96,'Azure Resource Map'!$A$2:$A$2001,0)),"")</f>
        <v/>
      </c>
      <c r="T96" s="39" t="str">
        <f aca="false">IFERROR(INDEX('Azure Resource Map'!$E$2:$E$2001,MATCH($C96,'Azure Resource Map'!$A$2:$A$2001,0)),"")</f>
        <v/>
      </c>
      <c r="U96" s="39" t="str">
        <f aca="false">IFERROR(INDEX('Azure Resource Map'!$F$2:$F$2001,MATCH($C96,'Azure Resource Map'!$A$2:$A$2001,0)),"")</f>
        <v/>
      </c>
      <c r="V96" s="39" t="str">
        <f aca="false">IF($C96="","",IF(ISNUMBER(MATCH($C96,'CA Exclusion Map'!$A$2:$A$2001,0)),"Yes","No"))</f>
        <v/>
      </c>
      <c r="W96" s="39" t="str">
        <f aca="false">IFERROR(INDEX('CA Exclusion Map'!$D$2:$D$2001,MATCH($C96,'CA Exclusion Map'!$A$2:$A$2001,0)),"")</f>
        <v/>
      </c>
      <c r="X96" s="40" t="str">
        <f aca="false">IFERROR(INDEX('CA Exclusion Map'!$E$2:$E$2001,MATCH($C96,'CA Exclusion Map'!$A$2:$A$2001,0)),"")</f>
        <v/>
      </c>
      <c r="Y96" s="40" t="str">
        <f aca="false">IFERROR(INDEX('CA Exclusion Map'!$F$2:$F$2001,MATCH($C96,'CA Exclusion Map'!$A$2:$A$2001,0)),"")</f>
        <v/>
      </c>
      <c r="Z96" s="36"/>
      <c r="AA96" s="37"/>
      <c r="AB96" s="38"/>
      <c r="AC96" s="38"/>
      <c r="AD96" s="39" t="str">
        <f aca="true">IF(V96="","",IF(V96&lt;&gt;"Yes","N/A",IF(AC96="","NO EXPIRY SET",IF(TODAY()&gt;AC96,"EXPIRED",IF(AC96-TODAY()&lt;=30,"Expiring Soon","Active")))))</f>
        <v/>
      </c>
      <c r="AE96" s="36"/>
      <c r="AF96" s="36"/>
      <c r="AG96" s="37"/>
      <c r="AH96" s="36"/>
      <c r="AI96" s="37"/>
      <c r="AJ96" s="37"/>
      <c r="AK96" s="37"/>
      <c r="AL96" s="37"/>
      <c r="AM96" s="38"/>
      <c r="AN96" s="37"/>
      <c r="AO96" s="37"/>
      <c r="AP96" s="41" t="str">
        <f aca="false">IF(AM96="","",AM96+90)</f>
        <v/>
      </c>
      <c r="AQ96" s="39" t="str">
        <f aca="true">IF(C96="","",IF(AM96="","NOT REVIEWED",IF(TODAY()&gt;AP96,"OVERDUE",IF(AP96-TODAY()&lt;=14,"Due Soon","Current"))))</f>
        <v/>
      </c>
      <c r="AR96" s="36"/>
    </row>
    <row r="97" customFormat="false" ht="15" hidden="false" customHeight="false" outlineLevel="0" collapsed="false">
      <c r="A97" s="36"/>
      <c r="B97" s="36"/>
      <c r="C97" s="36"/>
      <c r="D97" s="36"/>
      <c r="E97" s="37"/>
      <c r="F97" s="37"/>
      <c r="G97" s="37"/>
      <c r="H97" s="38"/>
      <c r="I97" s="38"/>
      <c r="J97" s="38"/>
      <c r="K97" s="37"/>
      <c r="L97" s="36"/>
      <c r="M97" s="36"/>
      <c r="N97" s="37"/>
      <c r="O97" s="37"/>
      <c r="P97" s="36"/>
      <c r="Q97" s="39" t="str">
        <f aca="true">IF(J97="","",TODAY()-J97)</f>
        <v/>
      </c>
      <c r="R97" s="37"/>
      <c r="S97" s="40" t="str">
        <f aca="false">IFERROR(INDEX('Azure Resource Map'!$D$2:$D$2001,MATCH($C97,'Azure Resource Map'!$A$2:$A$2001,0)),"")</f>
        <v/>
      </c>
      <c r="T97" s="39" t="str">
        <f aca="false">IFERROR(INDEX('Azure Resource Map'!$E$2:$E$2001,MATCH($C97,'Azure Resource Map'!$A$2:$A$2001,0)),"")</f>
        <v/>
      </c>
      <c r="U97" s="39" t="str">
        <f aca="false">IFERROR(INDEX('Azure Resource Map'!$F$2:$F$2001,MATCH($C97,'Azure Resource Map'!$A$2:$A$2001,0)),"")</f>
        <v/>
      </c>
      <c r="V97" s="39" t="str">
        <f aca="false">IF($C97="","",IF(ISNUMBER(MATCH($C97,'CA Exclusion Map'!$A$2:$A$2001,0)),"Yes","No"))</f>
        <v/>
      </c>
      <c r="W97" s="39" t="str">
        <f aca="false">IFERROR(INDEX('CA Exclusion Map'!$D$2:$D$2001,MATCH($C97,'CA Exclusion Map'!$A$2:$A$2001,0)),"")</f>
        <v/>
      </c>
      <c r="X97" s="40" t="str">
        <f aca="false">IFERROR(INDEX('CA Exclusion Map'!$E$2:$E$2001,MATCH($C97,'CA Exclusion Map'!$A$2:$A$2001,0)),"")</f>
        <v/>
      </c>
      <c r="Y97" s="40" t="str">
        <f aca="false">IFERROR(INDEX('CA Exclusion Map'!$F$2:$F$2001,MATCH($C97,'CA Exclusion Map'!$A$2:$A$2001,0)),"")</f>
        <v/>
      </c>
      <c r="Z97" s="36"/>
      <c r="AA97" s="37"/>
      <c r="AB97" s="38"/>
      <c r="AC97" s="38"/>
      <c r="AD97" s="39" t="str">
        <f aca="true">IF(V97="","",IF(V97&lt;&gt;"Yes","N/A",IF(AC97="","NO EXPIRY SET",IF(TODAY()&gt;AC97,"EXPIRED",IF(AC97-TODAY()&lt;=30,"Expiring Soon","Active")))))</f>
        <v/>
      </c>
      <c r="AE97" s="36"/>
      <c r="AF97" s="36"/>
      <c r="AG97" s="37"/>
      <c r="AH97" s="36"/>
      <c r="AI97" s="37"/>
      <c r="AJ97" s="37"/>
      <c r="AK97" s="37"/>
      <c r="AL97" s="37"/>
      <c r="AM97" s="38"/>
      <c r="AN97" s="37"/>
      <c r="AO97" s="37"/>
      <c r="AP97" s="41" t="str">
        <f aca="false">IF(AM97="","",AM97+90)</f>
        <v/>
      </c>
      <c r="AQ97" s="39" t="str">
        <f aca="true">IF(C97="","",IF(AM97="","NOT REVIEWED",IF(TODAY()&gt;AP97,"OVERDUE",IF(AP97-TODAY()&lt;=14,"Due Soon","Current"))))</f>
        <v/>
      </c>
      <c r="AR97" s="36"/>
    </row>
    <row r="98" customFormat="false" ht="15" hidden="false" customHeight="false" outlineLevel="0" collapsed="false">
      <c r="A98" s="36"/>
      <c r="B98" s="36"/>
      <c r="C98" s="36"/>
      <c r="D98" s="36"/>
      <c r="E98" s="37"/>
      <c r="F98" s="37"/>
      <c r="G98" s="37"/>
      <c r="H98" s="38"/>
      <c r="I98" s="38"/>
      <c r="J98" s="38"/>
      <c r="K98" s="37"/>
      <c r="L98" s="36"/>
      <c r="M98" s="36"/>
      <c r="N98" s="37"/>
      <c r="O98" s="37"/>
      <c r="P98" s="36"/>
      <c r="Q98" s="39" t="str">
        <f aca="true">IF(J98="","",TODAY()-J98)</f>
        <v/>
      </c>
      <c r="R98" s="37"/>
      <c r="S98" s="40" t="str">
        <f aca="false">IFERROR(INDEX('Azure Resource Map'!$D$2:$D$2001,MATCH($C98,'Azure Resource Map'!$A$2:$A$2001,0)),"")</f>
        <v/>
      </c>
      <c r="T98" s="39" t="str">
        <f aca="false">IFERROR(INDEX('Azure Resource Map'!$E$2:$E$2001,MATCH($C98,'Azure Resource Map'!$A$2:$A$2001,0)),"")</f>
        <v/>
      </c>
      <c r="U98" s="39" t="str">
        <f aca="false">IFERROR(INDEX('Azure Resource Map'!$F$2:$F$2001,MATCH($C98,'Azure Resource Map'!$A$2:$A$2001,0)),"")</f>
        <v/>
      </c>
      <c r="V98" s="39" t="str">
        <f aca="false">IF($C98="","",IF(ISNUMBER(MATCH($C98,'CA Exclusion Map'!$A$2:$A$2001,0)),"Yes","No"))</f>
        <v/>
      </c>
      <c r="W98" s="39" t="str">
        <f aca="false">IFERROR(INDEX('CA Exclusion Map'!$D$2:$D$2001,MATCH($C98,'CA Exclusion Map'!$A$2:$A$2001,0)),"")</f>
        <v/>
      </c>
      <c r="X98" s="40" t="str">
        <f aca="false">IFERROR(INDEX('CA Exclusion Map'!$E$2:$E$2001,MATCH($C98,'CA Exclusion Map'!$A$2:$A$2001,0)),"")</f>
        <v/>
      </c>
      <c r="Y98" s="40" t="str">
        <f aca="false">IFERROR(INDEX('CA Exclusion Map'!$F$2:$F$2001,MATCH($C98,'CA Exclusion Map'!$A$2:$A$2001,0)),"")</f>
        <v/>
      </c>
      <c r="Z98" s="36"/>
      <c r="AA98" s="37"/>
      <c r="AB98" s="38"/>
      <c r="AC98" s="38"/>
      <c r="AD98" s="39" t="str">
        <f aca="true">IF(V98="","",IF(V98&lt;&gt;"Yes","N/A",IF(AC98="","NO EXPIRY SET",IF(TODAY()&gt;AC98,"EXPIRED",IF(AC98-TODAY()&lt;=30,"Expiring Soon","Active")))))</f>
        <v/>
      </c>
      <c r="AE98" s="36"/>
      <c r="AF98" s="36"/>
      <c r="AG98" s="37"/>
      <c r="AH98" s="36"/>
      <c r="AI98" s="37"/>
      <c r="AJ98" s="37"/>
      <c r="AK98" s="37"/>
      <c r="AL98" s="37"/>
      <c r="AM98" s="38"/>
      <c r="AN98" s="37"/>
      <c r="AO98" s="37"/>
      <c r="AP98" s="41" t="str">
        <f aca="false">IF(AM98="","",AM98+90)</f>
        <v/>
      </c>
      <c r="AQ98" s="39" t="str">
        <f aca="true">IF(C98="","",IF(AM98="","NOT REVIEWED",IF(TODAY()&gt;AP98,"OVERDUE",IF(AP98-TODAY()&lt;=14,"Due Soon","Current"))))</f>
        <v/>
      </c>
      <c r="AR98" s="36"/>
    </row>
    <row r="99" customFormat="false" ht="15" hidden="false" customHeight="false" outlineLevel="0" collapsed="false">
      <c r="A99" s="36"/>
      <c r="B99" s="36"/>
      <c r="C99" s="36"/>
      <c r="D99" s="36"/>
      <c r="E99" s="37"/>
      <c r="F99" s="37"/>
      <c r="G99" s="37"/>
      <c r="H99" s="38"/>
      <c r="I99" s="38"/>
      <c r="J99" s="38"/>
      <c r="K99" s="37"/>
      <c r="L99" s="36"/>
      <c r="M99" s="36"/>
      <c r="N99" s="37"/>
      <c r="O99" s="37"/>
      <c r="P99" s="36"/>
      <c r="Q99" s="39" t="str">
        <f aca="true">IF(J99="","",TODAY()-J99)</f>
        <v/>
      </c>
      <c r="R99" s="37"/>
      <c r="S99" s="40" t="str">
        <f aca="false">IFERROR(INDEX('Azure Resource Map'!$D$2:$D$2001,MATCH($C99,'Azure Resource Map'!$A$2:$A$2001,0)),"")</f>
        <v/>
      </c>
      <c r="T99" s="39" t="str">
        <f aca="false">IFERROR(INDEX('Azure Resource Map'!$E$2:$E$2001,MATCH($C99,'Azure Resource Map'!$A$2:$A$2001,0)),"")</f>
        <v/>
      </c>
      <c r="U99" s="39" t="str">
        <f aca="false">IFERROR(INDEX('Azure Resource Map'!$F$2:$F$2001,MATCH($C99,'Azure Resource Map'!$A$2:$A$2001,0)),"")</f>
        <v/>
      </c>
      <c r="V99" s="39" t="str">
        <f aca="false">IF($C99="","",IF(ISNUMBER(MATCH($C99,'CA Exclusion Map'!$A$2:$A$2001,0)),"Yes","No"))</f>
        <v/>
      </c>
      <c r="W99" s="39" t="str">
        <f aca="false">IFERROR(INDEX('CA Exclusion Map'!$D$2:$D$2001,MATCH($C99,'CA Exclusion Map'!$A$2:$A$2001,0)),"")</f>
        <v/>
      </c>
      <c r="X99" s="40" t="str">
        <f aca="false">IFERROR(INDEX('CA Exclusion Map'!$E$2:$E$2001,MATCH($C99,'CA Exclusion Map'!$A$2:$A$2001,0)),"")</f>
        <v/>
      </c>
      <c r="Y99" s="40" t="str">
        <f aca="false">IFERROR(INDEX('CA Exclusion Map'!$F$2:$F$2001,MATCH($C99,'CA Exclusion Map'!$A$2:$A$2001,0)),"")</f>
        <v/>
      </c>
      <c r="Z99" s="36"/>
      <c r="AA99" s="37"/>
      <c r="AB99" s="38"/>
      <c r="AC99" s="38"/>
      <c r="AD99" s="39" t="str">
        <f aca="true">IF(V99="","",IF(V99&lt;&gt;"Yes","N/A",IF(AC99="","NO EXPIRY SET",IF(TODAY()&gt;AC99,"EXPIRED",IF(AC99-TODAY()&lt;=30,"Expiring Soon","Active")))))</f>
        <v/>
      </c>
      <c r="AE99" s="36"/>
      <c r="AF99" s="36"/>
      <c r="AG99" s="37"/>
      <c r="AH99" s="36"/>
      <c r="AI99" s="37"/>
      <c r="AJ99" s="37"/>
      <c r="AK99" s="37"/>
      <c r="AL99" s="37"/>
      <c r="AM99" s="38"/>
      <c r="AN99" s="37"/>
      <c r="AO99" s="37"/>
      <c r="AP99" s="41" t="str">
        <f aca="false">IF(AM99="","",AM99+90)</f>
        <v/>
      </c>
      <c r="AQ99" s="39" t="str">
        <f aca="true">IF(C99="","",IF(AM99="","NOT REVIEWED",IF(TODAY()&gt;AP99,"OVERDUE",IF(AP99-TODAY()&lt;=14,"Due Soon","Current"))))</f>
        <v/>
      </c>
      <c r="AR99" s="36"/>
    </row>
    <row r="100" customFormat="false" ht="15" hidden="false" customHeight="false" outlineLevel="0" collapsed="false">
      <c r="A100" s="36"/>
      <c r="B100" s="36"/>
      <c r="C100" s="36"/>
      <c r="D100" s="36"/>
      <c r="E100" s="37"/>
      <c r="F100" s="37"/>
      <c r="G100" s="37"/>
      <c r="H100" s="38"/>
      <c r="I100" s="38"/>
      <c r="J100" s="38"/>
      <c r="K100" s="37"/>
      <c r="L100" s="36"/>
      <c r="M100" s="36"/>
      <c r="N100" s="37"/>
      <c r="O100" s="37"/>
      <c r="P100" s="36"/>
      <c r="Q100" s="39" t="str">
        <f aca="true">IF(J100="","",TODAY()-J100)</f>
        <v/>
      </c>
      <c r="R100" s="37"/>
      <c r="S100" s="40" t="str">
        <f aca="false">IFERROR(INDEX('Azure Resource Map'!$D$2:$D$2001,MATCH($C100,'Azure Resource Map'!$A$2:$A$2001,0)),"")</f>
        <v/>
      </c>
      <c r="T100" s="39" t="str">
        <f aca="false">IFERROR(INDEX('Azure Resource Map'!$E$2:$E$2001,MATCH($C100,'Azure Resource Map'!$A$2:$A$2001,0)),"")</f>
        <v/>
      </c>
      <c r="U100" s="39" t="str">
        <f aca="false">IFERROR(INDEX('Azure Resource Map'!$F$2:$F$2001,MATCH($C100,'Azure Resource Map'!$A$2:$A$2001,0)),"")</f>
        <v/>
      </c>
      <c r="V100" s="39" t="str">
        <f aca="false">IF($C100="","",IF(ISNUMBER(MATCH($C100,'CA Exclusion Map'!$A$2:$A$2001,0)),"Yes","No"))</f>
        <v/>
      </c>
      <c r="W100" s="39" t="str">
        <f aca="false">IFERROR(INDEX('CA Exclusion Map'!$D$2:$D$2001,MATCH($C100,'CA Exclusion Map'!$A$2:$A$2001,0)),"")</f>
        <v/>
      </c>
      <c r="X100" s="40" t="str">
        <f aca="false">IFERROR(INDEX('CA Exclusion Map'!$E$2:$E$2001,MATCH($C100,'CA Exclusion Map'!$A$2:$A$2001,0)),"")</f>
        <v/>
      </c>
      <c r="Y100" s="40" t="str">
        <f aca="false">IFERROR(INDEX('CA Exclusion Map'!$F$2:$F$2001,MATCH($C100,'CA Exclusion Map'!$A$2:$A$2001,0)),"")</f>
        <v/>
      </c>
      <c r="Z100" s="36"/>
      <c r="AA100" s="37"/>
      <c r="AB100" s="38"/>
      <c r="AC100" s="38"/>
      <c r="AD100" s="39" t="str">
        <f aca="true">IF(V100="","",IF(V100&lt;&gt;"Yes","N/A",IF(AC100="","NO EXPIRY SET",IF(TODAY()&gt;AC100,"EXPIRED",IF(AC100-TODAY()&lt;=30,"Expiring Soon","Active")))))</f>
        <v/>
      </c>
      <c r="AE100" s="36"/>
      <c r="AF100" s="36"/>
      <c r="AG100" s="37"/>
      <c r="AH100" s="36"/>
      <c r="AI100" s="37"/>
      <c r="AJ100" s="37"/>
      <c r="AK100" s="37"/>
      <c r="AL100" s="37"/>
      <c r="AM100" s="38"/>
      <c r="AN100" s="37"/>
      <c r="AO100" s="37"/>
      <c r="AP100" s="41" t="str">
        <f aca="false">IF(AM100="","",AM100+90)</f>
        <v/>
      </c>
      <c r="AQ100" s="39" t="str">
        <f aca="true">IF(C100="","",IF(AM100="","NOT REVIEWED",IF(TODAY()&gt;AP100,"OVERDUE",IF(AP100-TODAY()&lt;=14,"Due Soon","Current"))))</f>
        <v/>
      </c>
      <c r="AR100" s="36"/>
    </row>
    <row r="101" customFormat="false" ht="15" hidden="false" customHeight="false" outlineLevel="0" collapsed="false">
      <c r="A101" s="36"/>
      <c r="B101" s="36"/>
      <c r="C101" s="36"/>
      <c r="D101" s="36"/>
      <c r="E101" s="37"/>
      <c r="F101" s="37"/>
      <c r="G101" s="37"/>
      <c r="H101" s="38"/>
      <c r="I101" s="38"/>
      <c r="J101" s="38"/>
      <c r="K101" s="37"/>
      <c r="L101" s="36"/>
      <c r="M101" s="36"/>
      <c r="N101" s="37"/>
      <c r="O101" s="37"/>
      <c r="P101" s="36"/>
      <c r="Q101" s="39" t="str">
        <f aca="true">IF(J101="","",TODAY()-J101)</f>
        <v/>
      </c>
      <c r="R101" s="37"/>
      <c r="S101" s="40" t="str">
        <f aca="false">IFERROR(INDEX('Azure Resource Map'!$D$2:$D$2001,MATCH($C101,'Azure Resource Map'!$A$2:$A$2001,0)),"")</f>
        <v/>
      </c>
      <c r="T101" s="39" t="str">
        <f aca="false">IFERROR(INDEX('Azure Resource Map'!$E$2:$E$2001,MATCH($C101,'Azure Resource Map'!$A$2:$A$2001,0)),"")</f>
        <v/>
      </c>
      <c r="U101" s="39" t="str">
        <f aca="false">IFERROR(INDEX('Azure Resource Map'!$F$2:$F$2001,MATCH($C101,'Azure Resource Map'!$A$2:$A$2001,0)),"")</f>
        <v/>
      </c>
      <c r="V101" s="39" t="str">
        <f aca="false">IF($C101="","",IF(ISNUMBER(MATCH($C101,'CA Exclusion Map'!$A$2:$A$2001,0)),"Yes","No"))</f>
        <v/>
      </c>
      <c r="W101" s="39" t="str">
        <f aca="false">IFERROR(INDEX('CA Exclusion Map'!$D$2:$D$2001,MATCH($C101,'CA Exclusion Map'!$A$2:$A$2001,0)),"")</f>
        <v/>
      </c>
      <c r="X101" s="40" t="str">
        <f aca="false">IFERROR(INDEX('CA Exclusion Map'!$E$2:$E$2001,MATCH($C101,'CA Exclusion Map'!$A$2:$A$2001,0)),"")</f>
        <v/>
      </c>
      <c r="Y101" s="40" t="str">
        <f aca="false">IFERROR(INDEX('CA Exclusion Map'!$F$2:$F$2001,MATCH($C101,'CA Exclusion Map'!$A$2:$A$2001,0)),"")</f>
        <v/>
      </c>
      <c r="Z101" s="36"/>
      <c r="AA101" s="37"/>
      <c r="AB101" s="38"/>
      <c r="AC101" s="38"/>
      <c r="AD101" s="39" t="str">
        <f aca="true">IF(V101="","",IF(V101&lt;&gt;"Yes","N/A",IF(AC101="","NO EXPIRY SET",IF(TODAY()&gt;AC101,"EXPIRED",IF(AC101-TODAY()&lt;=30,"Expiring Soon","Active")))))</f>
        <v/>
      </c>
      <c r="AE101" s="36"/>
      <c r="AF101" s="36"/>
      <c r="AG101" s="37"/>
      <c r="AH101" s="36"/>
      <c r="AI101" s="37"/>
      <c r="AJ101" s="37"/>
      <c r="AK101" s="37"/>
      <c r="AL101" s="37"/>
      <c r="AM101" s="38"/>
      <c r="AN101" s="37"/>
      <c r="AO101" s="37"/>
      <c r="AP101" s="41" t="str">
        <f aca="false">IF(AM101="","",AM101+90)</f>
        <v/>
      </c>
      <c r="AQ101" s="39" t="str">
        <f aca="true">IF(C101="","",IF(AM101="","NOT REVIEWED",IF(TODAY()&gt;AP101,"OVERDUE",IF(AP101-TODAY()&lt;=14,"Due Soon","Current"))))</f>
        <v/>
      </c>
      <c r="AR101" s="36"/>
    </row>
    <row r="102" customFormat="false" ht="15" hidden="false" customHeight="false" outlineLevel="0" collapsed="false">
      <c r="A102" s="36"/>
      <c r="B102" s="36"/>
      <c r="C102" s="36"/>
      <c r="D102" s="36"/>
      <c r="E102" s="37"/>
      <c r="F102" s="37"/>
      <c r="G102" s="37"/>
      <c r="H102" s="38"/>
      <c r="I102" s="38"/>
      <c r="J102" s="38"/>
      <c r="K102" s="37"/>
      <c r="L102" s="36"/>
      <c r="M102" s="36"/>
      <c r="N102" s="37"/>
      <c r="O102" s="37"/>
      <c r="P102" s="36"/>
      <c r="Q102" s="39" t="str">
        <f aca="true">IF(J102="","",TODAY()-J102)</f>
        <v/>
      </c>
      <c r="R102" s="37"/>
      <c r="S102" s="40" t="str">
        <f aca="false">IFERROR(INDEX('Azure Resource Map'!$D$2:$D$2001,MATCH($C102,'Azure Resource Map'!$A$2:$A$2001,0)),"")</f>
        <v/>
      </c>
      <c r="T102" s="39" t="str">
        <f aca="false">IFERROR(INDEX('Azure Resource Map'!$E$2:$E$2001,MATCH($C102,'Azure Resource Map'!$A$2:$A$2001,0)),"")</f>
        <v/>
      </c>
      <c r="U102" s="39" t="str">
        <f aca="false">IFERROR(INDEX('Azure Resource Map'!$F$2:$F$2001,MATCH($C102,'Azure Resource Map'!$A$2:$A$2001,0)),"")</f>
        <v/>
      </c>
      <c r="V102" s="39" t="str">
        <f aca="false">IF($C102="","",IF(ISNUMBER(MATCH($C102,'CA Exclusion Map'!$A$2:$A$2001,0)),"Yes","No"))</f>
        <v/>
      </c>
      <c r="W102" s="39" t="str">
        <f aca="false">IFERROR(INDEX('CA Exclusion Map'!$D$2:$D$2001,MATCH($C102,'CA Exclusion Map'!$A$2:$A$2001,0)),"")</f>
        <v/>
      </c>
      <c r="X102" s="40" t="str">
        <f aca="false">IFERROR(INDEX('CA Exclusion Map'!$E$2:$E$2001,MATCH($C102,'CA Exclusion Map'!$A$2:$A$2001,0)),"")</f>
        <v/>
      </c>
      <c r="Y102" s="40" t="str">
        <f aca="false">IFERROR(INDEX('CA Exclusion Map'!$F$2:$F$2001,MATCH($C102,'CA Exclusion Map'!$A$2:$A$2001,0)),"")</f>
        <v/>
      </c>
      <c r="Z102" s="36"/>
      <c r="AA102" s="37"/>
      <c r="AB102" s="38"/>
      <c r="AC102" s="38"/>
      <c r="AD102" s="39" t="str">
        <f aca="true">IF(V102="","",IF(V102&lt;&gt;"Yes","N/A",IF(AC102="","NO EXPIRY SET",IF(TODAY()&gt;AC102,"EXPIRED",IF(AC102-TODAY()&lt;=30,"Expiring Soon","Active")))))</f>
        <v/>
      </c>
      <c r="AE102" s="36"/>
      <c r="AF102" s="36"/>
      <c r="AG102" s="37"/>
      <c r="AH102" s="36"/>
      <c r="AI102" s="37"/>
      <c r="AJ102" s="37"/>
      <c r="AK102" s="37"/>
      <c r="AL102" s="37"/>
      <c r="AM102" s="38"/>
      <c r="AN102" s="37"/>
      <c r="AO102" s="37"/>
      <c r="AP102" s="41" t="str">
        <f aca="false">IF(AM102="","",AM102+90)</f>
        <v/>
      </c>
      <c r="AQ102" s="39" t="str">
        <f aca="true">IF(C102="","",IF(AM102="","NOT REVIEWED",IF(TODAY()&gt;AP102,"OVERDUE",IF(AP102-TODAY()&lt;=14,"Due Soon","Current"))))</f>
        <v/>
      </c>
      <c r="AR102" s="36"/>
    </row>
    <row r="103" customFormat="false" ht="15" hidden="false" customHeight="false" outlineLevel="0" collapsed="false">
      <c r="A103" s="36"/>
      <c r="B103" s="36"/>
      <c r="C103" s="36"/>
      <c r="D103" s="36"/>
      <c r="E103" s="37"/>
      <c r="F103" s="37"/>
      <c r="G103" s="37"/>
      <c r="H103" s="38"/>
      <c r="I103" s="38"/>
      <c r="J103" s="38"/>
      <c r="K103" s="37"/>
      <c r="L103" s="36"/>
      <c r="M103" s="36"/>
      <c r="N103" s="37"/>
      <c r="O103" s="37"/>
      <c r="P103" s="36"/>
      <c r="Q103" s="39" t="str">
        <f aca="true">IF(J103="","",TODAY()-J103)</f>
        <v/>
      </c>
      <c r="R103" s="37"/>
      <c r="S103" s="40" t="str">
        <f aca="false">IFERROR(INDEX('Azure Resource Map'!$D$2:$D$2001,MATCH($C103,'Azure Resource Map'!$A$2:$A$2001,0)),"")</f>
        <v/>
      </c>
      <c r="T103" s="39" t="str">
        <f aca="false">IFERROR(INDEX('Azure Resource Map'!$E$2:$E$2001,MATCH($C103,'Azure Resource Map'!$A$2:$A$2001,0)),"")</f>
        <v/>
      </c>
      <c r="U103" s="39" t="str">
        <f aca="false">IFERROR(INDEX('Azure Resource Map'!$F$2:$F$2001,MATCH($C103,'Azure Resource Map'!$A$2:$A$2001,0)),"")</f>
        <v/>
      </c>
      <c r="V103" s="39" t="str">
        <f aca="false">IF($C103="","",IF(ISNUMBER(MATCH($C103,'CA Exclusion Map'!$A$2:$A$2001,0)),"Yes","No"))</f>
        <v/>
      </c>
      <c r="W103" s="39" t="str">
        <f aca="false">IFERROR(INDEX('CA Exclusion Map'!$D$2:$D$2001,MATCH($C103,'CA Exclusion Map'!$A$2:$A$2001,0)),"")</f>
        <v/>
      </c>
      <c r="X103" s="40" t="str">
        <f aca="false">IFERROR(INDEX('CA Exclusion Map'!$E$2:$E$2001,MATCH($C103,'CA Exclusion Map'!$A$2:$A$2001,0)),"")</f>
        <v/>
      </c>
      <c r="Y103" s="40" t="str">
        <f aca="false">IFERROR(INDEX('CA Exclusion Map'!$F$2:$F$2001,MATCH($C103,'CA Exclusion Map'!$A$2:$A$2001,0)),"")</f>
        <v/>
      </c>
      <c r="Z103" s="36"/>
      <c r="AA103" s="37"/>
      <c r="AB103" s="38"/>
      <c r="AC103" s="38"/>
      <c r="AD103" s="39" t="str">
        <f aca="true">IF(V103="","",IF(V103&lt;&gt;"Yes","N/A",IF(AC103="","NO EXPIRY SET",IF(TODAY()&gt;AC103,"EXPIRED",IF(AC103-TODAY()&lt;=30,"Expiring Soon","Active")))))</f>
        <v/>
      </c>
      <c r="AE103" s="36"/>
      <c r="AF103" s="36"/>
      <c r="AG103" s="37"/>
      <c r="AH103" s="36"/>
      <c r="AI103" s="37"/>
      <c r="AJ103" s="37"/>
      <c r="AK103" s="37"/>
      <c r="AL103" s="37"/>
      <c r="AM103" s="38"/>
      <c r="AN103" s="37"/>
      <c r="AO103" s="37"/>
      <c r="AP103" s="41" t="str">
        <f aca="false">IF(AM103="","",AM103+90)</f>
        <v/>
      </c>
      <c r="AQ103" s="39" t="str">
        <f aca="true">IF(C103="","",IF(AM103="","NOT REVIEWED",IF(TODAY()&gt;AP103,"OVERDUE",IF(AP103-TODAY()&lt;=14,"Due Soon","Current"))))</f>
        <v/>
      </c>
      <c r="AR103" s="36"/>
    </row>
    <row r="104" customFormat="false" ht="15" hidden="false" customHeight="false" outlineLevel="0" collapsed="false">
      <c r="A104" s="36"/>
      <c r="B104" s="36"/>
      <c r="C104" s="36"/>
      <c r="D104" s="36"/>
      <c r="E104" s="37"/>
      <c r="F104" s="37"/>
      <c r="G104" s="37"/>
      <c r="H104" s="38"/>
      <c r="I104" s="38"/>
      <c r="J104" s="38"/>
      <c r="K104" s="37"/>
      <c r="L104" s="36"/>
      <c r="M104" s="36"/>
      <c r="N104" s="37"/>
      <c r="O104" s="37"/>
      <c r="P104" s="36"/>
      <c r="Q104" s="39" t="str">
        <f aca="true">IF(J104="","",TODAY()-J104)</f>
        <v/>
      </c>
      <c r="R104" s="37"/>
      <c r="S104" s="40" t="str">
        <f aca="false">IFERROR(INDEX('Azure Resource Map'!$D$2:$D$2001,MATCH($C104,'Azure Resource Map'!$A$2:$A$2001,0)),"")</f>
        <v/>
      </c>
      <c r="T104" s="39" t="str">
        <f aca="false">IFERROR(INDEX('Azure Resource Map'!$E$2:$E$2001,MATCH($C104,'Azure Resource Map'!$A$2:$A$2001,0)),"")</f>
        <v/>
      </c>
      <c r="U104" s="39" t="str">
        <f aca="false">IFERROR(INDEX('Azure Resource Map'!$F$2:$F$2001,MATCH($C104,'Azure Resource Map'!$A$2:$A$2001,0)),"")</f>
        <v/>
      </c>
      <c r="V104" s="39" t="str">
        <f aca="false">IF($C104="","",IF(ISNUMBER(MATCH($C104,'CA Exclusion Map'!$A$2:$A$2001,0)),"Yes","No"))</f>
        <v/>
      </c>
      <c r="W104" s="39" t="str">
        <f aca="false">IFERROR(INDEX('CA Exclusion Map'!$D$2:$D$2001,MATCH($C104,'CA Exclusion Map'!$A$2:$A$2001,0)),"")</f>
        <v/>
      </c>
      <c r="X104" s="40" t="str">
        <f aca="false">IFERROR(INDEX('CA Exclusion Map'!$E$2:$E$2001,MATCH($C104,'CA Exclusion Map'!$A$2:$A$2001,0)),"")</f>
        <v/>
      </c>
      <c r="Y104" s="40" t="str">
        <f aca="false">IFERROR(INDEX('CA Exclusion Map'!$F$2:$F$2001,MATCH($C104,'CA Exclusion Map'!$A$2:$A$2001,0)),"")</f>
        <v/>
      </c>
      <c r="Z104" s="36"/>
      <c r="AA104" s="37"/>
      <c r="AB104" s="38"/>
      <c r="AC104" s="38"/>
      <c r="AD104" s="39" t="str">
        <f aca="true">IF(V104="","",IF(V104&lt;&gt;"Yes","N/A",IF(AC104="","NO EXPIRY SET",IF(TODAY()&gt;AC104,"EXPIRED",IF(AC104-TODAY()&lt;=30,"Expiring Soon","Active")))))</f>
        <v/>
      </c>
      <c r="AE104" s="36"/>
      <c r="AF104" s="36"/>
      <c r="AG104" s="37"/>
      <c r="AH104" s="36"/>
      <c r="AI104" s="37"/>
      <c r="AJ104" s="37"/>
      <c r="AK104" s="37"/>
      <c r="AL104" s="37"/>
      <c r="AM104" s="38"/>
      <c r="AN104" s="37"/>
      <c r="AO104" s="37"/>
      <c r="AP104" s="41" t="str">
        <f aca="false">IF(AM104="","",AM104+90)</f>
        <v/>
      </c>
      <c r="AQ104" s="39" t="str">
        <f aca="true">IF(C104="","",IF(AM104="","NOT REVIEWED",IF(TODAY()&gt;AP104,"OVERDUE",IF(AP104-TODAY()&lt;=14,"Due Soon","Current"))))</f>
        <v/>
      </c>
      <c r="AR104" s="36"/>
    </row>
    <row r="105" customFormat="false" ht="15" hidden="false" customHeight="false" outlineLevel="0" collapsed="false">
      <c r="A105" s="36"/>
      <c r="B105" s="36"/>
      <c r="C105" s="36"/>
      <c r="D105" s="36"/>
      <c r="E105" s="37"/>
      <c r="F105" s="37"/>
      <c r="G105" s="37"/>
      <c r="H105" s="38"/>
      <c r="I105" s="38"/>
      <c r="J105" s="38"/>
      <c r="K105" s="37"/>
      <c r="L105" s="36"/>
      <c r="M105" s="36"/>
      <c r="N105" s="37"/>
      <c r="O105" s="37"/>
      <c r="P105" s="36"/>
      <c r="Q105" s="39" t="str">
        <f aca="true">IF(J105="","",TODAY()-J105)</f>
        <v/>
      </c>
      <c r="R105" s="37"/>
      <c r="S105" s="40" t="str">
        <f aca="false">IFERROR(INDEX('Azure Resource Map'!$D$2:$D$2001,MATCH($C105,'Azure Resource Map'!$A$2:$A$2001,0)),"")</f>
        <v/>
      </c>
      <c r="T105" s="39" t="str">
        <f aca="false">IFERROR(INDEX('Azure Resource Map'!$E$2:$E$2001,MATCH($C105,'Azure Resource Map'!$A$2:$A$2001,0)),"")</f>
        <v/>
      </c>
      <c r="U105" s="39" t="str">
        <f aca="false">IFERROR(INDEX('Azure Resource Map'!$F$2:$F$2001,MATCH($C105,'Azure Resource Map'!$A$2:$A$2001,0)),"")</f>
        <v/>
      </c>
      <c r="V105" s="39" t="str">
        <f aca="false">IF($C105="","",IF(ISNUMBER(MATCH($C105,'CA Exclusion Map'!$A$2:$A$2001,0)),"Yes","No"))</f>
        <v/>
      </c>
      <c r="W105" s="39" t="str">
        <f aca="false">IFERROR(INDEX('CA Exclusion Map'!$D$2:$D$2001,MATCH($C105,'CA Exclusion Map'!$A$2:$A$2001,0)),"")</f>
        <v/>
      </c>
      <c r="X105" s="40" t="str">
        <f aca="false">IFERROR(INDEX('CA Exclusion Map'!$E$2:$E$2001,MATCH($C105,'CA Exclusion Map'!$A$2:$A$2001,0)),"")</f>
        <v/>
      </c>
      <c r="Y105" s="40" t="str">
        <f aca="false">IFERROR(INDEX('CA Exclusion Map'!$F$2:$F$2001,MATCH($C105,'CA Exclusion Map'!$A$2:$A$2001,0)),"")</f>
        <v/>
      </c>
      <c r="Z105" s="36"/>
      <c r="AA105" s="37"/>
      <c r="AB105" s="38"/>
      <c r="AC105" s="38"/>
      <c r="AD105" s="39" t="str">
        <f aca="true">IF(V105="","",IF(V105&lt;&gt;"Yes","N/A",IF(AC105="","NO EXPIRY SET",IF(TODAY()&gt;AC105,"EXPIRED",IF(AC105-TODAY()&lt;=30,"Expiring Soon","Active")))))</f>
        <v/>
      </c>
      <c r="AE105" s="36"/>
      <c r="AF105" s="36"/>
      <c r="AG105" s="37"/>
      <c r="AH105" s="36"/>
      <c r="AI105" s="37"/>
      <c r="AJ105" s="37"/>
      <c r="AK105" s="37"/>
      <c r="AL105" s="37"/>
      <c r="AM105" s="38"/>
      <c r="AN105" s="37"/>
      <c r="AO105" s="37"/>
      <c r="AP105" s="41" t="str">
        <f aca="false">IF(AM105="","",AM105+90)</f>
        <v/>
      </c>
      <c r="AQ105" s="39" t="str">
        <f aca="true">IF(C105="","",IF(AM105="","NOT REVIEWED",IF(TODAY()&gt;AP105,"OVERDUE",IF(AP105-TODAY()&lt;=14,"Due Soon","Current"))))</f>
        <v/>
      </c>
      <c r="AR105" s="36"/>
    </row>
    <row r="106" customFormat="false" ht="15" hidden="false" customHeight="false" outlineLevel="0" collapsed="false">
      <c r="A106" s="36"/>
      <c r="B106" s="36"/>
      <c r="C106" s="36"/>
      <c r="D106" s="36"/>
      <c r="E106" s="37"/>
      <c r="F106" s="37"/>
      <c r="G106" s="37"/>
      <c r="H106" s="38"/>
      <c r="I106" s="38"/>
      <c r="J106" s="38"/>
      <c r="K106" s="37"/>
      <c r="L106" s="36"/>
      <c r="M106" s="36"/>
      <c r="N106" s="37"/>
      <c r="O106" s="37"/>
      <c r="P106" s="36"/>
      <c r="Q106" s="39" t="str">
        <f aca="true">IF(J106="","",TODAY()-J106)</f>
        <v/>
      </c>
      <c r="R106" s="37"/>
      <c r="S106" s="40" t="str">
        <f aca="false">IFERROR(INDEX('Azure Resource Map'!$D$2:$D$2001,MATCH($C106,'Azure Resource Map'!$A$2:$A$2001,0)),"")</f>
        <v/>
      </c>
      <c r="T106" s="39" t="str">
        <f aca="false">IFERROR(INDEX('Azure Resource Map'!$E$2:$E$2001,MATCH($C106,'Azure Resource Map'!$A$2:$A$2001,0)),"")</f>
        <v/>
      </c>
      <c r="U106" s="39" t="str">
        <f aca="false">IFERROR(INDEX('Azure Resource Map'!$F$2:$F$2001,MATCH($C106,'Azure Resource Map'!$A$2:$A$2001,0)),"")</f>
        <v/>
      </c>
      <c r="V106" s="39" t="str">
        <f aca="false">IF($C106="","",IF(ISNUMBER(MATCH($C106,'CA Exclusion Map'!$A$2:$A$2001,0)),"Yes","No"))</f>
        <v/>
      </c>
      <c r="W106" s="39" t="str">
        <f aca="false">IFERROR(INDEX('CA Exclusion Map'!$D$2:$D$2001,MATCH($C106,'CA Exclusion Map'!$A$2:$A$2001,0)),"")</f>
        <v/>
      </c>
      <c r="X106" s="40" t="str">
        <f aca="false">IFERROR(INDEX('CA Exclusion Map'!$E$2:$E$2001,MATCH($C106,'CA Exclusion Map'!$A$2:$A$2001,0)),"")</f>
        <v/>
      </c>
      <c r="Y106" s="40" t="str">
        <f aca="false">IFERROR(INDEX('CA Exclusion Map'!$F$2:$F$2001,MATCH($C106,'CA Exclusion Map'!$A$2:$A$2001,0)),"")</f>
        <v/>
      </c>
      <c r="Z106" s="36"/>
      <c r="AA106" s="37"/>
      <c r="AB106" s="38"/>
      <c r="AC106" s="38"/>
      <c r="AD106" s="39" t="str">
        <f aca="true">IF(V106="","",IF(V106&lt;&gt;"Yes","N/A",IF(AC106="","NO EXPIRY SET",IF(TODAY()&gt;AC106,"EXPIRED",IF(AC106-TODAY()&lt;=30,"Expiring Soon","Active")))))</f>
        <v/>
      </c>
      <c r="AE106" s="36"/>
      <c r="AF106" s="36"/>
      <c r="AG106" s="37"/>
      <c r="AH106" s="36"/>
      <c r="AI106" s="37"/>
      <c r="AJ106" s="37"/>
      <c r="AK106" s="37"/>
      <c r="AL106" s="37"/>
      <c r="AM106" s="38"/>
      <c r="AN106" s="37"/>
      <c r="AO106" s="37"/>
      <c r="AP106" s="41" t="str">
        <f aca="false">IF(AM106="","",AM106+90)</f>
        <v/>
      </c>
      <c r="AQ106" s="39" t="str">
        <f aca="true">IF(C106="","",IF(AM106="","NOT REVIEWED",IF(TODAY()&gt;AP106,"OVERDUE",IF(AP106-TODAY()&lt;=14,"Due Soon","Current"))))</f>
        <v/>
      </c>
      <c r="AR106" s="36"/>
    </row>
    <row r="107" customFormat="false" ht="15" hidden="false" customHeight="false" outlineLevel="0" collapsed="false">
      <c r="A107" s="36"/>
      <c r="B107" s="36"/>
      <c r="C107" s="36"/>
      <c r="D107" s="36"/>
      <c r="E107" s="37"/>
      <c r="F107" s="37"/>
      <c r="G107" s="37"/>
      <c r="H107" s="38"/>
      <c r="I107" s="38"/>
      <c r="J107" s="38"/>
      <c r="K107" s="37"/>
      <c r="L107" s="36"/>
      <c r="M107" s="36"/>
      <c r="N107" s="37"/>
      <c r="O107" s="37"/>
      <c r="P107" s="36"/>
      <c r="Q107" s="39" t="str">
        <f aca="true">IF(J107="","",TODAY()-J107)</f>
        <v/>
      </c>
      <c r="R107" s="37"/>
      <c r="S107" s="40" t="str">
        <f aca="false">IFERROR(INDEX('Azure Resource Map'!$D$2:$D$2001,MATCH($C107,'Azure Resource Map'!$A$2:$A$2001,0)),"")</f>
        <v/>
      </c>
      <c r="T107" s="39" t="str">
        <f aca="false">IFERROR(INDEX('Azure Resource Map'!$E$2:$E$2001,MATCH($C107,'Azure Resource Map'!$A$2:$A$2001,0)),"")</f>
        <v/>
      </c>
      <c r="U107" s="39" t="str">
        <f aca="false">IFERROR(INDEX('Azure Resource Map'!$F$2:$F$2001,MATCH($C107,'Azure Resource Map'!$A$2:$A$2001,0)),"")</f>
        <v/>
      </c>
      <c r="V107" s="39" t="str">
        <f aca="false">IF($C107="","",IF(ISNUMBER(MATCH($C107,'CA Exclusion Map'!$A$2:$A$2001,0)),"Yes","No"))</f>
        <v/>
      </c>
      <c r="W107" s="39" t="str">
        <f aca="false">IFERROR(INDEX('CA Exclusion Map'!$D$2:$D$2001,MATCH($C107,'CA Exclusion Map'!$A$2:$A$2001,0)),"")</f>
        <v/>
      </c>
      <c r="X107" s="40" t="str">
        <f aca="false">IFERROR(INDEX('CA Exclusion Map'!$E$2:$E$2001,MATCH($C107,'CA Exclusion Map'!$A$2:$A$2001,0)),"")</f>
        <v/>
      </c>
      <c r="Y107" s="40" t="str">
        <f aca="false">IFERROR(INDEX('CA Exclusion Map'!$F$2:$F$2001,MATCH($C107,'CA Exclusion Map'!$A$2:$A$2001,0)),"")</f>
        <v/>
      </c>
      <c r="Z107" s="36"/>
      <c r="AA107" s="37"/>
      <c r="AB107" s="38"/>
      <c r="AC107" s="38"/>
      <c r="AD107" s="39" t="str">
        <f aca="true">IF(V107="","",IF(V107&lt;&gt;"Yes","N/A",IF(AC107="","NO EXPIRY SET",IF(TODAY()&gt;AC107,"EXPIRED",IF(AC107-TODAY()&lt;=30,"Expiring Soon","Active")))))</f>
        <v/>
      </c>
      <c r="AE107" s="36"/>
      <c r="AF107" s="36"/>
      <c r="AG107" s="37"/>
      <c r="AH107" s="36"/>
      <c r="AI107" s="37"/>
      <c r="AJ107" s="37"/>
      <c r="AK107" s="37"/>
      <c r="AL107" s="37"/>
      <c r="AM107" s="38"/>
      <c r="AN107" s="37"/>
      <c r="AO107" s="37"/>
      <c r="AP107" s="41" t="str">
        <f aca="false">IF(AM107="","",AM107+90)</f>
        <v/>
      </c>
      <c r="AQ107" s="39" t="str">
        <f aca="true">IF(C107="","",IF(AM107="","NOT REVIEWED",IF(TODAY()&gt;AP107,"OVERDUE",IF(AP107-TODAY()&lt;=14,"Due Soon","Current"))))</f>
        <v/>
      </c>
      <c r="AR107" s="36"/>
    </row>
    <row r="108" customFormat="false" ht="15" hidden="false" customHeight="false" outlineLevel="0" collapsed="false">
      <c r="A108" s="36"/>
      <c r="B108" s="36"/>
      <c r="C108" s="36"/>
      <c r="D108" s="36"/>
      <c r="E108" s="37"/>
      <c r="F108" s="37"/>
      <c r="G108" s="37"/>
      <c r="H108" s="38"/>
      <c r="I108" s="38"/>
      <c r="J108" s="38"/>
      <c r="K108" s="37"/>
      <c r="L108" s="36"/>
      <c r="M108" s="36"/>
      <c r="N108" s="37"/>
      <c r="O108" s="37"/>
      <c r="P108" s="36"/>
      <c r="Q108" s="39" t="str">
        <f aca="true">IF(J108="","",TODAY()-J108)</f>
        <v/>
      </c>
      <c r="R108" s="37"/>
      <c r="S108" s="40" t="str">
        <f aca="false">IFERROR(INDEX('Azure Resource Map'!$D$2:$D$2001,MATCH($C108,'Azure Resource Map'!$A$2:$A$2001,0)),"")</f>
        <v/>
      </c>
      <c r="T108" s="39" t="str">
        <f aca="false">IFERROR(INDEX('Azure Resource Map'!$E$2:$E$2001,MATCH($C108,'Azure Resource Map'!$A$2:$A$2001,0)),"")</f>
        <v/>
      </c>
      <c r="U108" s="39" t="str">
        <f aca="false">IFERROR(INDEX('Azure Resource Map'!$F$2:$F$2001,MATCH($C108,'Azure Resource Map'!$A$2:$A$2001,0)),"")</f>
        <v/>
      </c>
      <c r="V108" s="39" t="str">
        <f aca="false">IF($C108="","",IF(ISNUMBER(MATCH($C108,'CA Exclusion Map'!$A$2:$A$2001,0)),"Yes","No"))</f>
        <v/>
      </c>
      <c r="W108" s="39" t="str">
        <f aca="false">IFERROR(INDEX('CA Exclusion Map'!$D$2:$D$2001,MATCH($C108,'CA Exclusion Map'!$A$2:$A$2001,0)),"")</f>
        <v/>
      </c>
      <c r="X108" s="40" t="str">
        <f aca="false">IFERROR(INDEX('CA Exclusion Map'!$E$2:$E$2001,MATCH($C108,'CA Exclusion Map'!$A$2:$A$2001,0)),"")</f>
        <v/>
      </c>
      <c r="Y108" s="40" t="str">
        <f aca="false">IFERROR(INDEX('CA Exclusion Map'!$F$2:$F$2001,MATCH($C108,'CA Exclusion Map'!$A$2:$A$2001,0)),"")</f>
        <v/>
      </c>
      <c r="Z108" s="36"/>
      <c r="AA108" s="37"/>
      <c r="AB108" s="38"/>
      <c r="AC108" s="38"/>
      <c r="AD108" s="39" t="str">
        <f aca="true">IF(V108="","",IF(V108&lt;&gt;"Yes","N/A",IF(AC108="","NO EXPIRY SET",IF(TODAY()&gt;AC108,"EXPIRED",IF(AC108-TODAY()&lt;=30,"Expiring Soon","Active")))))</f>
        <v/>
      </c>
      <c r="AE108" s="36"/>
      <c r="AF108" s="36"/>
      <c r="AG108" s="37"/>
      <c r="AH108" s="36"/>
      <c r="AI108" s="37"/>
      <c r="AJ108" s="37"/>
      <c r="AK108" s="37"/>
      <c r="AL108" s="37"/>
      <c r="AM108" s="38"/>
      <c r="AN108" s="37"/>
      <c r="AO108" s="37"/>
      <c r="AP108" s="41" t="str">
        <f aca="false">IF(AM108="","",AM108+90)</f>
        <v/>
      </c>
      <c r="AQ108" s="39" t="str">
        <f aca="true">IF(C108="","",IF(AM108="","NOT REVIEWED",IF(TODAY()&gt;AP108,"OVERDUE",IF(AP108-TODAY()&lt;=14,"Due Soon","Current"))))</f>
        <v/>
      </c>
      <c r="AR108" s="36"/>
    </row>
    <row r="109" customFormat="false" ht="15" hidden="false" customHeight="false" outlineLevel="0" collapsed="false">
      <c r="A109" s="36"/>
      <c r="B109" s="36"/>
      <c r="C109" s="36"/>
      <c r="D109" s="36"/>
      <c r="E109" s="37"/>
      <c r="F109" s="37"/>
      <c r="G109" s="37"/>
      <c r="H109" s="38"/>
      <c r="I109" s="38"/>
      <c r="J109" s="38"/>
      <c r="K109" s="37"/>
      <c r="L109" s="36"/>
      <c r="M109" s="36"/>
      <c r="N109" s="37"/>
      <c r="O109" s="37"/>
      <c r="P109" s="36"/>
      <c r="Q109" s="39" t="str">
        <f aca="true">IF(J109="","",TODAY()-J109)</f>
        <v/>
      </c>
      <c r="R109" s="37"/>
      <c r="S109" s="40" t="str">
        <f aca="false">IFERROR(INDEX('Azure Resource Map'!$D$2:$D$2001,MATCH($C109,'Azure Resource Map'!$A$2:$A$2001,0)),"")</f>
        <v/>
      </c>
      <c r="T109" s="39" t="str">
        <f aca="false">IFERROR(INDEX('Azure Resource Map'!$E$2:$E$2001,MATCH($C109,'Azure Resource Map'!$A$2:$A$2001,0)),"")</f>
        <v/>
      </c>
      <c r="U109" s="39" t="str">
        <f aca="false">IFERROR(INDEX('Azure Resource Map'!$F$2:$F$2001,MATCH($C109,'Azure Resource Map'!$A$2:$A$2001,0)),"")</f>
        <v/>
      </c>
      <c r="V109" s="39" t="str">
        <f aca="false">IF($C109="","",IF(ISNUMBER(MATCH($C109,'CA Exclusion Map'!$A$2:$A$2001,0)),"Yes","No"))</f>
        <v/>
      </c>
      <c r="W109" s="39" t="str">
        <f aca="false">IFERROR(INDEX('CA Exclusion Map'!$D$2:$D$2001,MATCH($C109,'CA Exclusion Map'!$A$2:$A$2001,0)),"")</f>
        <v/>
      </c>
      <c r="X109" s="40" t="str">
        <f aca="false">IFERROR(INDEX('CA Exclusion Map'!$E$2:$E$2001,MATCH($C109,'CA Exclusion Map'!$A$2:$A$2001,0)),"")</f>
        <v/>
      </c>
      <c r="Y109" s="40" t="str">
        <f aca="false">IFERROR(INDEX('CA Exclusion Map'!$F$2:$F$2001,MATCH($C109,'CA Exclusion Map'!$A$2:$A$2001,0)),"")</f>
        <v/>
      </c>
      <c r="Z109" s="36"/>
      <c r="AA109" s="37"/>
      <c r="AB109" s="38"/>
      <c r="AC109" s="38"/>
      <c r="AD109" s="39" t="str">
        <f aca="true">IF(V109="","",IF(V109&lt;&gt;"Yes","N/A",IF(AC109="","NO EXPIRY SET",IF(TODAY()&gt;AC109,"EXPIRED",IF(AC109-TODAY()&lt;=30,"Expiring Soon","Active")))))</f>
        <v/>
      </c>
      <c r="AE109" s="36"/>
      <c r="AF109" s="36"/>
      <c r="AG109" s="37"/>
      <c r="AH109" s="36"/>
      <c r="AI109" s="37"/>
      <c r="AJ109" s="37"/>
      <c r="AK109" s="37"/>
      <c r="AL109" s="37"/>
      <c r="AM109" s="38"/>
      <c r="AN109" s="37"/>
      <c r="AO109" s="37"/>
      <c r="AP109" s="41" t="str">
        <f aca="false">IF(AM109="","",AM109+90)</f>
        <v/>
      </c>
      <c r="AQ109" s="39" t="str">
        <f aca="true">IF(C109="","",IF(AM109="","NOT REVIEWED",IF(TODAY()&gt;AP109,"OVERDUE",IF(AP109-TODAY()&lt;=14,"Due Soon","Current"))))</f>
        <v/>
      </c>
      <c r="AR109" s="36"/>
    </row>
    <row r="110" customFormat="false" ht="15" hidden="false" customHeight="false" outlineLevel="0" collapsed="false">
      <c r="A110" s="36"/>
      <c r="B110" s="36"/>
      <c r="C110" s="36"/>
      <c r="D110" s="36"/>
      <c r="E110" s="37"/>
      <c r="F110" s="37"/>
      <c r="G110" s="37"/>
      <c r="H110" s="38"/>
      <c r="I110" s="38"/>
      <c r="J110" s="38"/>
      <c r="K110" s="37"/>
      <c r="L110" s="36"/>
      <c r="M110" s="36"/>
      <c r="N110" s="37"/>
      <c r="O110" s="37"/>
      <c r="P110" s="36"/>
      <c r="Q110" s="39" t="str">
        <f aca="true">IF(J110="","",TODAY()-J110)</f>
        <v/>
      </c>
      <c r="R110" s="37"/>
      <c r="S110" s="40" t="str">
        <f aca="false">IFERROR(INDEX('Azure Resource Map'!$D$2:$D$2001,MATCH($C110,'Azure Resource Map'!$A$2:$A$2001,0)),"")</f>
        <v/>
      </c>
      <c r="T110" s="39" t="str">
        <f aca="false">IFERROR(INDEX('Azure Resource Map'!$E$2:$E$2001,MATCH($C110,'Azure Resource Map'!$A$2:$A$2001,0)),"")</f>
        <v/>
      </c>
      <c r="U110" s="39" t="str">
        <f aca="false">IFERROR(INDEX('Azure Resource Map'!$F$2:$F$2001,MATCH($C110,'Azure Resource Map'!$A$2:$A$2001,0)),"")</f>
        <v/>
      </c>
      <c r="V110" s="39" t="str">
        <f aca="false">IF($C110="","",IF(ISNUMBER(MATCH($C110,'CA Exclusion Map'!$A$2:$A$2001,0)),"Yes","No"))</f>
        <v/>
      </c>
      <c r="W110" s="39" t="str">
        <f aca="false">IFERROR(INDEX('CA Exclusion Map'!$D$2:$D$2001,MATCH($C110,'CA Exclusion Map'!$A$2:$A$2001,0)),"")</f>
        <v/>
      </c>
      <c r="X110" s="40" t="str">
        <f aca="false">IFERROR(INDEX('CA Exclusion Map'!$E$2:$E$2001,MATCH($C110,'CA Exclusion Map'!$A$2:$A$2001,0)),"")</f>
        <v/>
      </c>
      <c r="Y110" s="40" t="str">
        <f aca="false">IFERROR(INDEX('CA Exclusion Map'!$F$2:$F$2001,MATCH($C110,'CA Exclusion Map'!$A$2:$A$2001,0)),"")</f>
        <v/>
      </c>
      <c r="Z110" s="36"/>
      <c r="AA110" s="37"/>
      <c r="AB110" s="38"/>
      <c r="AC110" s="38"/>
      <c r="AD110" s="39" t="str">
        <f aca="true">IF(V110="","",IF(V110&lt;&gt;"Yes","N/A",IF(AC110="","NO EXPIRY SET",IF(TODAY()&gt;AC110,"EXPIRED",IF(AC110-TODAY()&lt;=30,"Expiring Soon","Active")))))</f>
        <v/>
      </c>
      <c r="AE110" s="36"/>
      <c r="AF110" s="36"/>
      <c r="AG110" s="37"/>
      <c r="AH110" s="36"/>
      <c r="AI110" s="37"/>
      <c r="AJ110" s="37"/>
      <c r="AK110" s="37"/>
      <c r="AL110" s="37"/>
      <c r="AM110" s="38"/>
      <c r="AN110" s="37"/>
      <c r="AO110" s="37"/>
      <c r="AP110" s="41" t="str">
        <f aca="false">IF(AM110="","",AM110+90)</f>
        <v/>
      </c>
      <c r="AQ110" s="39" t="str">
        <f aca="true">IF(C110="","",IF(AM110="","NOT REVIEWED",IF(TODAY()&gt;AP110,"OVERDUE",IF(AP110-TODAY()&lt;=14,"Due Soon","Current"))))</f>
        <v/>
      </c>
      <c r="AR110" s="36"/>
    </row>
    <row r="111" customFormat="false" ht="15" hidden="false" customHeight="false" outlineLevel="0" collapsed="false">
      <c r="A111" s="36"/>
      <c r="B111" s="36"/>
      <c r="C111" s="36"/>
      <c r="D111" s="36"/>
      <c r="E111" s="37"/>
      <c r="F111" s="37"/>
      <c r="G111" s="37"/>
      <c r="H111" s="38"/>
      <c r="I111" s="38"/>
      <c r="J111" s="38"/>
      <c r="K111" s="37"/>
      <c r="L111" s="36"/>
      <c r="M111" s="36"/>
      <c r="N111" s="37"/>
      <c r="O111" s="37"/>
      <c r="P111" s="36"/>
      <c r="Q111" s="39" t="str">
        <f aca="true">IF(J111="","",TODAY()-J111)</f>
        <v/>
      </c>
      <c r="R111" s="37"/>
      <c r="S111" s="40" t="str">
        <f aca="false">IFERROR(INDEX('Azure Resource Map'!$D$2:$D$2001,MATCH($C111,'Azure Resource Map'!$A$2:$A$2001,0)),"")</f>
        <v/>
      </c>
      <c r="T111" s="39" t="str">
        <f aca="false">IFERROR(INDEX('Azure Resource Map'!$E$2:$E$2001,MATCH($C111,'Azure Resource Map'!$A$2:$A$2001,0)),"")</f>
        <v/>
      </c>
      <c r="U111" s="39" t="str">
        <f aca="false">IFERROR(INDEX('Azure Resource Map'!$F$2:$F$2001,MATCH($C111,'Azure Resource Map'!$A$2:$A$2001,0)),"")</f>
        <v/>
      </c>
      <c r="V111" s="39" t="str">
        <f aca="false">IF($C111="","",IF(ISNUMBER(MATCH($C111,'CA Exclusion Map'!$A$2:$A$2001,0)),"Yes","No"))</f>
        <v/>
      </c>
      <c r="W111" s="39" t="str">
        <f aca="false">IFERROR(INDEX('CA Exclusion Map'!$D$2:$D$2001,MATCH($C111,'CA Exclusion Map'!$A$2:$A$2001,0)),"")</f>
        <v/>
      </c>
      <c r="X111" s="40" t="str">
        <f aca="false">IFERROR(INDEX('CA Exclusion Map'!$E$2:$E$2001,MATCH($C111,'CA Exclusion Map'!$A$2:$A$2001,0)),"")</f>
        <v/>
      </c>
      <c r="Y111" s="40" t="str">
        <f aca="false">IFERROR(INDEX('CA Exclusion Map'!$F$2:$F$2001,MATCH($C111,'CA Exclusion Map'!$A$2:$A$2001,0)),"")</f>
        <v/>
      </c>
      <c r="Z111" s="36"/>
      <c r="AA111" s="37"/>
      <c r="AB111" s="38"/>
      <c r="AC111" s="38"/>
      <c r="AD111" s="39" t="str">
        <f aca="true">IF(V111="","",IF(V111&lt;&gt;"Yes","N/A",IF(AC111="","NO EXPIRY SET",IF(TODAY()&gt;AC111,"EXPIRED",IF(AC111-TODAY()&lt;=30,"Expiring Soon","Active")))))</f>
        <v/>
      </c>
      <c r="AE111" s="36"/>
      <c r="AF111" s="36"/>
      <c r="AG111" s="37"/>
      <c r="AH111" s="36"/>
      <c r="AI111" s="37"/>
      <c r="AJ111" s="37"/>
      <c r="AK111" s="37"/>
      <c r="AL111" s="37"/>
      <c r="AM111" s="38"/>
      <c r="AN111" s="37"/>
      <c r="AO111" s="37"/>
      <c r="AP111" s="41" t="str">
        <f aca="false">IF(AM111="","",AM111+90)</f>
        <v/>
      </c>
      <c r="AQ111" s="39" t="str">
        <f aca="true">IF(C111="","",IF(AM111="","NOT REVIEWED",IF(TODAY()&gt;AP111,"OVERDUE",IF(AP111-TODAY()&lt;=14,"Due Soon","Current"))))</f>
        <v/>
      </c>
      <c r="AR111" s="36"/>
    </row>
    <row r="112" customFormat="false" ht="15" hidden="false" customHeight="false" outlineLevel="0" collapsed="false">
      <c r="A112" s="36"/>
      <c r="B112" s="36"/>
      <c r="C112" s="36"/>
      <c r="D112" s="36"/>
      <c r="E112" s="37"/>
      <c r="F112" s="37"/>
      <c r="G112" s="37"/>
      <c r="H112" s="38"/>
      <c r="I112" s="38"/>
      <c r="J112" s="38"/>
      <c r="K112" s="37"/>
      <c r="L112" s="36"/>
      <c r="M112" s="36"/>
      <c r="N112" s="37"/>
      <c r="O112" s="37"/>
      <c r="P112" s="36"/>
      <c r="Q112" s="39" t="str">
        <f aca="true">IF(J112="","",TODAY()-J112)</f>
        <v/>
      </c>
      <c r="R112" s="37"/>
      <c r="S112" s="40" t="str">
        <f aca="false">IFERROR(INDEX('Azure Resource Map'!$D$2:$D$2001,MATCH($C112,'Azure Resource Map'!$A$2:$A$2001,0)),"")</f>
        <v/>
      </c>
      <c r="T112" s="39" t="str">
        <f aca="false">IFERROR(INDEX('Azure Resource Map'!$E$2:$E$2001,MATCH($C112,'Azure Resource Map'!$A$2:$A$2001,0)),"")</f>
        <v/>
      </c>
      <c r="U112" s="39" t="str">
        <f aca="false">IFERROR(INDEX('Azure Resource Map'!$F$2:$F$2001,MATCH($C112,'Azure Resource Map'!$A$2:$A$2001,0)),"")</f>
        <v/>
      </c>
      <c r="V112" s="39" t="str">
        <f aca="false">IF($C112="","",IF(ISNUMBER(MATCH($C112,'CA Exclusion Map'!$A$2:$A$2001,0)),"Yes","No"))</f>
        <v/>
      </c>
      <c r="W112" s="39" t="str">
        <f aca="false">IFERROR(INDEX('CA Exclusion Map'!$D$2:$D$2001,MATCH($C112,'CA Exclusion Map'!$A$2:$A$2001,0)),"")</f>
        <v/>
      </c>
      <c r="X112" s="40" t="str">
        <f aca="false">IFERROR(INDEX('CA Exclusion Map'!$E$2:$E$2001,MATCH($C112,'CA Exclusion Map'!$A$2:$A$2001,0)),"")</f>
        <v/>
      </c>
      <c r="Y112" s="40" t="str">
        <f aca="false">IFERROR(INDEX('CA Exclusion Map'!$F$2:$F$2001,MATCH($C112,'CA Exclusion Map'!$A$2:$A$2001,0)),"")</f>
        <v/>
      </c>
      <c r="Z112" s="36"/>
      <c r="AA112" s="37"/>
      <c r="AB112" s="38"/>
      <c r="AC112" s="38"/>
      <c r="AD112" s="39" t="str">
        <f aca="true">IF(V112="","",IF(V112&lt;&gt;"Yes","N/A",IF(AC112="","NO EXPIRY SET",IF(TODAY()&gt;AC112,"EXPIRED",IF(AC112-TODAY()&lt;=30,"Expiring Soon","Active")))))</f>
        <v/>
      </c>
      <c r="AE112" s="36"/>
      <c r="AF112" s="36"/>
      <c r="AG112" s="37"/>
      <c r="AH112" s="36"/>
      <c r="AI112" s="37"/>
      <c r="AJ112" s="37"/>
      <c r="AK112" s="37"/>
      <c r="AL112" s="37"/>
      <c r="AM112" s="38"/>
      <c r="AN112" s="37"/>
      <c r="AO112" s="37"/>
      <c r="AP112" s="41" t="str">
        <f aca="false">IF(AM112="","",AM112+90)</f>
        <v/>
      </c>
      <c r="AQ112" s="39" t="str">
        <f aca="true">IF(C112="","",IF(AM112="","NOT REVIEWED",IF(TODAY()&gt;AP112,"OVERDUE",IF(AP112-TODAY()&lt;=14,"Due Soon","Current"))))</f>
        <v/>
      </c>
      <c r="AR112" s="36"/>
    </row>
    <row r="113" customFormat="false" ht="15" hidden="false" customHeight="false" outlineLevel="0" collapsed="false">
      <c r="A113" s="36"/>
      <c r="B113" s="36"/>
      <c r="C113" s="36"/>
      <c r="D113" s="36"/>
      <c r="E113" s="37"/>
      <c r="F113" s="37"/>
      <c r="G113" s="37"/>
      <c r="H113" s="38"/>
      <c r="I113" s="38"/>
      <c r="J113" s="38"/>
      <c r="K113" s="37"/>
      <c r="L113" s="36"/>
      <c r="M113" s="36"/>
      <c r="N113" s="37"/>
      <c r="O113" s="37"/>
      <c r="P113" s="36"/>
      <c r="Q113" s="39" t="str">
        <f aca="true">IF(J113="","",TODAY()-J113)</f>
        <v/>
      </c>
      <c r="R113" s="37"/>
      <c r="S113" s="40" t="str">
        <f aca="false">IFERROR(INDEX('Azure Resource Map'!$D$2:$D$2001,MATCH($C113,'Azure Resource Map'!$A$2:$A$2001,0)),"")</f>
        <v/>
      </c>
      <c r="T113" s="39" t="str">
        <f aca="false">IFERROR(INDEX('Azure Resource Map'!$E$2:$E$2001,MATCH($C113,'Azure Resource Map'!$A$2:$A$2001,0)),"")</f>
        <v/>
      </c>
      <c r="U113" s="39" t="str">
        <f aca="false">IFERROR(INDEX('Azure Resource Map'!$F$2:$F$2001,MATCH($C113,'Azure Resource Map'!$A$2:$A$2001,0)),"")</f>
        <v/>
      </c>
      <c r="V113" s="39" t="str">
        <f aca="false">IF($C113="","",IF(ISNUMBER(MATCH($C113,'CA Exclusion Map'!$A$2:$A$2001,0)),"Yes","No"))</f>
        <v/>
      </c>
      <c r="W113" s="39" t="str">
        <f aca="false">IFERROR(INDEX('CA Exclusion Map'!$D$2:$D$2001,MATCH($C113,'CA Exclusion Map'!$A$2:$A$2001,0)),"")</f>
        <v/>
      </c>
      <c r="X113" s="40" t="str">
        <f aca="false">IFERROR(INDEX('CA Exclusion Map'!$E$2:$E$2001,MATCH($C113,'CA Exclusion Map'!$A$2:$A$2001,0)),"")</f>
        <v/>
      </c>
      <c r="Y113" s="40" t="str">
        <f aca="false">IFERROR(INDEX('CA Exclusion Map'!$F$2:$F$2001,MATCH($C113,'CA Exclusion Map'!$A$2:$A$2001,0)),"")</f>
        <v/>
      </c>
      <c r="Z113" s="36"/>
      <c r="AA113" s="37"/>
      <c r="AB113" s="38"/>
      <c r="AC113" s="38"/>
      <c r="AD113" s="39" t="str">
        <f aca="true">IF(V113="","",IF(V113&lt;&gt;"Yes","N/A",IF(AC113="","NO EXPIRY SET",IF(TODAY()&gt;AC113,"EXPIRED",IF(AC113-TODAY()&lt;=30,"Expiring Soon","Active")))))</f>
        <v/>
      </c>
      <c r="AE113" s="36"/>
      <c r="AF113" s="36"/>
      <c r="AG113" s="37"/>
      <c r="AH113" s="36"/>
      <c r="AI113" s="37"/>
      <c r="AJ113" s="37"/>
      <c r="AK113" s="37"/>
      <c r="AL113" s="37"/>
      <c r="AM113" s="38"/>
      <c r="AN113" s="37"/>
      <c r="AO113" s="37"/>
      <c r="AP113" s="41" t="str">
        <f aca="false">IF(AM113="","",AM113+90)</f>
        <v/>
      </c>
      <c r="AQ113" s="39" t="str">
        <f aca="true">IF(C113="","",IF(AM113="","NOT REVIEWED",IF(TODAY()&gt;AP113,"OVERDUE",IF(AP113-TODAY()&lt;=14,"Due Soon","Current"))))</f>
        <v/>
      </c>
      <c r="AR113" s="36"/>
    </row>
    <row r="114" customFormat="false" ht="15" hidden="false" customHeight="false" outlineLevel="0" collapsed="false">
      <c r="A114" s="36"/>
      <c r="B114" s="36"/>
      <c r="C114" s="36"/>
      <c r="D114" s="36"/>
      <c r="E114" s="37"/>
      <c r="F114" s="37"/>
      <c r="G114" s="37"/>
      <c r="H114" s="38"/>
      <c r="I114" s="38"/>
      <c r="J114" s="38"/>
      <c r="K114" s="37"/>
      <c r="L114" s="36"/>
      <c r="M114" s="36"/>
      <c r="N114" s="37"/>
      <c r="O114" s="37"/>
      <c r="P114" s="36"/>
      <c r="Q114" s="39" t="str">
        <f aca="true">IF(J114="","",TODAY()-J114)</f>
        <v/>
      </c>
      <c r="R114" s="37"/>
      <c r="S114" s="40" t="str">
        <f aca="false">IFERROR(INDEX('Azure Resource Map'!$D$2:$D$2001,MATCH($C114,'Azure Resource Map'!$A$2:$A$2001,0)),"")</f>
        <v/>
      </c>
      <c r="T114" s="39" t="str">
        <f aca="false">IFERROR(INDEX('Azure Resource Map'!$E$2:$E$2001,MATCH($C114,'Azure Resource Map'!$A$2:$A$2001,0)),"")</f>
        <v/>
      </c>
      <c r="U114" s="39" t="str">
        <f aca="false">IFERROR(INDEX('Azure Resource Map'!$F$2:$F$2001,MATCH($C114,'Azure Resource Map'!$A$2:$A$2001,0)),"")</f>
        <v/>
      </c>
      <c r="V114" s="39" t="str">
        <f aca="false">IF($C114="","",IF(ISNUMBER(MATCH($C114,'CA Exclusion Map'!$A$2:$A$2001,0)),"Yes","No"))</f>
        <v/>
      </c>
      <c r="W114" s="39" t="str">
        <f aca="false">IFERROR(INDEX('CA Exclusion Map'!$D$2:$D$2001,MATCH($C114,'CA Exclusion Map'!$A$2:$A$2001,0)),"")</f>
        <v/>
      </c>
      <c r="X114" s="40" t="str">
        <f aca="false">IFERROR(INDEX('CA Exclusion Map'!$E$2:$E$2001,MATCH($C114,'CA Exclusion Map'!$A$2:$A$2001,0)),"")</f>
        <v/>
      </c>
      <c r="Y114" s="40" t="str">
        <f aca="false">IFERROR(INDEX('CA Exclusion Map'!$F$2:$F$2001,MATCH($C114,'CA Exclusion Map'!$A$2:$A$2001,0)),"")</f>
        <v/>
      </c>
      <c r="Z114" s="36"/>
      <c r="AA114" s="37"/>
      <c r="AB114" s="38"/>
      <c r="AC114" s="38"/>
      <c r="AD114" s="39" t="str">
        <f aca="true">IF(V114="","",IF(V114&lt;&gt;"Yes","N/A",IF(AC114="","NO EXPIRY SET",IF(TODAY()&gt;AC114,"EXPIRED",IF(AC114-TODAY()&lt;=30,"Expiring Soon","Active")))))</f>
        <v/>
      </c>
      <c r="AE114" s="36"/>
      <c r="AF114" s="36"/>
      <c r="AG114" s="37"/>
      <c r="AH114" s="36"/>
      <c r="AI114" s="37"/>
      <c r="AJ114" s="37"/>
      <c r="AK114" s="37"/>
      <c r="AL114" s="37"/>
      <c r="AM114" s="38"/>
      <c r="AN114" s="37"/>
      <c r="AO114" s="37"/>
      <c r="AP114" s="41" t="str">
        <f aca="false">IF(AM114="","",AM114+90)</f>
        <v/>
      </c>
      <c r="AQ114" s="39" t="str">
        <f aca="true">IF(C114="","",IF(AM114="","NOT REVIEWED",IF(TODAY()&gt;AP114,"OVERDUE",IF(AP114-TODAY()&lt;=14,"Due Soon","Current"))))</f>
        <v/>
      </c>
      <c r="AR114" s="36"/>
    </row>
    <row r="115" customFormat="false" ht="15" hidden="false" customHeight="false" outlineLevel="0" collapsed="false">
      <c r="A115" s="36"/>
      <c r="B115" s="36"/>
      <c r="C115" s="36"/>
      <c r="D115" s="36"/>
      <c r="E115" s="37"/>
      <c r="F115" s="37"/>
      <c r="G115" s="37"/>
      <c r="H115" s="38"/>
      <c r="I115" s="38"/>
      <c r="J115" s="38"/>
      <c r="K115" s="37"/>
      <c r="L115" s="36"/>
      <c r="M115" s="36"/>
      <c r="N115" s="37"/>
      <c r="O115" s="37"/>
      <c r="P115" s="36"/>
      <c r="Q115" s="39" t="str">
        <f aca="true">IF(J115="","",TODAY()-J115)</f>
        <v/>
      </c>
      <c r="R115" s="37"/>
      <c r="S115" s="40" t="str">
        <f aca="false">IFERROR(INDEX('Azure Resource Map'!$D$2:$D$2001,MATCH($C115,'Azure Resource Map'!$A$2:$A$2001,0)),"")</f>
        <v/>
      </c>
      <c r="T115" s="39" t="str">
        <f aca="false">IFERROR(INDEX('Azure Resource Map'!$E$2:$E$2001,MATCH($C115,'Azure Resource Map'!$A$2:$A$2001,0)),"")</f>
        <v/>
      </c>
      <c r="U115" s="39" t="str">
        <f aca="false">IFERROR(INDEX('Azure Resource Map'!$F$2:$F$2001,MATCH($C115,'Azure Resource Map'!$A$2:$A$2001,0)),"")</f>
        <v/>
      </c>
      <c r="V115" s="39" t="str">
        <f aca="false">IF($C115="","",IF(ISNUMBER(MATCH($C115,'CA Exclusion Map'!$A$2:$A$2001,0)),"Yes","No"))</f>
        <v/>
      </c>
      <c r="W115" s="39" t="str">
        <f aca="false">IFERROR(INDEX('CA Exclusion Map'!$D$2:$D$2001,MATCH($C115,'CA Exclusion Map'!$A$2:$A$2001,0)),"")</f>
        <v/>
      </c>
      <c r="X115" s="40" t="str">
        <f aca="false">IFERROR(INDEX('CA Exclusion Map'!$E$2:$E$2001,MATCH($C115,'CA Exclusion Map'!$A$2:$A$2001,0)),"")</f>
        <v/>
      </c>
      <c r="Y115" s="40" t="str">
        <f aca="false">IFERROR(INDEX('CA Exclusion Map'!$F$2:$F$2001,MATCH($C115,'CA Exclusion Map'!$A$2:$A$2001,0)),"")</f>
        <v/>
      </c>
      <c r="Z115" s="36"/>
      <c r="AA115" s="37"/>
      <c r="AB115" s="38"/>
      <c r="AC115" s="38"/>
      <c r="AD115" s="39" t="str">
        <f aca="true">IF(V115="","",IF(V115&lt;&gt;"Yes","N/A",IF(AC115="","NO EXPIRY SET",IF(TODAY()&gt;AC115,"EXPIRED",IF(AC115-TODAY()&lt;=30,"Expiring Soon","Active")))))</f>
        <v/>
      </c>
      <c r="AE115" s="36"/>
      <c r="AF115" s="36"/>
      <c r="AG115" s="37"/>
      <c r="AH115" s="36"/>
      <c r="AI115" s="37"/>
      <c r="AJ115" s="37"/>
      <c r="AK115" s="37"/>
      <c r="AL115" s="37"/>
      <c r="AM115" s="38"/>
      <c r="AN115" s="37"/>
      <c r="AO115" s="37"/>
      <c r="AP115" s="41" t="str">
        <f aca="false">IF(AM115="","",AM115+90)</f>
        <v/>
      </c>
      <c r="AQ115" s="39" t="str">
        <f aca="true">IF(C115="","",IF(AM115="","NOT REVIEWED",IF(TODAY()&gt;AP115,"OVERDUE",IF(AP115-TODAY()&lt;=14,"Due Soon","Current"))))</f>
        <v/>
      </c>
      <c r="AR115" s="36"/>
    </row>
    <row r="116" customFormat="false" ht="15" hidden="false" customHeight="false" outlineLevel="0" collapsed="false">
      <c r="A116" s="36"/>
      <c r="B116" s="36"/>
      <c r="C116" s="36"/>
      <c r="D116" s="36"/>
      <c r="E116" s="37"/>
      <c r="F116" s="37"/>
      <c r="G116" s="37"/>
      <c r="H116" s="38"/>
      <c r="I116" s="38"/>
      <c r="J116" s="38"/>
      <c r="K116" s="37"/>
      <c r="L116" s="36"/>
      <c r="M116" s="36"/>
      <c r="N116" s="37"/>
      <c r="O116" s="37"/>
      <c r="P116" s="36"/>
      <c r="Q116" s="39" t="str">
        <f aca="true">IF(J116="","",TODAY()-J116)</f>
        <v/>
      </c>
      <c r="R116" s="37"/>
      <c r="S116" s="40" t="str">
        <f aca="false">IFERROR(INDEX('Azure Resource Map'!$D$2:$D$2001,MATCH($C116,'Azure Resource Map'!$A$2:$A$2001,0)),"")</f>
        <v/>
      </c>
      <c r="T116" s="39" t="str">
        <f aca="false">IFERROR(INDEX('Azure Resource Map'!$E$2:$E$2001,MATCH($C116,'Azure Resource Map'!$A$2:$A$2001,0)),"")</f>
        <v/>
      </c>
      <c r="U116" s="39" t="str">
        <f aca="false">IFERROR(INDEX('Azure Resource Map'!$F$2:$F$2001,MATCH($C116,'Azure Resource Map'!$A$2:$A$2001,0)),"")</f>
        <v/>
      </c>
      <c r="V116" s="39" t="str">
        <f aca="false">IF($C116="","",IF(ISNUMBER(MATCH($C116,'CA Exclusion Map'!$A$2:$A$2001,0)),"Yes","No"))</f>
        <v/>
      </c>
      <c r="W116" s="39" t="str">
        <f aca="false">IFERROR(INDEX('CA Exclusion Map'!$D$2:$D$2001,MATCH($C116,'CA Exclusion Map'!$A$2:$A$2001,0)),"")</f>
        <v/>
      </c>
      <c r="X116" s="40" t="str">
        <f aca="false">IFERROR(INDEX('CA Exclusion Map'!$E$2:$E$2001,MATCH($C116,'CA Exclusion Map'!$A$2:$A$2001,0)),"")</f>
        <v/>
      </c>
      <c r="Y116" s="40" t="str">
        <f aca="false">IFERROR(INDEX('CA Exclusion Map'!$F$2:$F$2001,MATCH($C116,'CA Exclusion Map'!$A$2:$A$2001,0)),"")</f>
        <v/>
      </c>
      <c r="Z116" s="36"/>
      <c r="AA116" s="37"/>
      <c r="AB116" s="38"/>
      <c r="AC116" s="38"/>
      <c r="AD116" s="39" t="str">
        <f aca="true">IF(V116="","",IF(V116&lt;&gt;"Yes","N/A",IF(AC116="","NO EXPIRY SET",IF(TODAY()&gt;AC116,"EXPIRED",IF(AC116-TODAY()&lt;=30,"Expiring Soon","Active")))))</f>
        <v/>
      </c>
      <c r="AE116" s="36"/>
      <c r="AF116" s="36"/>
      <c r="AG116" s="37"/>
      <c r="AH116" s="36"/>
      <c r="AI116" s="37"/>
      <c r="AJ116" s="37"/>
      <c r="AK116" s="37"/>
      <c r="AL116" s="37"/>
      <c r="AM116" s="38"/>
      <c r="AN116" s="37"/>
      <c r="AO116" s="37"/>
      <c r="AP116" s="41" t="str">
        <f aca="false">IF(AM116="","",AM116+90)</f>
        <v/>
      </c>
      <c r="AQ116" s="39" t="str">
        <f aca="true">IF(C116="","",IF(AM116="","NOT REVIEWED",IF(TODAY()&gt;AP116,"OVERDUE",IF(AP116-TODAY()&lt;=14,"Due Soon","Current"))))</f>
        <v/>
      </c>
      <c r="AR116" s="36"/>
    </row>
    <row r="117" customFormat="false" ht="15" hidden="false" customHeight="false" outlineLevel="0" collapsed="false">
      <c r="A117" s="36"/>
      <c r="B117" s="36"/>
      <c r="C117" s="36"/>
      <c r="D117" s="36"/>
      <c r="E117" s="37"/>
      <c r="F117" s="37"/>
      <c r="G117" s="37"/>
      <c r="H117" s="38"/>
      <c r="I117" s="38"/>
      <c r="J117" s="38"/>
      <c r="K117" s="37"/>
      <c r="L117" s="36"/>
      <c r="M117" s="36"/>
      <c r="N117" s="37"/>
      <c r="O117" s="37"/>
      <c r="P117" s="36"/>
      <c r="Q117" s="39" t="str">
        <f aca="true">IF(J117="","",TODAY()-J117)</f>
        <v/>
      </c>
      <c r="R117" s="37"/>
      <c r="S117" s="40" t="str">
        <f aca="false">IFERROR(INDEX('Azure Resource Map'!$D$2:$D$2001,MATCH($C117,'Azure Resource Map'!$A$2:$A$2001,0)),"")</f>
        <v/>
      </c>
      <c r="T117" s="39" t="str">
        <f aca="false">IFERROR(INDEX('Azure Resource Map'!$E$2:$E$2001,MATCH($C117,'Azure Resource Map'!$A$2:$A$2001,0)),"")</f>
        <v/>
      </c>
      <c r="U117" s="39" t="str">
        <f aca="false">IFERROR(INDEX('Azure Resource Map'!$F$2:$F$2001,MATCH($C117,'Azure Resource Map'!$A$2:$A$2001,0)),"")</f>
        <v/>
      </c>
      <c r="V117" s="39" t="str">
        <f aca="false">IF($C117="","",IF(ISNUMBER(MATCH($C117,'CA Exclusion Map'!$A$2:$A$2001,0)),"Yes","No"))</f>
        <v/>
      </c>
      <c r="W117" s="39" t="str">
        <f aca="false">IFERROR(INDEX('CA Exclusion Map'!$D$2:$D$2001,MATCH($C117,'CA Exclusion Map'!$A$2:$A$2001,0)),"")</f>
        <v/>
      </c>
      <c r="X117" s="40" t="str">
        <f aca="false">IFERROR(INDEX('CA Exclusion Map'!$E$2:$E$2001,MATCH($C117,'CA Exclusion Map'!$A$2:$A$2001,0)),"")</f>
        <v/>
      </c>
      <c r="Y117" s="40" t="str">
        <f aca="false">IFERROR(INDEX('CA Exclusion Map'!$F$2:$F$2001,MATCH($C117,'CA Exclusion Map'!$A$2:$A$2001,0)),"")</f>
        <v/>
      </c>
      <c r="Z117" s="36"/>
      <c r="AA117" s="37"/>
      <c r="AB117" s="38"/>
      <c r="AC117" s="38"/>
      <c r="AD117" s="39" t="str">
        <f aca="true">IF(V117="","",IF(V117&lt;&gt;"Yes","N/A",IF(AC117="","NO EXPIRY SET",IF(TODAY()&gt;AC117,"EXPIRED",IF(AC117-TODAY()&lt;=30,"Expiring Soon","Active")))))</f>
        <v/>
      </c>
      <c r="AE117" s="36"/>
      <c r="AF117" s="36"/>
      <c r="AG117" s="37"/>
      <c r="AH117" s="36"/>
      <c r="AI117" s="37"/>
      <c r="AJ117" s="37"/>
      <c r="AK117" s="37"/>
      <c r="AL117" s="37"/>
      <c r="AM117" s="38"/>
      <c r="AN117" s="37"/>
      <c r="AO117" s="37"/>
      <c r="AP117" s="41" t="str">
        <f aca="false">IF(AM117="","",AM117+90)</f>
        <v/>
      </c>
      <c r="AQ117" s="39" t="str">
        <f aca="true">IF(C117="","",IF(AM117="","NOT REVIEWED",IF(TODAY()&gt;AP117,"OVERDUE",IF(AP117-TODAY()&lt;=14,"Due Soon","Current"))))</f>
        <v/>
      </c>
      <c r="AR117" s="36"/>
    </row>
    <row r="118" customFormat="false" ht="15" hidden="false" customHeight="false" outlineLevel="0" collapsed="false">
      <c r="A118" s="36"/>
      <c r="B118" s="36"/>
      <c r="C118" s="36"/>
      <c r="D118" s="36"/>
      <c r="E118" s="37"/>
      <c r="F118" s="37"/>
      <c r="G118" s="37"/>
      <c r="H118" s="38"/>
      <c r="I118" s="38"/>
      <c r="J118" s="38"/>
      <c r="K118" s="37"/>
      <c r="L118" s="36"/>
      <c r="M118" s="36"/>
      <c r="N118" s="37"/>
      <c r="O118" s="37"/>
      <c r="P118" s="36"/>
      <c r="Q118" s="39" t="str">
        <f aca="true">IF(J118="","",TODAY()-J118)</f>
        <v/>
      </c>
      <c r="R118" s="37"/>
      <c r="S118" s="40" t="str">
        <f aca="false">IFERROR(INDEX('Azure Resource Map'!$D$2:$D$2001,MATCH($C118,'Azure Resource Map'!$A$2:$A$2001,0)),"")</f>
        <v/>
      </c>
      <c r="T118" s="39" t="str">
        <f aca="false">IFERROR(INDEX('Azure Resource Map'!$E$2:$E$2001,MATCH($C118,'Azure Resource Map'!$A$2:$A$2001,0)),"")</f>
        <v/>
      </c>
      <c r="U118" s="39" t="str">
        <f aca="false">IFERROR(INDEX('Azure Resource Map'!$F$2:$F$2001,MATCH($C118,'Azure Resource Map'!$A$2:$A$2001,0)),"")</f>
        <v/>
      </c>
      <c r="V118" s="39" t="str">
        <f aca="false">IF($C118="","",IF(ISNUMBER(MATCH($C118,'CA Exclusion Map'!$A$2:$A$2001,0)),"Yes","No"))</f>
        <v/>
      </c>
      <c r="W118" s="39" t="str">
        <f aca="false">IFERROR(INDEX('CA Exclusion Map'!$D$2:$D$2001,MATCH($C118,'CA Exclusion Map'!$A$2:$A$2001,0)),"")</f>
        <v/>
      </c>
      <c r="X118" s="40" t="str">
        <f aca="false">IFERROR(INDEX('CA Exclusion Map'!$E$2:$E$2001,MATCH($C118,'CA Exclusion Map'!$A$2:$A$2001,0)),"")</f>
        <v/>
      </c>
      <c r="Y118" s="40" t="str">
        <f aca="false">IFERROR(INDEX('CA Exclusion Map'!$F$2:$F$2001,MATCH($C118,'CA Exclusion Map'!$A$2:$A$2001,0)),"")</f>
        <v/>
      </c>
      <c r="Z118" s="36"/>
      <c r="AA118" s="37"/>
      <c r="AB118" s="38"/>
      <c r="AC118" s="38"/>
      <c r="AD118" s="39" t="str">
        <f aca="true">IF(V118="","",IF(V118&lt;&gt;"Yes","N/A",IF(AC118="","NO EXPIRY SET",IF(TODAY()&gt;AC118,"EXPIRED",IF(AC118-TODAY()&lt;=30,"Expiring Soon","Active")))))</f>
        <v/>
      </c>
      <c r="AE118" s="36"/>
      <c r="AF118" s="36"/>
      <c r="AG118" s="37"/>
      <c r="AH118" s="36"/>
      <c r="AI118" s="37"/>
      <c r="AJ118" s="37"/>
      <c r="AK118" s="37"/>
      <c r="AL118" s="37"/>
      <c r="AM118" s="38"/>
      <c r="AN118" s="37"/>
      <c r="AO118" s="37"/>
      <c r="AP118" s="41" t="str">
        <f aca="false">IF(AM118="","",AM118+90)</f>
        <v/>
      </c>
      <c r="AQ118" s="39" t="str">
        <f aca="true">IF(C118="","",IF(AM118="","NOT REVIEWED",IF(TODAY()&gt;AP118,"OVERDUE",IF(AP118-TODAY()&lt;=14,"Due Soon","Current"))))</f>
        <v/>
      </c>
      <c r="AR118" s="36"/>
    </row>
    <row r="119" customFormat="false" ht="15" hidden="false" customHeight="false" outlineLevel="0" collapsed="false">
      <c r="A119" s="36"/>
      <c r="B119" s="36"/>
      <c r="C119" s="36"/>
      <c r="D119" s="36"/>
      <c r="E119" s="37"/>
      <c r="F119" s="37"/>
      <c r="G119" s="37"/>
      <c r="H119" s="38"/>
      <c r="I119" s="38"/>
      <c r="J119" s="38"/>
      <c r="K119" s="37"/>
      <c r="L119" s="36"/>
      <c r="M119" s="36"/>
      <c r="N119" s="37"/>
      <c r="O119" s="37"/>
      <c r="P119" s="36"/>
      <c r="Q119" s="39" t="str">
        <f aca="true">IF(J119="","",TODAY()-J119)</f>
        <v/>
      </c>
      <c r="R119" s="37"/>
      <c r="S119" s="40" t="str">
        <f aca="false">IFERROR(INDEX('Azure Resource Map'!$D$2:$D$2001,MATCH($C119,'Azure Resource Map'!$A$2:$A$2001,0)),"")</f>
        <v/>
      </c>
      <c r="T119" s="39" t="str">
        <f aca="false">IFERROR(INDEX('Azure Resource Map'!$E$2:$E$2001,MATCH($C119,'Azure Resource Map'!$A$2:$A$2001,0)),"")</f>
        <v/>
      </c>
      <c r="U119" s="39" t="str">
        <f aca="false">IFERROR(INDEX('Azure Resource Map'!$F$2:$F$2001,MATCH($C119,'Azure Resource Map'!$A$2:$A$2001,0)),"")</f>
        <v/>
      </c>
      <c r="V119" s="39" t="str">
        <f aca="false">IF($C119="","",IF(ISNUMBER(MATCH($C119,'CA Exclusion Map'!$A$2:$A$2001,0)),"Yes","No"))</f>
        <v/>
      </c>
      <c r="W119" s="39" t="str">
        <f aca="false">IFERROR(INDEX('CA Exclusion Map'!$D$2:$D$2001,MATCH($C119,'CA Exclusion Map'!$A$2:$A$2001,0)),"")</f>
        <v/>
      </c>
      <c r="X119" s="40" t="str">
        <f aca="false">IFERROR(INDEX('CA Exclusion Map'!$E$2:$E$2001,MATCH($C119,'CA Exclusion Map'!$A$2:$A$2001,0)),"")</f>
        <v/>
      </c>
      <c r="Y119" s="40" t="str">
        <f aca="false">IFERROR(INDEX('CA Exclusion Map'!$F$2:$F$2001,MATCH($C119,'CA Exclusion Map'!$A$2:$A$2001,0)),"")</f>
        <v/>
      </c>
      <c r="Z119" s="36"/>
      <c r="AA119" s="37"/>
      <c r="AB119" s="38"/>
      <c r="AC119" s="38"/>
      <c r="AD119" s="39" t="str">
        <f aca="true">IF(V119="","",IF(V119&lt;&gt;"Yes","N/A",IF(AC119="","NO EXPIRY SET",IF(TODAY()&gt;AC119,"EXPIRED",IF(AC119-TODAY()&lt;=30,"Expiring Soon","Active")))))</f>
        <v/>
      </c>
      <c r="AE119" s="36"/>
      <c r="AF119" s="36"/>
      <c r="AG119" s="37"/>
      <c r="AH119" s="36"/>
      <c r="AI119" s="37"/>
      <c r="AJ119" s="37"/>
      <c r="AK119" s="37"/>
      <c r="AL119" s="37"/>
      <c r="AM119" s="38"/>
      <c r="AN119" s="37"/>
      <c r="AO119" s="37"/>
      <c r="AP119" s="41" t="str">
        <f aca="false">IF(AM119="","",AM119+90)</f>
        <v/>
      </c>
      <c r="AQ119" s="39" t="str">
        <f aca="true">IF(C119="","",IF(AM119="","NOT REVIEWED",IF(TODAY()&gt;AP119,"OVERDUE",IF(AP119-TODAY()&lt;=14,"Due Soon","Current"))))</f>
        <v/>
      </c>
      <c r="AR119" s="36"/>
    </row>
    <row r="120" customFormat="false" ht="15" hidden="false" customHeight="false" outlineLevel="0" collapsed="false">
      <c r="A120" s="36"/>
      <c r="B120" s="36"/>
      <c r="C120" s="36"/>
      <c r="D120" s="36"/>
      <c r="E120" s="37"/>
      <c r="F120" s="37"/>
      <c r="G120" s="37"/>
      <c r="H120" s="38"/>
      <c r="I120" s="38"/>
      <c r="J120" s="38"/>
      <c r="K120" s="37"/>
      <c r="L120" s="36"/>
      <c r="M120" s="36"/>
      <c r="N120" s="37"/>
      <c r="O120" s="37"/>
      <c r="P120" s="36"/>
      <c r="Q120" s="39" t="str">
        <f aca="true">IF(J120="","",TODAY()-J120)</f>
        <v/>
      </c>
      <c r="R120" s="37"/>
      <c r="S120" s="40" t="str">
        <f aca="false">IFERROR(INDEX('Azure Resource Map'!$D$2:$D$2001,MATCH($C120,'Azure Resource Map'!$A$2:$A$2001,0)),"")</f>
        <v/>
      </c>
      <c r="T120" s="39" t="str">
        <f aca="false">IFERROR(INDEX('Azure Resource Map'!$E$2:$E$2001,MATCH($C120,'Azure Resource Map'!$A$2:$A$2001,0)),"")</f>
        <v/>
      </c>
      <c r="U120" s="39" t="str">
        <f aca="false">IFERROR(INDEX('Azure Resource Map'!$F$2:$F$2001,MATCH($C120,'Azure Resource Map'!$A$2:$A$2001,0)),"")</f>
        <v/>
      </c>
      <c r="V120" s="39" t="str">
        <f aca="false">IF($C120="","",IF(ISNUMBER(MATCH($C120,'CA Exclusion Map'!$A$2:$A$2001,0)),"Yes","No"))</f>
        <v/>
      </c>
      <c r="W120" s="39" t="str">
        <f aca="false">IFERROR(INDEX('CA Exclusion Map'!$D$2:$D$2001,MATCH($C120,'CA Exclusion Map'!$A$2:$A$2001,0)),"")</f>
        <v/>
      </c>
      <c r="X120" s="40" t="str">
        <f aca="false">IFERROR(INDEX('CA Exclusion Map'!$E$2:$E$2001,MATCH($C120,'CA Exclusion Map'!$A$2:$A$2001,0)),"")</f>
        <v/>
      </c>
      <c r="Y120" s="40" t="str">
        <f aca="false">IFERROR(INDEX('CA Exclusion Map'!$F$2:$F$2001,MATCH($C120,'CA Exclusion Map'!$A$2:$A$2001,0)),"")</f>
        <v/>
      </c>
      <c r="Z120" s="36"/>
      <c r="AA120" s="37"/>
      <c r="AB120" s="38"/>
      <c r="AC120" s="38"/>
      <c r="AD120" s="39" t="str">
        <f aca="true">IF(V120="","",IF(V120&lt;&gt;"Yes","N/A",IF(AC120="","NO EXPIRY SET",IF(TODAY()&gt;AC120,"EXPIRED",IF(AC120-TODAY()&lt;=30,"Expiring Soon","Active")))))</f>
        <v/>
      </c>
      <c r="AE120" s="36"/>
      <c r="AF120" s="36"/>
      <c r="AG120" s="37"/>
      <c r="AH120" s="36"/>
      <c r="AI120" s="37"/>
      <c r="AJ120" s="37"/>
      <c r="AK120" s="37"/>
      <c r="AL120" s="37"/>
      <c r="AM120" s="38"/>
      <c r="AN120" s="37"/>
      <c r="AO120" s="37"/>
      <c r="AP120" s="41" t="str">
        <f aca="false">IF(AM120="","",AM120+90)</f>
        <v/>
      </c>
      <c r="AQ120" s="39" t="str">
        <f aca="true">IF(C120="","",IF(AM120="","NOT REVIEWED",IF(TODAY()&gt;AP120,"OVERDUE",IF(AP120-TODAY()&lt;=14,"Due Soon","Current"))))</f>
        <v/>
      </c>
      <c r="AR120" s="36"/>
    </row>
    <row r="121" customFormat="false" ht="15" hidden="false" customHeight="false" outlineLevel="0" collapsed="false">
      <c r="A121" s="36"/>
      <c r="B121" s="36"/>
      <c r="C121" s="36"/>
      <c r="D121" s="36"/>
      <c r="E121" s="37"/>
      <c r="F121" s="37"/>
      <c r="G121" s="37"/>
      <c r="H121" s="38"/>
      <c r="I121" s="38"/>
      <c r="J121" s="38"/>
      <c r="K121" s="37"/>
      <c r="L121" s="36"/>
      <c r="M121" s="36"/>
      <c r="N121" s="37"/>
      <c r="O121" s="37"/>
      <c r="P121" s="36"/>
      <c r="Q121" s="39" t="str">
        <f aca="true">IF(J121="","",TODAY()-J121)</f>
        <v/>
      </c>
      <c r="R121" s="37"/>
      <c r="S121" s="40" t="str">
        <f aca="false">IFERROR(INDEX('Azure Resource Map'!$D$2:$D$2001,MATCH($C121,'Azure Resource Map'!$A$2:$A$2001,0)),"")</f>
        <v/>
      </c>
      <c r="T121" s="39" t="str">
        <f aca="false">IFERROR(INDEX('Azure Resource Map'!$E$2:$E$2001,MATCH($C121,'Azure Resource Map'!$A$2:$A$2001,0)),"")</f>
        <v/>
      </c>
      <c r="U121" s="39" t="str">
        <f aca="false">IFERROR(INDEX('Azure Resource Map'!$F$2:$F$2001,MATCH($C121,'Azure Resource Map'!$A$2:$A$2001,0)),"")</f>
        <v/>
      </c>
      <c r="V121" s="39" t="str">
        <f aca="false">IF($C121="","",IF(ISNUMBER(MATCH($C121,'CA Exclusion Map'!$A$2:$A$2001,0)),"Yes","No"))</f>
        <v/>
      </c>
      <c r="W121" s="39" t="str">
        <f aca="false">IFERROR(INDEX('CA Exclusion Map'!$D$2:$D$2001,MATCH($C121,'CA Exclusion Map'!$A$2:$A$2001,0)),"")</f>
        <v/>
      </c>
      <c r="X121" s="40" t="str">
        <f aca="false">IFERROR(INDEX('CA Exclusion Map'!$E$2:$E$2001,MATCH($C121,'CA Exclusion Map'!$A$2:$A$2001,0)),"")</f>
        <v/>
      </c>
      <c r="Y121" s="40" t="str">
        <f aca="false">IFERROR(INDEX('CA Exclusion Map'!$F$2:$F$2001,MATCH($C121,'CA Exclusion Map'!$A$2:$A$2001,0)),"")</f>
        <v/>
      </c>
      <c r="Z121" s="36"/>
      <c r="AA121" s="37"/>
      <c r="AB121" s="38"/>
      <c r="AC121" s="38"/>
      <c r="AD121" s="39" t="str">
        <f aca="true">IF(V121="","",IF(V121&lt;&gt;"Yes","N/A",IF(AC121="","NO EXPIRY SET",IF(TODAY()&gt;AC121,"EXPIRED",IF(AC121-TODAY()&lt;=30,"Expiring Soon","Active")))))</f>
        <v/>
      </c>
      <c r="AE121" s="36"/>
      <c r="AF121" s="36"/>
      <c r="AG121" s="37"/>
      <c r="AH121" s="36"/>
      <c r="AI121" s="37"/>
      <c r="AJ121" s="37"/>
      <c r="AK121" s="37"/>
      <c r="AL121" s="37"/>
      <c r="AM121" s="38"/>
      <c r="AN121" s="37"/>
      <c r="AO121" s="37"/>
      <c r="AP121" s="41" t="str">
        <f aca="false">IF(AM121="","",AM121+90)</f>
        <v/>
      </c>
      <c r="AQ121" s="39" t="str">
        <f aca="true">IF(C121="","",IF(AM121="","NOT REVIEWED",IF(TODAY()&gt;AP121,"OVERDUE",IF(AP121-TODAY()&lt;=14,"Due Soon","Current"))))</f>
        <v/>
      </c>
      <c r="AR121" s="36"/>
    </row>
    <row r="122" customFormat="false" ht="15" hidden="false" customHeight="false" outlineLevel="0" collapsed="false">
      <c r="A122" s="36"/>
      <c r="B122" s="36"/>
      <c r="C122" s="36"/>
      <c r="D122" s="36"/>
      <c r="E122" s="37"/>
      <c r="F122" s="37"/>
      <c r="G122" s="37"/>
      <c r="H122" s="38"/>
      <c r="I122" s="38"/>
      <c r="J122" s="38"/>
      <c r="K122" s="37"/>
      <c r="L122" s="36"/>
      <c r="M122" s="36"/>
      <c r="N122" s="37"/>
      <c r="O122" s="37"/>
      <c r="P122" s="36"/>
      <c r="Q122" s="39" t="str">
        <f aca="true">IF(J122="","",TODAY()-J122)</f>
        <v/>
      </c>
      <c r="R122" s="37"/>
      <c r="S122" s="40" t="str">
        <f aca="false">IFERROR(INDEX('Azure Resource Map'!$D$2:$D$2001,MATCH($C122,'Azure Resource Map'!$A$2:$A$2001,0)),"")</f>
        <v/>
      </c>
      <c r="T122" s="39" t="str">
        <f aca="false">IFERROR(INDEX('Azure Resource Map'!$E$2:$E$2001,MATCH($C122,'Azure Resource Map'!$A$2:$A$2001,0)),"")</f>
        <v/>
      </c>
      <c r="U122" s="39" t="str">
        <f aca="false">IFERROR(INDEX('Azure Resource Map'!$F$2:$F$2001,MATCH($C122,'Azure Resource Map'!$A$2:$A$2001,0)),"")</f>
        <v/>
      </c>
      <c r="V122" s="39" t="str">
        <f aca="false">IF($C122="","",IF(ISNUMBER(MATCH($C122,'CA Exclusion Map'!$A$2:$A$2001,0)),"Yes","No"))</f>
        <v/>
      </c>
      <c r="W122" s="39" t="str">
        <f aca="false">IFERROR(INDEX('CA Exclusion Map'!$D$2:$D$2001,MATCH($C122,'CA Exclusion Map'!$A$2:$A$2001,0)),"")</f>
        <v/>
      </c>
      <c r="X122" s="40" t="str">
        <f aca="false">IFERROR(INDEX('CA Exclusion Map'!$E$2:$E$2001,MATCH($C122,'CA Exclusion Map'!$A$2:$A$2001,0)),"")</f>
        <v/>
      </c>
      <c r="Y122" s="40" t="str">
        <f aca="false">IFERROR(INDEX('CA Exclusion Map'!$F$2:$F$2001,MATCH($C122,'CA Exclusion Map'!$A$2:$A$2001,0)),"")</f>
        <v/>
      </c>
      <c r="Z122" s="36"/>
      <c r="AA122" s="37"/>
      <c r="AB122" s="38"/>
      <c r="AC122" s="38"/>
      <c r="AD122" s="39" t="str">
        <f aca="true">IF(V122="","",IF(V122&lt;&gt;"Yes","N/A",IF(AC122="","NO EXPIRY SET",IF(TODAY()&gt;AC122,"EXPIRED",IF(AC122-TODAY()&lt;=30,"Expiring Soon","Active")))))</f>
        <v/>
      </c>
      <c r="AE122" s="36"/>
      <c r="AF122" s="36"/>
      <c r="AG122" s="37"/>
      <c r="AH122" s="36"/>
      <c r="AI122" s="37"/>
      <c r="AJ122" s="37"/>
      <c r="AK122" s="37"/>
      <c r="AL122" s="37"/>
      <c r="AM122" s="38"/>
      <c r="AN122" s="37"/>
      <c r="AO122" s="37"/>
      <c r="AP122" s="41" t="str">
        <f aca="false">IF(AM122="","",AM122+90)</f>
        <v/>
      </c>
      <c r="AQ122" s="39" t="str">
        <f aca="true">IF(C122="","",IF(AM122="","NOT REVIEWED",IF(TODAY()&gt;AP122,"OVERDUE",IF(AP122-TODAY()&lt;=14,"Due Soon","Current"))))</f>
        <v/>
      </c>
      <c r="AR122" s="36"/>
    </row>
    <row r="123" customFormat="false" ht="15" hidden="false" customHeight="false" outlineLevel="0" collapsed="false">
      <c r="A123" s="36"/>
      <c r="B123" s="36"/>
      <c r="C123" s="36"/>
      <c r="D123" s="36"/>
      <c r="E123" s="37"/>
      <c r="F123" s="37"/>
      <c r="G123" s="37"/>
      <c r="H123" s="38"/>
      <c r="I123" s="38"/>
      <c r="J123" s="38"/>
      <c r="K123" s="37"/>
      <c r="L123" s="36"/>
      <c r="M123" s="36"/>
      <c r="N123" s="37"/>
      <c r="O123" s="37"/>
      <c r="P123" s="36"/>
      <c r="Q123" s="39" t="str">
        <f aca="true">IF(J123="","",TODAY()-J123)</f>
        <v/>
      </c>
      <c r="R123" s="37"/>
      <c r="S123" s="40" t="str">
        <f aca="false">IFERROR(INDEX('Azure Resource Map'!$D$2:$D$2001,MATCH($C123,'Azure Resource Map'!$A$2:$A$2001,0)),"")</f>
        <v/>
      </c>
      <c r="T123" s="39" t="str">
        <f aca="false">IFERROR(INDEX('Azure Resource Map'!$E$2:$E$2001,MATCH($C123,'Azure Resource Map'!$A$2:$A$2001,0)),"")</f>
        <v/>
      </c>
      <c r="U123" s="39" t="str">
        <f aca="false">IFERROR(INDEX('Azure Resource Map'!$F$2:$F$2001,MATCH($C123,'Azure Resource Map'!$A$2:$A$2001,0)),"")</f>
        <v/>
      </c>
      <c r="V123" s="39" t="str">
        <f aca="false">IF($C123="","",IF(ISNUMBER(MATCH($C123,'CA Exclusion Map'!$A$2:$A$2001,0)),"Yes","No"))</f>
        <v/>
      </c>
      <c r="W123" s="39" t="str">
        <f aca="false">IFERROR(INDEX('CA Exclusion Map'!$D$2:$D$2001,MATCH($C123,'CA Exclusion Map'!$A$2:$A$2001,0)),"")</f>
        <v/>
      </c>
      <c r="X123" s="40" t="str">
        <f aca="false">IFERROR(INDEX('CA Exclusion Map'!$E$2:$E$2001,MATCH($C123,'CA Exclusion Map'!$A$2:$A$2001,0)),"")</f>
        <v/>
      </c>
      <c r="Y123" s="40" t="str">
        <f aca="false">IFERROR(INDEX('CA Exclusion Map'!$F$2:$F$2001,MATCH($C123,'CA Exclusion Map'!$A$2:$A$2001,0)),"")</f>
        <v/>
      </c>
      <c r="Z123" s="36"/>
      <c r="AA123" s="37"/>
      <c r="AB123" s="38"/>
      <c r="AC123" s="38"/>
      <c r="AD123" s="39" t="str">
        <f aca="true">IF(V123="","",IF(V123&lt;&gt;"Yes","N/A",IF(AC123="","NO EXPIRY SET",IF(TODAY()&gt;AC123,"EXPIRED",IF(AC123-TODAY()&lt;=30,"Expiring Soon","Active")))))</f>
        <v/>
      </c>
      <c r="AE123" s="36"/>
      <c r="AF123" s="36"/>
      <c r="AG123" s="37"/>
      <c r="AH123" s="36"/>
      <c r="AI123" s="37"/>
      <c r="AJ123" s="37"/>
      <c r="AK123" s="37"/>
      <c r="AL123" s="37"/>
      <c r="AM123" s="38"/>
      <c r="AN123" s="37"/>
      <c r="AO123" s="37"/>
      <c r="AP123" s="41" t="str">
        <f aca="false">IF(AM123="","",AM123+90)</f>
        <v/>
      </c>
      <c r="AQ123" s="39" t="str">
        <f aca="true">IF(C123="","",IF(AM123="","NOT REVIEWED",IF(TODAY()&gt;AP123,"OVERDUE",IF(AP123-TODAY()&lt;=14,"Due Soon","Current"))))</f>
        <v/>
      </c>
      <c r="AR123" s="36"/>
    </row>
    <row r="124" customFormat="false" ht="15" hidden="false" customHeight="false" outlineLevel="0" collapsed="false">
      <c r="A124" s="36"/>
      <c r="B124" s="36"/>
      <c r="C124" s="36"/>
      <c r="D124" s="36"/>
      <c r="E124" s="37"/>
      <c r="F124" s="37"/>
      <c r="G124" s="37"/>
      <c r="H124" s="38"/>
      <c r="I124" s="38"/>
      <c r="J124" s="38"/>
      <c r="K124" s="37"/>
      <c r="L124" s="36"/>
      <c r="M124" s="36"/>
      <c r="N124" s="37"/>
      <c r="O124" s="37"/>
      <c r="P124" s="36"/>
      <c r="Q124" s="39" t="str">
        <f aca="true">IF(J124="","",TODAY()-J124)</f>
        <v/>
      </c>
      <c r="R124" s="37"/>
      <c r="S124" s="40" t="str">
        <f aca="false">IFERROR(INDEX('Azure Resource Map'!$D$2:$D$2001,MATCH($C124,'Azure Resource Map'!$A$2:$A$2001,0)),"")</f>
        <v/>
      </c>
      <c r="T124" s="39" t="str">
        <f aca="false">IFERROR(INDEX('Azure Resource Map'!$E$2:$E$2001,MATCH($C124,'Azure Resource Map'!$A$2:$A$2001,0)),"")</f>
        <v/>
      </c>
      <c r="U124" s="39" t="str">
        <f aca="false">IFERROR(INDEX('Azure Resource Map'!$F$2:$F$2001,MATCH($C124,'Azure Resource Map'!$A$2:$A$2001,0)),"")</f>
        <v/>
      </c>
      <c r="V124" s="39" t="str">
        <f aca="false">IF($C124="","",IF(ISNUMBER(MATCH($C124,'CA Exclusion Map'!$A$2:$A$2001,0)),"Yes","No"))</f>
        <v/>
      </c>
      <c r="W124" s="39" t="str">
        <f aca="false">IFERROR(INDEX('CA Exclusion Map'!$D$2:$D$2001,MATCH($C124,'CA Exclusion Map'!$A$2:$A$2001,0)),"")</f>
        <v/>
      </c>
      <c r="X124" s="40" t="str">
        <f aca="false">IFERROR(INDEX('CA Exclusion Map'!$E$2:$E$2001,MATCH($C124,'CA Exclusion Map'!$A$2:$A$2001,0)),"")</f>
        <v/>
      </c>
      <c r="Y124" s="40" t="str">
        <f aca="false">IFERROR(INDEX('CA Exclusion Map'!$F$2:$F$2001,MATCH($C124,'CA Exclusion Map'!$A$2:$A$2001,0)),"")</f>
        <v/>
      </c>
      <c r="Z124" s="36"/>
      <c r="AA124" s="37"/>
      <c r="AB124" s="38"/>
      <c r="AC124" s="38"/>
      <c r="AD124" s="39" t="str">
        <f aca="true">IF(V124="","",IF(V124&lt;&gt;"Yes","N/A",IF(AC124="","NO EXPIRY SET",IF(TODAY()&gt;AC124,"EXPIRED",IF(AC124-TODAY()&lt;=30,"Expiring Soon","Active")))))</f>
        <v/>
      </c>
      <c r="AE124" s="36"/>
      <c r="AF124" s="36"/>
      <c r="AG124" s="37"/>
      <c r="AH124" s="36"/>
      <c r="AI124" s="37"/>
      <c r="AJ124" s="37"/>
      <c r="AK124" s="37"/>
      <c r="AL124" s="37"/>
      <c r="AM124" s="38"/>
      <c r="AN124" s="37"/>
      <c r="AO124" s="37"/>
      <c r="AP124" s="41" t="str">
        <f aca="false">IF(AM124="","",AM124+90)</f>
        <v/>
      </c>
      <c r="AQ124" s="39" t="str">
        <f aca="true">IF(C124="","",IF(AM124="","NOT REVIEWED",IF(TODAY()&gt;AP124,"OVERDUE",IF(AP124-TODAY()&lt;=14,"Due Soon","Current"))))</f>
        <v/>
      </c>
      <c r="AR124" s="36"/>
    </row>
    <row r="125" customFormat="false" ht="15" hidden="false" customHeight="false" outlineLevel="0" collapsed="false">
      <c r="A125" s="36"/>
      <c r="B125" s="36"/>
      <c r="C125" s="36"/>
      <c r="D125" s="36"/>
      <c r="E125" s="37"/>
      <c r="F125" s="37"/>
      <c r="G125" s="37"/>
      <c r="H125" s="38"/>
      <c r="I125" s="38"/>
      <c r="J125" s="38"/>
      <c r="K125" s="37"/>
      <c r="L125" s="36"/>
      <c r="M125" s="36"/>
      <c r="N125" s="37"/>
      <c r="O125" s="37"/>
      <c r="P125" s="36"/>
      <c r="Q125" s="39" t="str">
        <f aca="true">IF(J125="","",TODAY()-J125)</f>
        <v/>
      </c>
      <c r="R125" s="37"/>
      <c r="S125" s="40" t="str">
        <f aca="false">IFERROR(INDEX('Azure Resource Map'!$D$2:$D$2001,MATCH($C125,'Azure Resource Map'!$A$2:$A$2001,0)),"")</f>
        <v/>
      </c>
      <c r="T125" s="39" t="str">
        <f aca="false">IFERROR(INDEX('Azure Resource Map'!$E$2:$E$2001,MATCH($C125,'Azure Resource Map'!$A$2:$A$2001,0)),"")</f>
        <v/>
      </c>
      <c r="U125" s="39" t="str">
        <f aca="false">IFERROR(INDEX('Azure Resource Map'!$F$2:$F$2001,MATCH($C125,'Azure Resource Map'!$A$2:$A$2001,0)),"")</f>
        <v/>
      </c>
      <c r="V125" s="39" t="str">
        <f aca="false">IF($C125="","",IF(ISNUMBER(MATCH($C125,'CA Exclusion Map'!$A$2:$A$2001,0)),"Yes","No"))</f>
        <v/>
      </c>
      <c r="W125" s="39" t="str">
        <f aca="false">IFERROR(INDEX('CA Exclusion Map'!$D$2:$D$2001,MATCH($C125,'CA Exclusion Map'!$A$2:$A$2001,0)),"")</f>
        <v/>
      </c>
      <c r="X125" s="40" t="str">
        <f aca="false">IFERROR(INDEX('CA Exclusion Map'!$E$2:$E$2001,MATCH($C125,'CA Exclusion Map'!$A$2:$A$2001,0)),"")</f>
        <v/>
      </c>
      <c r="Y125" s="40" t="str">
        <f aca="false">IFERROR(INDEX('CA Exclusion Map'!$F$2:$F$2001,MATCH($C125,'CA Exclusion Map'!$A$2:$A$2001,0)),"")</f>
        <v/>
      </c>
      <c r="Z125" s="36"/>
      <c r="AA125" s="37"/>
      <c r="AB125" s="38"/>
      <c r="AC125" s="38"/>
      <c r="AD125" s="39" t="str">
        <f aca="true">IF(V125="","",IF(V125&lt;&gt;"Yes","N/A",IF(AC125="","NO EXPIRY SET",IF(TODAY()&gt;AC125,"EXPIRED",IF(AC125-TODAY()&lt;=30,"Expiring Soon","Active")))))</f>
        <v/>
      </c>
      <c r="AE125" s="36"/>
      <c r="AF125" s="36"/>
      <c r="AG125" s="37"/>
      <c r="AH125" s="36"/>
      <c r="AI125" s="37"/>
      <c r="AJ125" s="37"/>
      <c r="AK125" s="37"/>
      <c r="AL125" s="37"/>
      <c r="AM125" s="38"/>
      <c r="AN125" s="37"/>
      <c r="AO125" s="37"/>
      <c r="AP125" s="41" t="str">
        <f aca="false">IF(AM125="","",AM125+90)</f>
        <v/>
      </c>
      <c r="AQ125" s="39" t="str">
        <f aca="true">IF(C125="","",IF(AM125="","NOT REVIEWED",IF(TODAY()&gt;AP125,"OVERDUE",IF(AP125-TODAY()&lt;=14,"Due Soon","Current"))))</f>
        <v/>
      </c>
      <c r="AR125" s="36"/>
    </row>
    <row r="126" customFormat="false" ht="15" hidden="false" customHeight="false" outlineLevel="0" collapsed="false">
      <c r="A126" s="36"/>
      <c r="B126" s="36"/>
      <c r="C126" s="36"/>
      <c r="D126" s="36"/>
      <c r="E126" s="37"/>
      <c r="F126" s="37"/>
      <c r="G126" s="37"/>
      <c r="H126" s="38"/>
      <c r="I126" s="38"/>
      <c r="J126" s="38"/>
      <c r="K126" s="37"/>
      <c r="L126" s="36"/>
      <c r="M126" s="36"/>
      <c r="N126" s="37"/>
      <c r="O126" s="37"/>
      <c r="P126" s="36"/>
      <c r="Q126" s="39" t="str">
        <f aca="true">IF(J126="","",TODAY()-J126)</f>
        <v/>
      </c>
      <c r="R126" s="37"/>
      <c r="S126" s="40" t="str">
        <f aca="false">IFERROR(INDEX('Azure Resource Map'!$D$2:$D$2001,MATCH($C126,'Azure Resource Map'!$A$2:$A$2001,0)),"")</f>
        <v/>
      </c>
      <c r="T126" s="39" t="str">
        <f aca="false">IFERROR(INDEX('Azure Resource Map'!$E$2:$E$2001,MATCH($C126,'Azure Resource Map'!$A$2:$A$2001,0)),"")</f>
        <v/>
      </c>
      <c r="U126" s="39" t="str">
        <f aca="false">IFERROR(INDEX('Azure Resource Map'!$F$2:$F$2001,MATCH($C126,'Azure Resource Map'!$A$2:$A$2001,0)),"")</f>
        <v/>
      </c>
      <c r="V126" s="39" t="str">
        <f aca="false">IF($C126="","",IF(ISNUMBER(MATCH($C126,'CA Exclusion Map'!$A$2:$A$2001,0)),"Yes","No"))</f>
        <v/>
      </c>
      <c r="W126" s="39" t="str">
        <f aca="false">IFERROR(INDEX('CA Exclusion Map'!$D$2:$D$2001,MATCH($C126,'CA Exclusion Map'!$A$2:$A$2001,0)),"")</f>
        <v/>
      </c>
      <c r="X126" s="40" t="str">
        <f aca="false">IFERROR(INDEX('CA Exclusion Map'!$E$2:$E$2001,MATCH($C126,'CA Exclusion Map'!$A$2:$A$2001,0)),"")</f>
        <v/>
      </c>
      <c r="Y126" s="40" t="str">
        <f aca="false">IFERROR(INDEX('CA Exclusion Map'!$F$2:$F$2001,MATCH($C126,'CA Exclusion Map'!$A$2:$A$2001,0)),"")</f>
        <v/>
      </c>
      <c r="Z126" s="36"/>
      <c r="AA126" s="37"/>
      <c r="AB126" s="38"/>
      <c r="AC126" s="38"/>
      <c r="AD126" s="39" t="str">
        <f aca="true">IF(V126="","",IF(V126&lt;&gt;"Yes","N/A",IF(AC126="","NO EXPIRY SET",IF(TODAY()&gt;AC126,"EXPIRED",IF(AC126-TODAY()&lt;=30,"Expiring Soon","Active")))))</f>
        <v/>
      </c>
      <c r="AE126" s="36"/>
      <c r="AF126" s="36"/>
      <c r="AG126" s="37"/>
      <c r="AH126" s="36"/>
      <c r="AI126" s="37"/>
      <c r="AJ126" s="37"/>
      <c r="AK126" s="37"/>
      <c r="AL126" s="37"/>
      <c r="AM126" s="38"/>
      <c r="AN126" s="37"/>
      <c r="AO126" s="37"/>
      <c r="AP126" s="41" t="str">
        <f aca="false">IF(AM126="","",AM126+90)</f>
        <v/>
      </c>
      <c r="AQ126" s="39" t="str">
        <f aca="true">IF(C126="","",IF(AM126="","NOT REVIEWED",IF(TODAY()&gt;AP126,"OVERDUE",IF(AP126-TODAY()&lt;=14,"Due Soon","Current"))))</f>
        <v/>
      </c>
      <c r="AR126" s="36"/>
    </row>
    <row r="127" customFormat="false" ht="15" hidden="false" customHeight="false" outlineLevel="0" collapsed="false">
      <c r="A127" s="36"/>
      <c r="B127" s="36"/>
      <c r="C127" s="36"/>
      <c r="D127" s="36"/>
      <c r="E127" s="37"/>
      <c r="F127" s="37"/>
      <c r="G127" s="37"/>
      <c r="H127" s="38"/>
      <c r="I127" s="38"/>
      <c r="J127" s="38"/>
      <c r="K127" s="37"/>
      <c r="L127" s="36"/>
      <c r="M127" s="36"/>
      <c r="N127" s="37"/>
      <c r="O127" s="37"/>
      <c r="P127" s="36"/>
      <c r="Q127" s="39" t="str">
        <f aca="true">IF(J127="","",TODAY()-J127)</f>
        <v/>
      </c>
      <c r="R127" s="37"/>
      <c r="S127" s="40" t="str">
        <f aca="false">IFERROR(INDEX('Azure Resource Map'!$D$2:$D$2001,MATCH($C127,'Azure Resource Map'!$A$2:$A$2001,0)),"")</f>
        <v/>
      </c>
      <c r="T127" s="39" t="str">
        <f aca="false">IFERROR(INDEX('Azure Resource Map'!$E$2:$E$2001,MATCH($C127,'Azure Resource Map'!$A$2:$A$2001,0)),"")</f>
        <v/>
      </c>
      <c r="U127" s="39" t="str">
        <f aca="false">IFERROR(INDEX('Azure Resource Map'!$F$2:$F$2001,MATCH($C127,'Azure Resource Map'!$A$2:$A$2001,0)),"")</f>
        <v/>
      </c>
      <c r="V127" s="39" t="str">
        <f aca="false">IF($C127="","",IF(ISNUMBER(MATCH($C127,'CA Exclusion Map'!$A$2:$A$2001,0)),"Yes","No"))</f>
        <v/>
      </c>
      <c r="W127" s="39" t="str">
        <f aca="false">IFERROR(INDEX('CA Exclusion Map'!$D$2:$D$2001,MATCH($C127,'CA Exclusion Map'!$A$2:$A$2001,0)),"")</f>
        <v/>
      </c>
      <c r="X127" s="40" t="str">
        <f aca="false">IFERROR(INDEX('CA Exclusion Map'!$E$2:$E$2001,MATCH($C127,'CA Exclusion Map'!$A$2:$A$2001,0)),"")</f>
        <v/>
      </c>
      <c r="Y127" s="40" t="str">
        <f aca="false">IFERROR(INDEX('CA Exclusion Map'!$F$2:$F$2001,MATCH($C127,'CA Exclusion Map'!$A$2:$A$2001,0)),"")</f>
        <v/>
      </c>
      <c r="Z127" s="36"/>
      <c r="AA127" s="37"/>
      <c r="AB127" s="38"/>
      <c r="AC127" s="38"/>
      <c r="AD127" s="39" t="str">
        <f aca="true">IF(V127="","",IF(V127&lt;&gt;"Yes","N/A",IF(AC127="","NO EXPIRY SET",IF(TODAY()&gt;AC127,"EXPIRED",IF(AC127-TODAY()&lt;=30,"Expiring Soon","Active")))))</f>
        <v/>
      </c>
      <c r="AE127" s="36"/>
      <c r="AF127" s="36"/>
      <c r="AG127" s="37"/>
      <c r="AH127" s="36"/>
      <c r="AI127" s="37"/>
      <c r="AJ127" s="37"/>
      <c r="AK127" s="37"/>
      <c r="AL127" s="37"/>
      <c r="AM127" s="38"/>
      <c r="AN127" s="37"/>
      <c r="AO127" s="37"/>
      <c r="AP127" s="41" t="str">
        <f aca="false">IF(AM127="","",AM127+90)</f>
        <v/>
      </c>
      <c r="AQ127" s="39" t="str">
        <f aca="true">IF(C127="","",IF(AM127="","NOT REVIEWED",IF(TODAY()&gt;AP127,"OVERDUE",IF(AP127-TODAY()&lt;=14,"Due Soon","Current"))))</f>
        <v/>
      </c>
      <c r="AR127" s="36"/>
    </row>
    <row r="128" customFormat="false" ht="15" hidden="false" customHeight="false" outlineLevel="0" collapsed="false">
      <c r="A128" s="36"/>
      <c r="B128" s="36"/>
      <c r="C128" s="36"/>
      <c r="D128" s="36"/>
      <c r="E128" s="37"/>
      <c r="F128" s="37"/>
      <c r="G128" s="37"/>
      <c r="H128" s="38"/>
      <c r="I128" s="38"/>
      <c r="J128" s="38"/>
      <c r="K128" s="37"/>
      <c r="L128" s="36"/>
      <c r="M128" s="36"/>
      <c r="N128" s="37"/>
      <c r="O128" s="37"/>
      <c r="P128" s="36"/>
      <c r="Q128" s="39" t="str">
        <f aca="true">IF(J128="","",TODAY()-J128)</f>
        <v/>
      </c>
      <c r="R128" s="37"/>
      <c r="S128" s="40" t="str">
        <f aca="false">IFERROR(INDEX('Azure Resource Map'!$D$2:$D$2001,MATCH($C128,'Azure Resource Map'!$A$2:$A$2001,0)),"")</f>
        <v/>
      </c>
      <c r="T128" s="39" t="str">
        <f aca="false">IFERROR(INDEX('Azure Resource Map'!$E$2:$E$2001,MATCH($C128,'Azure Resource Map'!$A$2:$A$2001,0)),"")</f>
        <v/>
      </c>
      <c r="U128" s="39" t="str">
        <f aca="false">IFERROR(INDEX('Azure Resource Map'!$F$2:$F$2001,MATCH($C128,'Azure Resource Map'!$A$2:$A$2001,0)),"")</f>
        <v/>
      </c>
      <c r="V128" s="39" t="str">
        <f aca="false">IF($C128="","",IF(ISNUMBER(MATCH($C128,'CA Exclusion Map'!$A$2:$A$2001,0)),"Yes","No"))</f>
        <v/>
      </c>
      <c r="W128" s="39" t="str">
        <f aca="false">IFERROR(INDEX('CA Exclusion Map'!$D$2:$D$2001,MATCH($C128,'CA Exclusion Map'!$A$2:$A$2001,0)),"")</f>
        <v/>
      </c>
      <c r="X128" s="40" t="str">
        <f aca="false">IFERROR(INDEX('CA Exclusion Map'!$E$2:$E$2001,MATCH($C128,'CA Exclusion Map'!$A$2:$A$2001,0)),"")</f>
        <v/>
      </c>
      <c r="Y128" s="40" t="str">
        <f aca="false">IFERROR(INDEX('CA Exclusion Map'!$F$2:$F$2001,MATCH($C128,'CA Exclusion Map'!$A$2:$A$2001,0)),"")</f>
        <v/>
      </c>
      <c r="Z128" s="36"/>
      <c r="AA128" s="37"/>
      <c r="AB128" s="38"/>
      <c r="AC128" s="38"/>
      <c r="AD128" s="39" t="str">
        <f aca="true">IF(V128="","",IF(V128&lt;&gt;"Yes","N/A",IF(AC128="","NO EXPIRY SET",IF(TODAY()&gt;AC128,"EXPIRED",IF(AC128-TODAY()&lt;=30,"Expiring Soon","Active")))))</f>
        <v/>
      </c>
      <c r="AE128" s="36"/>
      <c r="AF128" s="36"/>
      <c r="AG128" s="37"/>
      <c r="AH128" s="36"/>
      <c r="AI128" s="37"/>
      <c r="AJ128" s="37"/>
      <c r="AK128" s="37"/>
      <c r="AL128" s="37"/>
      <c r="AM128" s="38"/>
      <c r="AN128" s="37"/>
      <c r="AO128" s="37"/>
      <c r="AP128" s="41" t="str">
        <f aca="false">IF(AM128="","",AM128+90)</f>
        <v/>
      </c>
      <c r="AQ128" s="39" t="str">
        <f aca="true">IF(C128="","",IF(AM128="","NOT REVIEWED",IF(TODAY()&gt;AP128,"OVERDUE",IF(AP128-TODAY()&lt;=14,"Due Soon","Current"))))</f>
        <v/>
      </c>
      <c r="AR128" s="36"/>
    </row>
    <row r="129" customFormat="false" ht="15" hidden="false" customHeight="false" outlineLevel="0" collapsed="false">
      <c r="A129" s="36"/>
      <c r="B129" s="36"/>
      <c r="C129" s="36"/>
      <c r="D129" s="36"/>
      <c r="E129" s="37"/>
      <c r="F129" s="37"/>
      <c r="G129" s="37"/>
      <c r="H129" s="38"/>
      <c r="I129" s="38"/>
      <c r="J129" s="38"/>
      <c r="K129" s="37"/>
      <c r="L129" s="36"/>
      <c r="M129" s="36"/>
      <c r="N129" s="37"/>
      <c r="O129" s="37"/>
      <c r="P129" s="36"/>
      <c r="Q129" s="39" t="str">
        <f aca="true">IF(J129="","",TODAY()-J129)</f>
        <v/>
      </c>
      <c r="R129" s="37"/>
      <c r="S129" s="40" t="str">
        <f aca="false">IFERROR(INDEX('Azure Resource Map'!$D$2:$D$2001,MATCH($C129,'Azure Resource Map'!$A$2:$A$2001,0)),"")</f>
        <v/>
      </c>
      <c r="T129" s="39" t="str">
        <f aca="false">IFERROR(INDEX('Azure Resource Map'!$E$2:$E$2001,MATCH($C129,'Azure Resource Map'!$A$2:$A$2001,0)),"")</f>
        <v/>
      </c>
      <c r="U129" s="39" t="str">
        <f aca="false">IFERROR(INDEX('Azure Resource Map'!$F$2:$F$2001,MATCH($C129,'Azure Resource Map'!$A$2:$A$2001,0)),"")</f>
        <v/>
      </c>
      <c r="V129" s="39" t="str">
        <f aca="false">IF($C129="","",IF(ISNUMBER(MATCH($C129,'CA Exclusion Map'!$A$2:$A$2001,0)),"Yes","No"))</f>
        <v/>
      </c>
      <c r="W129" s="39" t="str">
        <f aca="false">IFERROR(INDEX('CA Exclusion Map'!$D$2:$D$2001,MATCH($C129,'CA Exclusion Map'!$A$2:$A$2001,0)),"")</f>
        <v/>
      </c>
      <c r="X129" s="40" t="str">
        <f aca="false">IFERROR(INDEX('CA Exclusion Map'!$E$2:$E$2001,MATCH($C129,'CA Exclusion Map'!$A$2:$A$2001,0)),"")</f>
        <v/>
      </c>
      <c r="Y129" s="40" t="str">
        <f aca="false">IFERROR(INDEX('CA Exclusion Map'!$F$2:$F$2001,MATCH($C129,'CA Exclusion Map'!$A$2:$A$2001,0)),"")</f>
        <v/>
      </c>
      <c r="Z129" s="36"/>
      <c r="AA129" s="37"/>
      <c r="AB129" s="38"/>
      <c r="AC129" s="38"/>
      <c r="AD129" s="39" t="str">
        <f aca="true">IF(V129="","",IF(V129&lt;&gt;"Yes","N/A",IF(AC129="","NO EXPIRY SET",IF(TODAY()&gt;AC129,"EXPIRED",IF(AC129-TODAY()&lt;=30,"Expiring Soon","Active")))))</f>
        <v/>
      </c>
      <c r="AE129" s="36"/>
      <c r="AF129" s="36"/>
      <c r="AG129" s="37"/>
      <c r="AH129" s="36"/>
      <c r="AI129" s="37"/>
      <c r="AJ129" s="37"/>
      <c r="AK129" s="37"/>
      <c r="AL129" s="37"/>
      <c r="AM129" s="38"/>
      <c r="AN129" s="37"/>
      <c r="AO129" s="37"/>
      <c r="AP129" s="41" t="str">
        <f aca="false">IF(AM129="","",AM129+90)</f>
        <v/>
      </c>
      <c r="AQ129" s="39" t="str">
        <f aca="true">IF(C129="","",IF(AM129="","NOT REVIEWED",IF(TODAY()&gt;AP129,"OVERDUE",IF(AP129-TODAY()&lt;=14,"Due Soon","Current"))))</f>
        <v/>
      </c>
      <c r="AR129" s="36"/>
    </row>
    <row r="130" customFormat="false" ht="15" hidden="false" customHeight="false" outlineLevel="0" collapsed="false">
      <c r="A130" s="36"/>
      <c r="B130" s="36"/>
      <c r="C130" s="36"/>
      <c r="D130" s="36"/>
      <c r="E130" s="37"/>
      <c r="F130" s="37"/>
      <c r="G130" s="37"/>
      <c r="H130" s="38"/>
      <c r="I130" s="38"/>
      <c r="J130" s="38"/>
      <c r="K130" s="37"/>
      <c r="L130" s="36"/>
      <c r="M130" s="36"/>
      <c r="N130" s="37"/>
      <c r="O130" s="37"/>
      <c r="P130" s="36"/>
      <c r="Q130" s="39" t="str">
        <f aca="true">IF(J130="","",TODAY()-J130)</f>
        <v/>
      </c>
      <c r="R130" s="37"/>
      <c r="S130" s="40" t="str">
        <f aca="false">IFERROR(INDEX('Azure Resource Map'!$D$2:$D$2001,MATCH($C130,'Azure Resource Map'!$A$2:$A$2001,0)),"")</f>
        <v/>
      </c>
      <c r="T130" s="39" t="str">
        <f aca="false">IFERROR(INDEX('Azure Resource Map'!$E$2:$E$2001,MATCH($C130,'Azure Resource Map'!$A$2:$A$2001,0)),"")</f>
        <v/>
      </c>
      <c r="U130" s="39" t="str">
        <f aca="false">IFERROR(INDEX('Azure Resource Map'!$F$2:$F$2001,MATCH($C130,'Azure Resource Map'!$A$2:$A$2001,0)),"")</f>
        <v/>
      </c>
      <c r="V130" s="39" t="str">
        <f aca="false">IF($C130="","",IF(ISNUMBER(MATCH($C130,'CA Exclusion Map'!$A$2:$A$2001,0)),"Yes","No"))</f>
        <v/>
      </c>
      <c r="W130" s="39" t="str">
        <f aca="false">IFERROR(INDEX('CA Exclusion Map'!$D$2:$D$2001,MATCH($C130,'CA Exclusion Map'!$A$2:$A$2001,0)),"")</f>
        <v/>
      </c>
      <c r="X130" s="40" t="str">
        <f aca="false">IFERROR(INDEX('CA Exclusion Map'!$E$2:$E$2001,MATCH($C130,'CA Exclusion Map'!$A$2:$A$2001,0)),"")</f>
        <v/>
      </c>
      <c r="Y130" s="40" t="str">
        <f aca="false">IFERROR(INDEX('CA Exclusion Map'!$F$2:$F$2001,MATCH($C130,'CA Exclusion Map'!$A$2:$A$2001,0)),"")</f>
        <v/>
      </c>
      <c r="Z130" s="36"/>
      <c r="AA130" s="37"/>
      <c r="AB130" s="38"/>
      <c r="AC130" s="38"/>
      <c r="AD130" s="39" t="str">
        <f aca="true">IF(V130="","",IF(V130&lt;&gt;"Yes","N/A",IF(AC130="","NO EXPIRY SET",IF(TODAY()&gt;AC130,"EXPIRED",IF(AC130-TODAY()&lt;=30,"Expiring Soon","Active")))))</f>
        <v/>
      </c>
      <c r="AE130" s="36"/>
      <c r="AF130" s="36"/>
      <c r="AG130" s="37"/>
      <c r="AH130" s="36"/>
      <c r="AI130" s="37"/>
      <c r="AJ130" s="37"/>
      <c r="AK130" s="37"/>
      <c r="AL130" s="37"/>
      <c r="AM130" s="38"/>
      <c r="AN130" s="37"/>
      <c r="AO130" s="37"/>
      <c r="AP130" s="41" t="str">
        <f aca="false">IF(AM130="","",AM130+90)</f>
        <v/>
      </c>
      <c r="AQ130" s="39" t="str">
        <f aca="true">IF(C130="","",IF(AM130="","NOT REVIEWED",IF(TODAY()&gt;AP130,"OVERDUE",IF(AP130-TODAY()&lt;=14,"Due Soon","Current"))))</f>
        <v/>
      </c>
      <c r="AR130" s="36"/>
    </row>
    <row r="131" customFormat="false" ht="15" hidden="false" customHeight="false" outlineLevel="0" collapsed="false">
      <c r="A131" s="36"/>
      <c r="B131" s="36"/>
      <c r="C131" s="36"/>
      <c r="D131" s="36"/>
      <c r="E131" s="37"/>
      <c r="F131" s="37"/>
      <c r="G131" s="37"/>
      <c r="H131" s="38"/>
      <c r="I131" s="38"/>
      <c r="J131" s="38"/>
      <c r="K131" s="37"/>
      <c r="L131" s="36"/>
      <c r="M131" s="36"/>
      <c r="N131" s="37"/>
      <c r="O131" s="37"/>
      <c r="P131" s="36"/>
      <c r="Q131" s="39" t="str">
        <f aca="true">IF(J131="","",TODAY()-J131)</f>
        <v/>
      </c>
      <c r="R131" s="37"/>
      <c r="S131" s="40" t="str">
        <f aca="false">IFERROR(INDEX('Azure Resource Map'!$D$2:$D$2001,MATCH($C131,'Azure Resource Map'!$A$2:$A$2001,0)),"")</f>
        <v/>
      </c>
      <c r="T131" s="39" t="str">
        <f aca="false">IFERROR(INDEX('Azure Resource Map'!$E$2:$E$2001,MATCH($C131,'Azure Resource Map'!$A$2:$A$2001,0)),"")</f>
        <v/>
      </c>
      <c r="U131" s="39" t="str">
        <f aca="false">IFERROR(INDEX('Azure Resource Map'!$F$2:$F$2001,MATCH($C131,'Azure Resource Map'!$A$2:$A$2001,0)),"")</f>
        <v/>
      </c>
      <c r="V131" s="39" t="str">
        <f aca="false">IF($C131="","",IF(ISNUMBER(MATCH($C131,'CA Exclusion Map'!$A$2:$A$2001,0)),"Yes","No"))</f>
        <v/>
      </c>
      <c r="W131" s="39" t="str">
        <f aca="false">IFERROR(INDEX('CA Exclusion Map'!$D$2:$D$2001,MATCH($C131,'CA Exclusion Map'!$A$2:$A$2001,0)),"")</f>
        <v/>
      </c>
      <c r="X131" s="40" t="str">
        <f aca="false">IFERROR(INDEX('CA Exclusion Map'!$E$2:$E$2001,MATCH($C131,'CA Exclusion Map'!$A$2:$A$2001,0)),"")</f>
        <v/>
      </c>
      <c r="Y131" s="40" t="str">
        <f aca="false">IFERROR(INDEX('CA Exclusion Map'!$F$2:$F$2001,MATCH($C131,'CA Exclusion Map'!$A$2:$A$2001,0)),"")</f>
        <v/>
      </c>
      <c r="Z131" s="36"/>
      <c r="AA131" s="37"/>
      <c r="AB131" s="38"/>
      <c r="AC131" s="38"/>
      <c r="AD131" s="39" t="str">
        <f aca="true">IF(V131="","",IF(V131&lt;&gt;"Yes","N/A",IF(AC131="","NO EXPIRY SET",IF(TODAY()&gt;AC131,"EXPIRED",IF(AC131-TODAY()&lt;=30,"Expiring Soon","Active")))))</f>
        <v/>
      </c>
      <c r="AE131" s="36"/>
      <c r="AF131" s="36"/>
      <c r="AG131" s="37"/>
      <c r="AH131" s="36"/>
      <c r="AI131" s="37"/>
      <c r="AJ131" s="37"/>
      <c r="AK131" s="37"/>
      <c r="AL131" s="37"/>
      <c r="AM131" s="38"/>
      <c r="AN131" s="37"/>
      <c r="AO131" s="37"/>
      <c r="AP131" s="41" t="str">
        <f aca="false">IF(AM131="","",AM131+90)</f>
        <v/>
      </c>
      <c r="AQ131" s="39" t="str">
        <f aca="true">IF(C131="","",IF(AM131="","NOT REVIEWED",IF(TODAY()&gt;AP131,"OVERDUE",IF(AP131-TODAY()&lt;=14,"Due Soon","Current"))))</f>
        <v/>
      </c>
      <c r="AR131" s="36"/>
    </row>
    <row r="132" customFormat="false" ht="15" hidden="false" customHeight="false" outlineLevel="0" collapsed="false">
      <c r="A132" s="36"/>
      <c r="B132" s="36"/>
      <c r="C132" s="36"/>
      <c r="D132" s="36"/>
      <c r="E132" s="37"/>
      <c r="F132" s="37"/>
      <c r="G132" s="37"/>
      <c r="H132" s="38"/>
      <c r="I132" s="38"/>
      <c r="J132" s="38"/>
      <c r="K132" s="37"/>
      <c r="L132" s="36"/>
      <c r="M132" s="36"/>
      <c r="N132" s="37"/>
      <c r="O132" s="37"/>
      <c r="P132" s="36"/>
      <c r="Q132" s="39" t="str">
        <f aca="true">IF(J132="","",TODAY()-J132)</f>
        <v/>
      </c>
      <c r="R132" s="37"/>
      <c r="S132" s="40" t="str">
        <f aca="false">IFERROR(INDEX('Azure Resource Map'!$D$2:$D$2001,MATCH($C132,'Azure Resource Map'!$A$2:$A$2001,0)),"")</f>
        <v/>
      </c>
      <c r="T132" s="39" t="str">
        <f aca="false">IFERROR(INDEX('Azure Resource Map'!$E$2:$E$2001,MATCH($C132,'Azure Resource Map'!$A$2:$A$2001,0)),"")</f>
        <v/>
      </c>
      <c r="U132" s="39" t="str">
        <f aca="false">IFERROR(INDEX('Azure Resource Map'!$F$2:$F$2001,MATCH($C132,'Azure Resource Map'!$A$2:$A$2001,0)),"")</f>
        <v/>
      </c>
      <c r="V132" s="39" t="str">
        <f aca="false">IF($C132="","",IF(ISNUMBER(MATCH($C132,'CA Exclusion Map'!$A$2:$A$2001,0)),"Yes","No"))</f>
        <v/>
      </c>
      <c r="W132" s="39" t="str">
        <f aca="false">IFERROR(INDEX('CA Exclusion Map'!$D$2:$D$2001,MATCH($C132,'CA Exclusion Map'!$A$2:$A$2001,0)),"")</f>
        <v/>
      </c>
      <c r="X132" s="40" t="str">
        <f aca="false">IFERROR(INDEX('CA Exclusion Map'!$E$2:$E$2001,MATCH($C132,'CA Exclusion Map'!$A$2:$A$2001,0)),"")</f>
        <v/>
      </c>
      <c r="Y132" s="40" t="str">
        <f aca="false">IFERROR(INDEX('CA Exclusion Map'!$F$2:$F$2001,MATCH($C132,'CA Exclusion Map'!$A$2:$A$2001,0)),"")</f>
        <v/>
      </c>
      <c r="Z132" s="36"/>
      <c r="AA132" s="37"/>
      <c r="AB132" s="38"/>
      <c r="AC132" s="38"/>
      <c r="AD132" s="39" t="str">
        <f aca="true">IF(V132="","",IF(V132&lt;&gt;"Yes","N/A",IF(AC132="","NO EXPIRY SET",IF(TODAY()&gt;AC132,"EXPIRED",IF(AC132-TODAY()&lt;=30,"Expiring Soon","Active")))))</f>
        <v/>
      </c>
      <c r="AE132" s="36"/>
      <c r="AF132" s="36"/>
      <c r="AG132" s="37"/>
      <c r="AH132" s="36"/>
      <c r="AI132" s="37"/>
      <c r="AJ132" s="37"/>
      <c r="AK132" s="37"/>
      <c r="AL132" s="37"/>
      <c r="AM132" s="38"/>
      <c r="AN132" s="37"/>
      <c r="AO132" s="37"/>
      <c r="AP132" s="41" t="str">
        <f aca="false">IF(AM132="","",AM132+90)</f>
        <v/>
      </c>
      <c r="AQ132" s="39" t="str">
        <f aca="true">IF(C132="","",IF(AM132="","NOT REVIEWED",IF(TODAY()&gt;AP132,"OVERDUE",IF(AP132-TODAY()&lt;=14,"Due Soon","Current"))))</f>
        <v/>
      </c>
      <c r="AR132" s="36"/>
    </row>
    <row r="133" customFormat="false" ht="15" hidden="false" customHeight="false" outlineLevel="0" collapsed="false">
      <c r="A133" s="36"/>
      <c r="B133" s="36"/>
      <c r="C133" s="36"/>
      <c r="D133" s="36"/>
      <c r="E133" s="37"/>
      <c r="F133" s="37"/>
      <c r="G133" s="37"/>
      <c r="H133" s="38"/>
      <c r="I133" s="38"/>
      <c r="J133" s="38"/>
      <c r="K133" s="37"/>
      <c r="L133" s="36"/>
      <c r="M133" s="36"/>
      <c r="N133" s="37"/>
      <c r="O133" s="37"/>
      <c r="P133" s="36"/>
      <c r="Q133" s="39" t="str">
        <f aca="true">IF(J133="","",TODAY()-J133)</f>
        <v/>
      </c>
      <c r="R133" s="37"/>
      <c r="S133" s="40" t="str">
        <f aca="false">IFERROR(INDEX('Azure Resource Map'!$D$2:$D$2001,MATCH($C133,'Azure Resource Map'!$A$2:$A$2001,0)),"")</f>
        <v/>
      </c>
      <c r="T133" s="39" t="str">
        <f aca="false">IFERROR(INDEX('Azure Resource Map'!$E$2:$E$2001,MATCH($C133,'Azure Resource Map'!$A$2:$A$2001,0)),"")</f>
        <v/>
      </c>
      <c r="U133" s="39" t="str">
        <f aca="false">IFERROR(INDEX('Azure Resource Map'!$F$2:$F$2001,MATCH($C133,'Azure Resource Map'!$A$2:$A$2001,0)),"")</f>
        <v/>
      </c>
      <c r="V133" s="39" t="str">
        <f aca="false">IF($C133="","",IF(ISNUMBER(MATCH($C133,'CA Exclusion Map'!$A$2:$A$2001,0)),"Yes","No"))</f>
        <v/>
      </c>
      <c r="W133" s="39" t="str">
        <f aca="false">IFERROR(INDEX('CA Exclusion Map'!$D$2:$D$2001,MATCH($C133,'CA Exclusion Map'!$A$2:$A$2001,0)),"")</f>
        <v/>
      </c>
      <c r="X133" s="40" t="str">
        <f aca="false">IFERROR(INDEX('CA Exclusion Map'!$E$2:$E$2001,MATCH($C133,'CA Exclusion Map'!$A$2:$A$2001,0)),"")</f>
        <v/>
      </c>
      <c r="Y133" s="40" t="str">
        <f aca="false">IFERROR(INDEX('CA Exclusion Map'!$F$2:$F$2001,MATCH($C133,'CA Exclusion Map'!$A$2:$A$2001,0)),"")</f>
        <v/>
      </c>
      <c r="Z133" s="36"/>
      <c r="AA133" s="37"/>
      <c r="AB133" s="38"/>
      <c r="AC133" s="38"/>
      <c r="AD133" s="39" t="str">
        <f aca="true">IF(V133="","",IF(V133&lt;&gt;"Yes","N/A",IF(AC133="","NO EXPIRY SET",IF(TODAY()&gt;AC133,"EXPIRED",IF(AC133-TODAY()&lt;=30,"Expiring Soon","Active")))))</f>
        <v/>
      </c>
      <c r="AE133" s="36"/>
      <c r="AF133" s="36"/>
      <c r="AG133" s="37"/>
      <c r="AH133" s="36"/>
      <c r="AI133" s="37"/>
      <c r="AJ133" s="37"/>
      <c r="AK133" s="37"/>
      <c r="AL133" s="37"/>
      <c r="AM133" s="38"/>
      <c r="AN133" s="37"/>
      <c r="AO133" s="37"/>
      <c r="AP133" s="41" t="str">
        <f aca="false">IF(AM133="","",AM133+90)</f>
        <v/>
      </c>
      <c r="AQ133" s="39" t="str">
        <f aca="true">IF(C133="","",IF(AM133="","NOT REVIEWED",IF(TODAY()&gt;AP133,"OVERDUE",IF(AP133-TODAY()&lt;=14,"Due Soon","Current"))))</f>
        <v/>
      </c>
      <c r="AR133" s="36"/>
    </row>
    <row r="134" customFormat="false" ht="15" hidden="false" customHeight="false" outlineLevel="0" collapsed="false">
      <c r="A134" s="36"/>
      <c r="B134" s="36"/>
      <c r="C134" s="36"/>
      <c r="D134" s="36"/>
      <c r="E134" s="37"/>
      <c r="F134" s="37"/>
      <c r="G134" s="37"/>
      <c r="H134" s="38"/>
      <c r="I134" s="38"/>
      <c r="J134" s="38"/>
      <c r="K134" s="37"/>
      <c r="L134" s="36"/>
      <c r="M134" s="36"/>
      <c r="N134" s="37"/>
      <c r="O134" s="37"/>
      <c r="P134" s="36"/>
      <c r="Q134" s="39" t="str">
        <f aca="true">IF(J134="","",TODAY()-J134)</f>
        <v/>
      </c>
      <c r="R134" s="37"/>
      <c r="S134" s="40" t="str">
        <f aca="false">IFERROR(INDEX('Azure Resource Map'!$D$2:$D$2001,MATCH($C134,'Azure Resource Map'!$A$2:$A$2001,0)),"")</f>
        <v/>
      </c>
      <c r="T134" s="39" t="str">
        <f aca="false">IFERROR(INDEX('Azure Resource Map'!$E$2:$E$2001,MATCH($C134,'Azure Resource Map'!$A$2:$A$2001,0)),"")</f>
        <v/>
      </c>
      <c r="U134" s="39" t="str">
        <f aca="false">IFERROR(INDEX('Azure Resource Map'!$F$2:$F$2001,MATCH($C134,'Azure Resource Map'!$A$2:$A$2001,0)),"")</f>
        <v/>
      </c>
      <c r="V134" s="39" t="str">
        <f aca="false">IF($C134="","",IF(ISNUMBER(MATCH($C134,'CA Exclusion Map'!$A$2:$A$2001,0)),"Yes","No"))</f>
        <v/>
      </c>
      <c r="W134" s="39" t="str">
        <f aca="false">IFERROR(INDEX('CA Exclusion Map'!$D$2:$D$2001,MATCH($C134,'CA Exclusion Map'!$A$2:$A$2001,0)),"")</f>
        <v/>
      </c>
      <c r="X134" s="40" t="str">
        <f aca="false">IFERROR(INDEX('CA Exclusion Map'!$E$2:$E$2001,MATCH($C134,'CA Exclusion Map'!$A$2:$A$2001,0)),"")</f>
        <v/>
      </c>
      <c r="Y134" s="40" t="str">
        <f aca="false">IFERROR(INDEX('CA Exclusion Map'!$F$2:$F$2001,MATCH($C134,'CA Exclusion Map'!$A$2:$A$2001,0)),"")</f>
        <v/>
      </c>
      <c r="Z134" s="36"/>
      <c r="AA134" s="37"/>
      <c r="AB134" s="38"/>
      <c r="AC134" s="38"/>
      <c r="AD134" s="39" t="str">
        <f aca="true">IF(V134="","",IF(V134&lt;&gt;"Yes","N/A",IF(AC134="","NO EXPIRY SET",IF(TODAY()&gt;AC134,"EXPIRED",IF(AC134-TODAY()&lt;=30,"Expiring Soon","Active")))))</f>
        <v/>
      </c>
      <c r="AE134" s="36"/>
      <c r="AF134" s="36"/>
      <c r="AG134" s="37"/>
      <c r="AH134" s="36"/>
      <c r="AI134" s="37"/>
      <c r="AJ134" s="37"/>
      <c r="AK134" s="37"/>
      <c r="AL134" s="37"/>
      <c r="AM134" s="38"/>
      <c r="AN134" s="37"/>
      <c r="AO134" s="37"/>
      <c r="AP134" s="41" t="str">
        <f aca="false">IF(AM134="","",AM134+90)</f>
        <v/>
      </c>
      <c r="AQ134" s="39" t="str">
        <f aca="true">IF(C134="","",IF(AM134="","NOT REVIEWED",IF(TODAY()&gt;AP134,"OVERDUE",IF(AP134-TODAY()&lt;=14,"Due Soon","Current"))))</f>
        <v/>
      </c>
      <c r="AR134" s="36"/>
    </row>
    <row r="135" customFormat="false" ht="15" hidden="false" customHeight="false" outlineLevel="0" collapsed="false">
      <c r="A135" s="36"/>
      <c r="B135" s="36"/>
      <c r="C135" s="36"/>
      <c r="D135" s="36"/>
      <c r="E135" s="37"/>
      <c r="F135" s="37"/>
      <c r="G135" s="37"/>
      <c r="H135" s="38"/>
      <c r="I135" s="38"/>
      <c r="J135" s="38"/>
      <c r="K135" s="37"/>
      <c r="L135" s="36"/>
      <c r="M135" s="36"/>
      <c r="N135" s="37"/>
      <c r="O135" s="37"/>
      <c r="P135" s="36"/>
      <c r="Q135" s="39" t="str">
        <f aca="true">IF(J135="","",TODAY()-J135)</f>
        <v/>
      </c>
      <c r="R135" s="37"/>
      <c r="S135" s="40" t="str">
        <f aca="false">IFERROR(INDEX('Azure Resource Map'!$D$2:$D$2001,MATCH($C135,'Azure Resource Map'!$A$2:$A$2001,0)),"")</f>
        <v/>
      </c>
      <c r="T135" s="39" t="str">
        <f aca="false">IFERROR(INDEX('Azure Resource Map'!$E$2:$E$2001,MATCH($C135,'Azure Resource Map'!$A$2:$A$2001,0)),"")</f>
        <v/>
      </c>
      <c r="U135" s="39" t="str">
        <f aca="false">IFERROR(INDEX('Azure Resource Map'!$F$2:$F$2001,MATCH($C135,'Azure Resource Map'!$A$2:$A$2001,0)),"")</f>
        <v/>
      </c>
      <c r="V135" s="39" t="str">
        <f aca="false">IF($C135="","",IF(ISNUMBER(MATCH($C135,'CA Exclusion Map'!$A$2:$A$2001,0)),"Yes","No"))</f>
        <v/>
      </c>
      <c r="W135" s="39" t="str">
        <f aca="false">IFERROR(INDEX('CA Exclusion Map'!$D$2:$D$2001,MATCH($C135,'CA Exclusion Map'!$A$2:$A$2001,0)),"")</f>
        <v/>
      </c>
      <c r="X135" s="40" t="str">
        <f aca="false">IFERROR(INDEX('CA Exclusion Map'!$E$2:$E$2001,MATCH($C135,'CA Exclusion Map'!$A$2:$A$2001,0)),"")</f>
        <v/>
      </c>
      <c r="Y135" s="40" t="str">
        <f aca="false">IFERROR(INDEX('CA Exclusion Map'!$F$2:$F$2001,MATCH($C135,'CA Exclusion Map'!$A$2:$A$2001,0)),"")</f>
        <v/>
      </c>
      <c r="Z135" s="36"/>
      <c r="AA135" s="37"/>
      <c r="AB135" s="38"/>
      <c r="AC135" s="38"/>
      <c r="AD135" s="39" t="str">
        <f aca="true">IF(V135="","",IF(V135&lt;&gt;"Yes","N/A",IF(AC135="","NO EXPIRY SET",IF(TODAY()&gt;AC135,"EXPIRED",IF(AC135-TODAY()&lt;=30,"Expiring Soon","Active")))))</f>
        <v/>
      </c>
      <c r="AE135" s="36"/>
      <c r="AF135" s="36"/>
      <c r="AG135" s="37"/>
      <c r="AH135" s="36"/>
      <c r="AI135" s="37"/>
      <c r="AJ135" s="37"/>
      <c r="AK135" s="37"/>
      <c r="AL135" s="37"/>
      <c r="AM135" s="38"/>
      <c r="AN135" s="37"/>
      <c r="AO135" s="37"/>
      <c r="AP135" s="41" t="str">
        <f aca="false">IF(AM135="","",AM135+90)</f>
        <v/>
      </c>
      <c r="AQ135" s="39" t="str">
        <f aca="true">IF(C135="","",IF(AM135="","NOT REVIEWED",IF(TODAY()&gt;AP135,"OVERDUE",IF(AP135-TODAY()&lt;=14,"Due Soon","Current"))))</f>
        <v/>
      </c>
      <c r="AR135" s="36"/>
    </row>
    <row r="136" customFormat="false" ht="15" hidden="false" customHeight="false" outlineLevel="0" collapsed="false">
      <c r="A136" s="36"/>
      <c r="B136" s="36"/>
      <c r="C136" s="36"/>
      <c r="D136" s="36"/>
      <c r="E136" s="37"/>
      <c r="F136" s="37"/>
      <c r="G136" s="37"/>
      <c r="H136" s="38"/>
      <c r="I136" s="38"/>
      <c r="J136" s="38"/>
      <c r="K136" s="37"/>
      <c r="L136" s="36"/>
      <c r="M136" s="36"/>
      <c r="N136" s="37"/>
      <c r="O136" s="37"/>
      <c r="P136" s="36"/>
      <c r="Q136" s="39" t="str">
        <f aca="true">IF(J136="","",TODAY()-J136)</f>
        <v/>
      </c>
      <c r="R136" s="37"/>
      <c r="S136" s="40" t="str">
        <f aca="false">IFERROR(INDEX('Azure Resource Map'!$D$2:$D$2001,MATCH($C136,'Azure Resource Map'!$A$2:$A$2001,0)),"")</f>
        <v/>
      </c>
      <c r="T136" s="39" t="str">
        <f aca="false">IFERROR(INDEX('Azure Resource Map'!$E$2:$E$2001,MATCH($C136,'Azure Resource Map'!$A$2:$A$2001,0)),"")</f>
        <v/>
      </c>
      <c r="U136" s="39" t="str">
        <f aca="false">IFERROR(INDEX('Azure Resource Map'!$F$2:$F$2001,MATCH($C136,'Azure Resource Map'!$A$2:$A$2001,0)),"")</f>
        <v/>
      </c>
      <c r="V136" s="39" t="str">
        <f aca="false">IF($C136="","",IF(ISNUMBER(MATCH($C136,'CA Exclusion Map'!$A$2:$A$2001,0)),"Yes","No"))</f>
        <v/>
      </c>
      <c r="W136" s="39" t="str">
        <f aca="false">IFERROR(INDEX('CA Exclusion Map'!$D$2:$D$2001,MATCH($C136,'CA Exclusion Map'!$A$2:$A$2001,0)),"")</f>
        <v/>
      </c>
      <c r="X136" s="40" t="str">
        <f aca="false">IFERROR(INDEX('CA Exclusion Map'!$E$2:$E$2001,MATCH($C136,'CA Exclusion Map'!$A$2:$A$2001,0)),"")</f>
        <v/>
      </c>
      <c r="Y136" s="40" t="str">
        <f aca="false">IFERROR(INDEX('CA Exclusion Map'!$F$2:$F$2001,MATCH($C136,'CA Exclusion Map'!$A$2:$A$2001,0)),"")</f>
        <v/>
      </c>
      <c r="Z136" s="36"/>
      <c r="AA136" s="37"/>
      <c r="AB136" s="38"/>
      <c r="AC136" s="38"/>
      <c r="AD136" s="39" t="str">
        <f aca="true">IF(V136="","",IF(V136&lt;&gt;"Yes","N/A",IF(AC136="","NO EXPIRY SET",IF(TODAY()&gt;AC136,"EXPIRED",IF(AC136-TODAY()&lt;=30,"Expiring Soon","Active")))))</f>
        <v/>
      </c>
      <c r="AE136" s="36"/>
      <c r="AF136" s="36"/>
      <c r="AG136" s="37"/>
      <c r="AH136" s="36"/>
      <c r="AI136" s="37"/>
      <c r="AJ136" s="37"/>
      <c r="AK136" s="37"/>
      <c r="AL136" s="37"/>
      <c r="AM136" s="38"/>
      <c r="AN136" s="37"/>
      <c r="AO136" s="37"/>
      <c r="AP136" s="41" t="str">
        <f aca="false">IF(AM136="","",AM136+90)</f>
        <v/>
      </c>
      <c r="AQ136" s="39" t="str">
        <f aca="true">IF(C136="","",IF(AM136="","NOT REVIEWED",IF(TODAY()&gt;AP136,"OVERDUE",IF(AP136-TODAY()&lt;=14,"Due Soon","Current"))))</f>
        <v/>
      </c>
      <c r="AR136" s="36"/>
    </row>
    <row r="137" customFormat="false" ht="15" hidden="false" customHeight="false" outlineLevel="0" collapsed="false">
      <c r="A137" s="36"/>
      <c r="B137" s="36"/>
      <c r="C137" s="36"/>
      <c r="D137" s="36"/>
      <c r="E137" s="37"/>
      <c r="F137" s="37"/>
      <c r="G137" s="37"/>
      <c r="H137" s="38"/>
      <c r="I137" s="38"/>
      <c r="J137" s="38"/>
      <c r="K137" s="37"/>
      <c r="L137" s="36"/>
      <c r="M137" s="36"/>
      <c r="N137" s="37"/>
      <c r="O137" s="37"/>
      <c r="P137" s="36"/>
      <c r="Q137" s="39" t="str">
        <f aca="true">IF(J137="","",TODAY()-J137)</f>
        <v/>
      </c>
      <c r="R137" s="37"/>
      <c r="S137" s="40" t="str">
        <f aca="false">IFERROR(INDEX('Azure Resource Map'!$D$2:$D$2001,MATCH($C137,'Azure Resource Map'!$A$2:$A$2001,0)),"")</f>
        <v/>
      </c>
      <c r="T137" s="39" t="str">
        <f aca="false">IFERROR(INDEX('Azure Resource Map'!$E$2:$E$2001,MATCH($C137,'Azure Resource Map'!$A$2:$A$2001,0)),"")</f>
        <v/>
      </c>
      <c r="U137" s="39" t="str">
        <f aca="false">IFERROR(INDEX('Azure Resource Map'!$F$2:$F$2001,MATCH($C137,'Azure Resource Map'!$A$2:$A$2001,0)),"")</f>
        <v/>
      </c>
      <c r="V137" s="39" t="str">
        <f aca="false">IF($C137="","",IF(ISNUMBER(MATCH($C137,'CA Exclusion Map'!$A$2:$A$2001,0)),"Yes","No"))</f>
        <v/>
      </c>
      <c r="W137" s="39" t="str">
        <f aca="false">IFERROR(INDEX('CA Exclusion Map'!$D$2:$D$2001,MATCH($C137,'CA Exclusion Map'!$A$2:$A$2001,0)),"")</f>
        <v/>
      </c>
      <c r="X137" s="40" t="str">
        <f aca="false">IFERROR(INDEX('CA Exclusion Map'!$E$2:$E$2001,MATCH($C137,'CA Exclusion Map'!$A$2:$A$2001,0)),"")</f>
        <v/>
      </c>
      <c r="Y137" s="40" t="str">
        <f aca="false">IFERROR(INDEX('CA Exclusion Map'!$F$2:$F$2001,MATCH($C137,'CA Exclusion Map'!$A$2:$A$2001,0)),"")</f>
        <v/>
      </c>
      <c r="Z137" s="36"/>
      <c r="AA137" s="37"/>
      <c r="AB137" s="38"/>
      <c r="AC137" s="38"/>
      <c r="AD137" s="39" t="str">
        <f aca="true">IF(V137="","",IF(V137&lt;&gt;"Yes","N/A",IF(AC137="","NO EXPIRY SET",IF(TODAY()&gt;AC137,"EXPIRED",IF(AC137-TODAY()&lt;=30,"Expiring Soon","Active")))))</f>
        <v/>
      </c>
      <c r="AE137" s="36"/>
      <c r="AF137" s="36"/>
      <c r="AG137" s="37"/>
      <c r="AH137" s="36"/>
      <c r="AI137" s="37"/>
      <c r="AJ137" s="37"/>
      <c r="AK137" s="37"/>
      <c r="AL137" s="37"/>
      <c r="AM137" s="38"/>
      <c r="AN137" s="37"/>
      <c r="AO137" s="37"/>
      <c r="AP137" s="41" t="str">
        <f aca="false">IF(AM137="","",AM137+90)</f>
        <v/>
      </c>
      <c r="AQ137" s="39" t="str">
        <f aca="true">IF(C137="","",IF(AM137="","NOT REVIEWED",IF(TODAY()&gt;AP137,"OVERDUE",IF(AP137-TODAY()&lt;=14,"Due Soon","Current"))))</f>
        <v/>
      </c>
      <c r="AR137" s="36"/>
    </row>
    <row r="138" customFormat="false" ht="15" hidden="false" customHeight="false" outlineLevel="0" collapsed="false">
      <c r="A138" s="36"/>
      <c r="B138" s="36"/>
      <c r="C138" s="36"/>
      <c r="D138" s="36"/>
      <c r="E138" s="37"/>
      <c r="F138" s="37"/>
      <c r="G138" s="37"/>
      <c r="H138" s="38"/>
      <c r="I138" s="38"/>
      <c r="J138" s="38"/>
      <c r="K138" s="37"/>
      <c r="L138" s="36"/>
      <c r="M138" s="36"/>
      <c r="N138" s="37"/>
      <c r="O138" s="37"/>
      <c r="P138" s="36"/>
      <c r="Q138" s="39" t="str">
        <f aca="true">IF(J138="","",TODAY()-J138)</f>
        <v/>
      </c>
      <c r="R138" s="37"/>
      <c r="S138" s="40" t="str">
        <f aca="false">IFERROR(INDEX('Azure Resource Map'!$D$2:$D$2001,MATCH($C138,'Azure Resource Map'!$A$2:$A$2001,0)),"")</f>
        <v/>
      </c>
      <c r="T138" s="39" t="str">
        <f aca="false">IFERROR(INDEX('Azure Resource Map'!$E$2:$E$2001,MATCH($C138,'Azure Resource Map'!$A$2:$A$2001,0)),"")</f>
        <v/>
      </c>
      <c r="U138" s="39" t="str">
        <f aca="false">IFERROR(INDEX('Azure Resource Map'!$F$2:$F$2001,MATCH($C138,'Azure Resource Map'!$A$2:$A$2001,0)),"")</f>
        <v/>
      </c>
      <c r="V138" s="39" t="str">
        <f aca="false">IF($C138="","",IF(ISNUMBER(MATCH($C138,'CA Exclusion Map'!$A$2:$A$2001,0)),"Yes","No"))</f>
        <v/>
      </c>
      <c r="W138" s="39" t="str">
        <f aca="false">IFERROR(INDEX('CA Exclusion Map'!$D$2:$D$2001,MATCH($C138,'CA Exclusion Map'!$A$2:$A$2001,0)),"")</f>
        <v/>
      </c>
      <c r="X138" s="40" t="str">
        <f aca="false">IFERROR(INDEX('CA Exclusion Map'!$E$2:$E$2001,MATCH($C138,'CA Exclusion Map'!$A$2:$A$2001,0)),"")</f>
        <v/>
      </c>
      <c r="Y138" s="40" t="str">
        <f aca="false">IFERROR(INDEX('CA Exclusion Map'!$F$2:$F$2001,MATCH($C138,'CA Exclusion Map'!$A$2:$A$2001,0)),"")</f>
        <v/>
      </c>
      <c r="Z138" s="36"/>
      <c r="AA138" s="37"/>
      <c r="AB138" s="38"/>
      <c r="AC138" s="38"/>
      <c r="AD138" s="39" t="str">
        <f aca="true">IF(V138="","",IF(V138&lt;&gt;"Yes","N/A",IF(AC138="","NO EXPIRY SET",IF(TODAY()&gt;AC138,"EXPIRED",IF(AC138-TODAY()&lt;=30,"Expiring Soon","Active")))))</f>
        <v/>
      </c>
      <c r="AE138" s="36"/>
      <c r="AF138" s="36"/>
      <c r="AG138" s="37"/>
      <c r="AH138" s="36"/>
      <c r="AI138" s="37"/>
      <c r="AJ138" s="37"/>
      <c r="AK138" s="37"/>
      <c r="AL138" s="37"/>
      <c r="AM138" s="38"/>
      <c r="AN138" s="37"/>
      <c r="AO138" s="37"/>
      <c r="AP138" s="41" t="str">
        <f aca="false">IF(AM138="","",AM138+90)</f>
        <v/>
      </c>
      <c r="AQ138" s="39" t="str">
        <f aca="true">IF(C138="","",IF(AM138="","NOT REVIEWED",IF(TODAY()&gt;AP138,"OVERDUE",IF(AP138-TODAY()&lt;=14,"Due Soon","Current"))))</f>
        <v/>
      </c>
      <c r="AR138" s="36"/>
    </row>
    <row r="139" customFormat="false" ht="15" hidden="false" customHeight="false" outlineLevel="0" collapsed="false">
      <c r="A139" s="36"/>
      <c r="B139" s="36"/>
      <c r="C139" s="36"/>
      <c r="D139" s="36"/>
      <c r="E139" s="37"/>
      <c r="F139" s="37"/>
      <c r="G139" s="37"/>
      <c r="H139" s="38"/>
      <c r="I139" s="38"/>
      <c r="J139" s="38"/>
      <c r="K139" s="37"/>
      <c r="L139" s="36"/>
      <c r="M139" s="36"/>
      <c r="N139" s="37"/>
      <c r="O139" s="37"/>
      <c r="P139" s="36"/>
      <c r="Q139" s="39" t="str">
        <f aca="true">IF(J139="","",TODAY()-J139)</f>
        <v/>
      </c>
      <c r="R139" s="37"/>
      <c r="S139" s="40" t="str">
        <f aca="false">IFERROR(INDEX('Azure Resource Map'!$D$2:$D$2001,MATCH($C139,'Azure Resource Map'!$A$2:$A$2001,0)),"")</f>
        <v/>
      </c>
      <c r="T139" s="39" t="str">
        <f aca="false">IFERROR(INDEX('Azure Resource Map'!$E$2:$E$2001,MATCH($C139,'Azure Resource Map'!$A$2:$A$2001,0)),"")</f>
        <v/>
      </c>
      <c r="U139" s="39" t="str">
        <f aca="false">IFERROR(INDEX('Azure Resource Map'!$F$2:$F$2001,MATCH($C139,'Azure Resource Map'!$A$2:$A$2001,0)),"")</f>
        <v/>
      </c>
      <c r="V139" s="39" t="str">
        <f aca="false">IF($C139="","",IF(ISNUMBER(MATCH($C139,'CA Exclusion Map'!$A$2:$A$2001,0)),"Yes","No"))</f>
        <v/>
      </c>
      <c r="W139" s="39" t="str">
        <f aca="false">IFERROR(INDEX('CA Exclusion Map'!$D$2:$D$2001,MATCH($C139,'CA Exclusion Map'!$A$2:$A$2001,0)),"")</f>
        <v/>
      </c>
      <c r="X139" s="40" t="str">
        <f aca="false">IFERROR(INDEX('CA Exclusion Map'!$E$2:$E$2001,MATCH($C139,'CA Exclusion Map'!$A$2:$A$2001,0)),"")</f>
        <v/>
      </c>
      <c r="Y139" s="40" t="str">
        <f aca="false">IFERROR(INDEX('CA Exclusion Map'!$F$2:$F$2001,MATCH($C139,'CA Exclusion Map'!$A$2:$A$2001,0)),"")</f>
        <v/>
      </c>
      <c r="Z139" s="36"/>
      <c r="AA139" s="37"/>
      <c r="AB139" s="38"/>
      <c r="AC139" s="38"/>
      <c r="AD139" s="39" t="str">
        <f aca="true">IF(V139="","",IF(V139&lt;&gt;"Yes","N/A",IF(AC139="","NO EXPIRY SET",IF(TODAY()&gt;AC139,"EXPIRED",IF(AC139-TODAY()&lt;=30,"Expiring Soon","Active")))))</f>
        <v/>
      </c>
      <c r="AE139" s="36"/>
      <c r="AF139" s="36"/>
      <c r="AG139" s="37"/>
      <c r="AH139" s="36"/>
      <c r="AI139" s="37"/>
      <c r="AJ139" s="37"/>
      <c r="AK139" s="37"/>
      <c r="AL139" s="37"/>
      <c r="AM139" s="38"/>
      <c r="AN139" s="37"/>
      <c r="AO139" s="37"/>
      <c r="AP139" s="41" t="str">
        <f aca="false">IF(AM139="","",AM139+90)</f>
        <v/>
      </c>
      <c r="AQ139" s="39" t="str">
        <f aca="true">IF(C139="","",IF(AM139="","NOT REVIEWED",IF(TODAY()&gt;AP139,"OVERDUE",IF(AP139-TODAY()&lt;=14,"Due Soon","Current"))))</f>
        <v/>
      </c>
      <c r="AR139" s="36"/>
    </row>
    <row r="140" customFormat="false" ht="15" hidden="false" customHeight="false" outlineLevel="0" collapsed="false">
      <c r="A140" s="36"/>
      <c r="B140" s="36"/>
      <c r="C140" s="36"/>
      <c r="D140" s="36"/>
      <c r="E140" s="37"/>
      <c r="F140" s="37"/>
      <c r="G140" s="37"/>
      <c r="H140" s="38"/>
      <c r="I140" s="38"/>
      <c r="J140" s="38"/>
      <c r="K140" s="37"/>
      <c r="L140" s="36"/>
      <c r="M140" s="36"/>
      <c r="N140" s="37"/>
      <c r="O140" s="37"/>
      <c r="P140" s="36"/>
      <c r="Q140" s="39" t="str">
        <f aca="true">IF(J140="","",TODAY()-J140)</f>
        <v/>
      </c>
      <c r="R140" s="37"/>
      <c r="S140" s="40" t="str">
        <f aca="false">IFERROR(INDEX('Azure Resource Map'!$D$2:$D$2001,MATCH($C140,'Azure Resource Map'!$A$2:$A$2001,0)),"")</f>
        <v/>
      </c>
      <c r="T140" s="39" t="str">
        <f aca="false">IFERROR(INDEX('Azure Resource Map'!$E$2:$E$2001,MATCH($C140,'Azure Resource Map'!$A$2:$A$2001,0)),"")</f>
        <v/>
      </c>
      <c r="U140" s="39" t="str">
        <f aca="false">IFERROR(INDEX('Azure Resource Map'!$F$2:$F$2001,MATCH($C140,'Azure Resource Map'!$A$2:$A$2001,0)),"")</f>
        <v/>
      </c>
      <c r="V140" s="39" t="str">
        <f aca="false">IF($C140="","",IF(ISNUMBER(MATCH($C140,'CA Exclusion Map'!$A$2:$A$2001,0)),"Yes","No"))</f>
        <v/>
      </c>
      <c r="W140" s="39" t="str">
        <f aca="false">IFERROR(INDEX('CA Exclusion Map'!$D$2:$D$2001,MATCH($C140,'CA Exclusion Map'!$A$2:$A$2001,0)),"")</f>
        <v/>
      </c>
      <c r="X140" s="40" t="str">
        <f aca="false">IFERROR(INDEX('CA Exclusion Map'!$E$2:$E$2001,MATCH($C140,'CA Exclusion Map'!$A$2:$A$2001,0)),"")</f>
        <v/>
      </c>
      <c r="Y140" s="40" t="str">
        <f aca="false">IFERROR(INDEX('CA Exclusion Map'!$F$2:$F$2001,MATCH($C140,'CA Exclusion Map'!$A$2:$A$2001,0)),"")</f>
        <v/>
      </c>
      <c r="Z140" s="36"/>
      <c r="AA140" s="37"/>
      <c r="AB140" s="38"/>
      <c r="AC140" s="38"/>
      <c r="AD140" s="39" t="str">
        <f aca="true">IF(V140="","",IF(V140&lt;&gt;"Yes","N/A",IF(AC140="","NO EXPIRY SET",IF(TODAY()&gt;AC140,"EXPIRED",IF(AC140-TODAY()&lt;=30,"Expiring Soon","Active")))))</f>
        <v/>
      </c>
      <c r="AE140" s="36"/>
      <c r="AF140" s="36"/>
      <c r="AG140" s="37"/>
      <c r="AH140" s="36"/>
      <c r="AI140" s="37"/>
      <c r="AJ140" s="37"/>
      <c r="AK140" s="37"/>
      <c r="AL140" s="37"/>
      <c r="AM140" s="38"/>
      <c r="AN140" s="37"/>
      <c r="AO140" s="37"/>
      <c r="AP140" s="41" t="str">
        <f aca="false">IF(AM140="","",AM140+90)</f>
        <v/>
      </c>
      <c r="AQ140" s="39" t="str">
        <f aca="true">IF(C140="","",IF(AM140="","NOT REVIEWED",IF(TODAY()&gt;AP140,"OVERDUE",IF(AP140-TODAY()&lt;=14,"Due Soon","Current"))))</f>
        <v/>
      </c>
      <c r="AR140" s="36"/>
    </row>
    <row r="141" customFormat="false" ht="15" hidden="false" customHeight="false" outlineLevel="0" collapsed="false">
      <c r="A141" s="36"/>
      <c r="B141" s="36"/>
      <c r="C141" s="36"/>
      <c r="D141" s="36"/>
      <c r="E141" s="37"/>
      <c r="F141" s="37"/>
      <c r="G141" s="37"/>
      <c r="H141" s="38"/>
      <c r="I141" s="38"/>
      <c r="J141" s="38"/>
      <c r="K141" s="37"/>
      <c r="L141" s="36"/>
      <c r="M141" s="36"/>
      <c r="N141" s="37"/>
      <c r="O141" s="37"/>
      <c r="P141" s="36"/>
      <c r="Q141" s="39" t="str">
        <f aca="true">IF(J141="","",TODAY()-J141)</f>
        <v/>
      </c>
      <c r="R141" s="37"/>
      <c r="S141" s="40" t="str">
        <f aca="false">IFERROR(INDEX('Azure Resource Map'!$D$2:$D$2001,MATCH($C141,'Azure Resource Map'!$A$2:$A$2001,0)),"")</f>
        <v/>
      </c>
      <c r="T141" s="39" t="str">
        <f aca="false">IFERROR(INDEX('Azure Resource Map'!$E$2:$E$2001,MATCH($C141,'Azure Resource Map'!$A$2:$A$2001,0)),"")</f>
        <v/>
      </c>
      <c r="U141" s="39" t="str">
        <f aca="false">IFERROR(INDEX('Azure Resource Map'!$F$2:$F$2001,MATCH($C141,'Azure Resource Map'!$A$2:$A$2001,0)),"")</f>
        <v/>
      </c>
      <c r="V141" s="39" t="str">
        <f aca="false">IF($C141="","",IF(ISNUMBER(MATCH($C141,'CA Exclusion Map'!$A$2:$A$2001,0)),"Yes","No"))</f>
        <v/>
      </c>
      <c r="W141" s="39" t="str">
        <f aca="false">IFERROR(INDEX('CA Exclusion Map'!$D$2:$D$2001,MATCH($C141,'CA Exclusion Map'!$A$2:$A$2001,0)),"")</f>
        <v/>
      </c>
      <c r="X141" s="40" t="str">
        <f aca="false">IFERROR(INDEX('CA Exclusion Map'!$E$2:$E$2001,MATCH($C141,'CA Exclusion Map'!$A$2:$A$2001,0)),"")</f>
        <v/>
      </c>
      <c r="Y141" s="40" t="str">
        <f aca="false">IFERROR(INDEX('CA Exclusion Map'!$F$2:$F$2001,MATCH($C141,'CA Exclusion Map'!$A$2:$A$2001,0)),"")</f>
        <v/>
      </c>
      <c r="Z141" s="36"/>
      <c r="AA141" s="37"/>
      <c r="AB141" s="38"/>
      <c r="AC141" s="38"/>
      <c r="AD141" s="39" t="str">
        <f aca="true">IF(V141="","",IF(V141&lt;&gt;"Yes","N/A",IF(AC141="","NO EXPIRY SET",IF(TODAY()&gt;AC141,"EXPIRED",IF(AC141-TODAY()&lt;=30,"Expiring Soon","Active")))))</f>
        <v/>
      </c>
      <c r="AE141" s="36"/>
      <c r="AF141" s="36"/>
      <c r="AG141" s="37"/>
      <c r="AH141" s="36"/>
      <c r="AI141" s="37"/>
      <c r="AJ141" s="37"/>
      <c r="AK141" s="37"/>
      <c r="AL141" s="37"/>
      <c r="AM141" s="38"/>
      <c r="AN141" s="37"/>
      <c r="AO141" s="37"/>
      <c r="AP141" s="41" t="str">
        <f aca="false">IF(AM141="","",AM141+90)</f>
        <v/>
      </c>
      <c r="AQ141" s="39" t="str">
        <f aca="true">IF(C141="","",IF(AM141="","NOT REVIEWED",IF(TODAY()&gt;AP141,"OVERDUE",IF(AP141-TODAY()&lt;=14,"Due Soon","Current"))))</f>
        <v/>
      </c>
      <c r="AR141" s="36"/>
    </row>
    <row r="142" customFormat="false" ht="15" hidden="false" customHeight="false" outlineLevel="0" collapsed="false">
      <c r="A142" s="36"/>
      <c r="B142" s="36"/>
      <c r="C142" s="36"/>
      <c r="D142" s="36"/>
      <c r="E142" s="37"/>
      <c r="F142" s="37"/>
      <c r="G142" s="37"/>
      <c r="H142" s="38"/>
      <c r="I142" s="38"/>
      <c r="J142" s="38"/>
      <c r="K142" s="37"/>
      <c r="L142" s="36"/>
      <c r="M142" s="36"/>
      <c r="N142" s="37"/>
      <c r="O142" s="37"/>
      <c r="P142" s="36"/>
      <c r="Q142" s="39" t="str">
        <f aca="true">IF(J142="","",TODAY()-J142)</f>
        <v/>
      </c>
      <c r="R142" s="37"/>
      <c r="S142" s="40" t="str">
        <f aca="false">IFERROR(INDEX('Azure Resource Map'!$D$2:$D$2001,MATCH($C142,'Azure Resource Map'!$A$2:$A$2001,0)),"")</f>
        <v/>
      </c>
      <c r="T142" s="39" t="str">
        <f aca="false">IFERROR(INDEX('Azure Resource Map'!$E$2:$E$2001,MATCH($C142,'Azure Resource Map'!$A$2:$A$2001,0)),"")</f>
        <v/>
      </c>
      <c r="U142" s="39" t="str">
        <f aca="false">IFERROR(INDEX('Azure Resource Map'!$F$2:$F$2001,MATCH($C142,'Azure Resource Map'!$A$2:$A$2001,0)),"")</f>
        <v/>
      </c>
      <c r="V142" s="39" t="str">
        <f aca="false">IF($C142="","",IF(ISNUMBER(MATCH($C142,'CA Exclusion Map'!$A$2:$A$2001,0)),"Yes","No"))</f>
        <v/>
      </c>
      <c r="W142" s="39" t="str">
        <f aca="false">IFERROR(INDEX('CA Exclusion Map'!$D$2:$D$2001,MATCH($C142,'CA Exclusion Map'!$A$2:$A$2001,0)),"")</f>
        <v/>
      </c>
      <c r="X142" s="40" t="str">
        <f aca="false">IFERROR(INDEX('CA Exclusion Map'!$E$2:$E$2001,MATCH($C142,'CA Exclusion Map'!$A$2:$A$2001,0)),"")</f>
        <v/>
      </c>
      <c r="Y142" s="40" t="str">
        <f aca="false">IFERROR(INDEX('CA Exclusion Map'!$F$2:$F$2001,MATCH($C142,'CA Exclusion Map'!$A$2:$A$2001,0)),"")</f>
        <v/>
      </c>
      <c r="Z142" s="36"/>
      <c r="AA142" s="37"/>
      <c r="AB142" s="38"/>
      <c r="AC142" s="38"/>
      <c r="AD142" s="39" t="str">
        <f aca="true">IF(V142="","",IF(V142&lt;&gt;"Yes","N/A",IF(AC142="","NO EXPIRY SET",IF(TODAY()&gt;AC142,"EXPIRED",IF(AC142-TODAY()&lt;=30,"Expiring Soon","Active")))))</f>
        <v/>
      </c>
      <c r="AE142" s="36"/>
      <c r="AF142" s="36"/>
      <c r="AG142" s="37"/>
      <c r="AH142" s="36"/>
      <c r="AI142" s="37"/>
      <c r="AJ142" s="37"/>
      <c r="AK142" s="37"/>
      <c r="AL142" s="37"/>
      <c r="AM142" s="38"/>
      <c r="AN142" s="37"/>
      <c r="AO142" s="37"/>
      <c r="AP142" s="41" t="str">
        <f aca="false">IF(AM142="","",AM142+90)</f>
        <v/>
      </c>
      <c r="AQ142" s="39" t="str">
        <f aca="true">IF(C142="","",IF(AM142="","NOT REVIEWED",IF(TODAY()&gt;AP142,"OVERDUE",IF(AP142-TODAY()&lt;=14,"Due Soon","Current"))))</f>
        <v/>
      </c>
      <c r="AR142" s="36"/>
    </row>
    <row r="143" customFormat="false" ht="15" hidden="false" customHeight="false" outlineLevel="0" collapsed="false">
      <c r="A143" s="36"/>
      <c r="B143" s="36"/>
      <c r="C143" s="36"/>
      <c r="D143" s="36"/>
      <c r="E143" s="37"/>
      <c r="F143" s="37"/>
      <c r="G143" s="37"/>
      <c r="H143" s="38"/>
      <c r="I143" s="38"/>
      <c r="J143" s="38"/>
      <c r="K143" s="37"/>
      <c r="L143" s="36"/>
      <c r="M143" s="36"/>
      <c r="N143" s="37"/>
      <c r="O143" s="37"/>
      <c r="P143" s="36"/>
      <c r="Q143" s="39" t="str">
        <f aca="true">IF(J143="","",TODAY()-J143)</f>
        <v/>
      </c>
      <c r="R143" s="37"/>
      <c r="S143" s="40" t="str">
        <f aca="false">IFERROR(INDEX('Azure Resource Map'!$D$2:$D$2001,MATCH($C143,'Azure Resource Map'!$A$2:$A$2001,0)),"")</f>
        <v/>
      </c>
      <c r="T143" s="39" t="str">
        <f aca="false">IFERROR(INDEX('Azure Resource Map'!$E$2:$E$2001,MATCH($C143,'Azure Resource Map'!$A$2:$A$2001,0)),"")</f>
        <v/>
      </c>
      <c r="U143" s="39" t="str">
        <f aca="false">IFERROR(INDEX('Azure Resource Map'!$F$2:$F$2001,MATCH($C143,'Azure Resource Map'!$A$2:$A$2001,0)),"")</f>
        <v/>
      </c>
      <c r="V143" s="39" t="str">
        <f aca="false">IF($C143="","",IF(ISNUMBER(MATCH($C143,'CA Exclusion Map'!$A$2:$A$2001,0)),"Yes","No"))</f>
        <v/>
      </c>
      <c r="W143" s="39" t="str">
        <f aca="false">IFERROR(INDEX('CA Exclusion Map'!$D$2:$D$2001,MATCH($C143,'CA Exclusion Map'!$A$2:$A$2001,0)),"")</f>
        <v/>
      </c>
      <c r="X143" s="40" t="str">
        <f aca="false">IFERROR(INDEX('CA Exclusion Map'!$E$2:$E$2001,MATCH($C143,'CA Exclusion Map'!$A$2:$A$2001,0)),"")</f>
        <v/>
      </c>
      <c r="Y143" s="40" t="str">
        <f aca="false">IFERROR(INDEX('CA Exclusion Map'!$F$2:$F$2001,MATCH($C143,'CA Exclusion Map'!$A$2:$A$2001,0)),"")</f>
        <v/>
      </c>
      <c r="Z143" s="36"/>
      <c r="AA143" s="37"/>
      <c r="AB143" s="38"/>
      <c r="AC143" s="38"/>
      <c r="AD143" s="39" t="str">
        <f aca="true">IF(V143="","",IF(V143&lt;&gt;"Yes","N/A",IF(AC143="","NO EXPIRY SET",IF(TODAY()&gt;AC143,"EXPIRED",IF(AC143-TODAY()&lt;=30,"Expiring Soon","Active")))))</f>
        <v/>
      </c>
      <c r="AE143" s="36"/>
      <c r="AF143" s="36"/>
      <c r="AG143" s="37"/>
      <c r="AH143" s="36"/>
      <c r="AI143" s="37"/>
      <c r="AJ143" s="37"/>
      <c r="AK143" s="37"/>
      <c r="AL143" s="37"/>
      <c r="AM143" s="38"/>
      <c r="AN143" s="37"/>
      <c r="AO143" s="37"/>
      <c r="AP143" s="41" t="str">
        <f aca="false">IF(AM143="","",AM143+90)</f>
        <v/>
      </c>
      <c r="AQ143" s="39" t="str">
        <f aca="true">IF(C143="","",IF(AM143="","NOT REVIEWED",IF(TODAY()&gt;AP143,"OVERDUE",IF(AP143-TODAY()&lt;=14,"Due Soon","Current"))))</f>
        <v/>
      </c>
      <c r="AR143" s="36"/>
    </row>
    <row r="144" customFormat="false" ht="15" hidden="false" customHeight="false" outlineLevel="0" collapsed="false">
      <c r="A144" s="36"/>
      <c r="B144" s="36"/>
      <c r="C144" s="36"/>
      <c r="D144" s="36"/>
      <c r="E144" s="37"/>
      <c r="F144" s="37"/>
      <c r="G144" s="37"/>
      <c r="H144" s="38"/>
      <c r="I144" s="38"/>
      <c r="J144" s="38"/>
      <c r="K144" s="37"/>
      <c r="L144" s="36"/>
      <c r="M144" s="36"/>
      <c r="N144" s="37"/>
      <c r="O144" s="37"/>
      <c r="P144" s="36"/>
      <c r="Q144" s="39" t="str">
        <f aca="true">IF(J144="","",TODAY()-J144)</f>
        <v/>
      </c>
      <c r="R144" s="37"/>
      <c r="S144" s="40" t="str">
        <f aca="false">IFERROR(INDEX('Azure Resource Map'!$D$2:$D$2001,MATCH($C144,'Azure Resource Map'!$A$2:$A$2001,0)),"")</f>
        <v/>
      </c>
      <c r="T144" s="39" t="str">
        <f aca="false">IFERROR(INDEX('Azure Resource Map'!$E$2:$E$2001,MATCH($C144,'Azure Resource Map'!$A$2:$A$2001,0)),"")</f>
        <v/>
      </c>
      <c r="U144" s="39" t="str">
        <f aca="false">IFERROR(INDEX('Azure Resource Map'!$F$2:$F$2001,MATCH($C144,'Azure Resource Map'!$A$2:$A$2001,0)),"")</f>
        <v/>
      </c>
      <c r="V144" s="39" t="str">
        <f aca="false">IF($C144="","",IF(ISNUMBER(MATCH($C144,'CA Exclusion Map'!$A$2:$A$2001,0)),"Yes","No"))</f>
        <v/>
      </c>
      <c r="W144" s="39" t="str">
        <f aca="false">IFERROR(INDEX('CA Exclusion Map'!$D$2:$D$2001,MATCH($C144,'CA Exclusion Map'!$A$2:$A$2001,0)),"")</f>
        <v/>
      </c>
      <c r="X144" s="40" t="str">
        <f aca="false">IFERROR(INDEX('CA Exclusion Map'!$E$2:$E$2001,MATCH($C144,'CA Exclusion Map'!$A$2:$A$2001,0)),"")</f>
        <v/>
      </c>
      <c r="Y144" s="40" t="str">
        <f aca="false">IFERROR(INDEX('CA Exclusion Map'!$F$2:$F$2001,MATCH($C144,'CA Exclusion Map'!$A$2:$A$2001,0)),"")</f>
        <v/>
      </c>
      <c r="Z144" s="36"/>
      <c r="AA144" s="37"/>
      <c r="AB144" s="38"/>
      <c r="AC144" s="38"/>
      <c r="AD144" s="39" t="str">
        <f aca="true">IF(V144="","",IF(V144&lt;&gt;"Yes","N/A",IF(AC144="","NO EXPIRY SET",IF(TODAY()&gt;AC144,"EXPIRED",IF(AC144-TODAY()&lt;=30,"Expiring Soon","Active")))))</f>
        <v/>
      </c>
      <c r="AE144" s="36"/>
      <c r="AF144" s="36"/>
      <c r="AG144" s="37"/>
      <c r="AH144" s="36"/>
      <c r="AI144" s="37"/>
      <c r="AJ144" s="37"/>
      <c r="AK144" s="37"/>
      <c r="AL144" s="37"/>
      <c r="AM144" s="38"/>
      <c r="AN144" s="37"/>
      <c r="AO144" s="37"/>
      <c r="AP144" s="41" t="str">
        <f aca="false">IF(AM144="","",AM144+90)</f>
        <v/>
      </c>
      <c r="AQ144" s="39" t="str">
        <f aca="true">IF(C144="","",IF(AM144="","NOT REVIEWED",IF(TODAY()&gt;AP144,"OVERDUE",IF(AP144-TODAY()&lt;=14,"Due Soon","Current"))))</f>
        <v/>
      </c>
      <c r="AR144" s="36"/>
    </row>
    <row r="145" customFormat="false" ht="15" hidden="false" customHeight="false" outlineLevel="0" collapsed="false">
      <c r="A145" s="36"/>
      <c r="B145" s="36"/>
      <c r="C145" s="36"/>
      <c r="D145" s="36"/>
      <c r="E145" s="37"/>
      <c r="F145" s="37"/>
      <c r="G145" s="37"/>
      <c r="H145" s="38"/>
      <c r="I145" s="38"/>
      <c r="J145" s="38"/>
      <c r="K145" s="37"/>
      <c r="L145" s="36"/>
      <c r="M145" s="36"/>
      <c r="N145" s="37"/>
      <c r="O145" s="37"/>
      <c r="P145" s="36"/>
      <c r="Q145" s="39" t="str">
        <f aca="true">IF(J145="","",TODAY()-J145)</f>
        <v/>
      </c>
      <c r="R145" s="37"/>
      <c r="S145" s="40" t="str">
        <f aca="false">IFERROR(INDEX('Azure Resource Map'!$D$2:$D$2001,MATCH($C145,'Azure Resource Map'!$A$2:$A$2001,0)),"")</f>
        <v/>
      </c>
      <c r="T145" s="39" t="str">
        <f aca="false">IFERROR(INDEX('Azure Resource Map'!$E$2:$E$2001,MATCH($C145,'Azure Resource Map'!$A$2:$A$2001,0)),"")</f>
        <v/>
      </c>
      <c r="U145" s="39" t="str">
        <f aca="false">IFERROR(INDEX('Azure Resource Map'!$F$2:$F$2001,MATCH($C145,'Azure Resource Map'!$A$2:$A$2001,0)),"")</f>
        <v/>
      </c>
      <c r="V145" s="39" t="str">
        <f aca="false">IF($C145="","",IF(ISNUMBER(MATCH($C145,'CA Exclusion Map'!$A$2:$A$2001,0)),"Yes","No"))</f>
        <v/>
      </c>
      <c r="W145" s="39" t="str">
        <f aca="false">IFERROR(INDEX('CA Exclusion Map'!$D$2:$D$2001,MATCH($C145,'CA Exclusion Map'!$A$2:$A$2001,0)),"")</f>
        <v/>
      </c>
      <c r="X145" s="40" t="str">
        <f aca="false">IFERROR(INDEX('CA Exclusion Map'!$E$2:$E$2001,MATCH($C145,'CA Exclusion Map'!$A$2:$A$2001,0)),"")</f>
        <v/>
      </c>
      <c r="Y145" s="40" t="str">
        <f aca="false">IFERROR(INDEX('CA Exclusion Map'!$F$2:$F$2001,MATCH($C145,'CA Exclusion Map'!$A$2:$A$2001,0)),"")</f>
        <v/>
      </c>
      <c r="Z145" s="36"/>
      <c r="AA145" s="37"/>
      <c r="AB145" s="38"/>
      <c r="AC145" s="38"/>
      <c r="AD145" s="39" t="str">
        <f aca="true">IF(V145="","",IF(V145&lt;&gt;"Yes","N/A",IF(AC145="","NO EXPIRY SET",IF(TODAY()&gt;AC145,"EXPIRED",IF(AC145-TODAY()&lt;=30,"Expiring Soon","Active")))))</f>
        <v/>
      </c>
      <c r="AE145" s="36"/>
      <c r="AF145" s="36"/>
      <c r="AG145" s="37"/>
      <c r="AH145" s="36"/>
      <c r="AI145" s="37"/>
      <c r="AJ145" s="37"/>
      <c r="AK145" s="37"/>
      <c r="AL145" s="37"/>
      <c r="AM145" s="38"/>
      <c r="AN145" s="37"/>
      <c r="AO145" s="37"/>
      <c r="AP145" s="41" t="str">
        <f aca="false">IF(AM145="","",AM145+90)</f>
        <v/>
      </c>
      <c r="AQ145" s="39" t="str">
        <f aca="true">IF(C145="","",IF(AM145="","NOT REVIEWED",IF(TODAY()&gt;AP145,"OVERDUE",IF(AP145-TODAY()&lt;=14,"Due Soon","Current"))))</f>
        <v/>
      </c>
      <c r="AR145" s="36"/>
    </row>
    <row r="146" customFormat="false" ht="15" hidden="false" customHeight="false" outlineLevel="0" collapsed="false">
      <c r="A146" s="36"/>
      <c r="B146" s="36"/>
      <c r="C146" s="36"/>
      <c r="D146" s="36"/>
      <c r="E146" s="37"/>
      <c r="F146" s="37"/>
      <c r="G146" s="37"/>
      <c r="H146" s="38"/>
      <c r="I146" s="38"/>
      <c r="J146" s="38"/>
      <c r="K146" s="37"/>
      <c r="L146" s="36"/>
      <c r="M146" s="36"/>
      <c r="N146" s="37"/>
      <c r="O146" s="37"/>
      <c r="P146" s="36"/>
      <c r="Q146" s="39" t="str">
        <f aca="true">IF(J146="","",TODAY()-J146)</f>
        <v/>
      </c>
      <c r="R146" s="37"/>
      <c r="S146" s="40" t="str">
        <f aca="false">IFERROR(INDEX('Azure Resource Map'!$D$2:$D$2001,MATCH($C146,'Azure Resource Map'!$A$2:$A$2001,0)),"")</f>
        <v/>
      </c>
      <c r="T146" s="39" t="str">
        <f aca="false">IFERROR(INDEX('Azure Resource Map'!$E$2:$E$2001,MATCH($C146,'Azure Resource Map'!$A$2:$A$2001,0)),"")</f>
        <v/>
      </c>
      <c r="U146" s="39" t="str">
        <f aca="false">IFERROR(INDEX('Azure Resource Map'!$F$2:$F$2001,MATCH($C146,'Azure Resource Map'!$A$2:$A$2001,0)),"")</f>
        <v/>
      </c>
      <c r="V146" s="39" t="str">
        <f aca="false">IF($C146="","",IF(ISNUMBER(MATCH($C146,'CA Exclusion Map'!$A$2:$A$2001,0)),"Yes","No"))</f>
        <v/>
      </c>
      <c r="W146" s="39" t="str">
        <f aca="false">IFERROR(INDEX('CA Exclusion Map'!$D$2:$D$2001,MATCH($C146,'CA Exclusion Map'!$A$2:$A$2001,0)),"")</f>
        <v/>
      </c>
      <c r="X146" s="40" t="str">
        <f aca="false">IFERROR(INDEX('CA Exclusion Map'!$E$2:$E$2001,MATCH($C146,'CA Exclusion Map'!$A$2:$A$2001,0)),"")</f>
        <v/>
      </c>
      <c r="Y146" s="40" t="str">
        <f aca="false">IFERROR(INDEX('CA Exclusion Map'!$F$2:$F$2001,MATCH($C146,'CA Exclusion Map'!$A$2:$A$2001,0)),"")</f>
        <v/>
      </c>
      <c r="Z146" s="36"/>
      <c r="AA146" s="37"/>
      <c r="AB146" s="38"/>
      <c r="AC146" s="38"/>
      <c r="AD146" s="39" t="str">
        <f aca="true">IF(V146="","",IF(V146&lt;&gt;"Yes","N/A",IF(AC146="","NO EXPIRY SET",IF(TODAY()&gt;AC146,"EXPIRED",IF(AC146-TODAY()&lt;=30,"Expiring Soon","Active")))))</f>
        <v/>
      </c>
      <c r="AE146" s="36"/>
      <c r="AF146" s="36"/>
      <c r="AG146" s="37"/>
      <c r="AH146" s="36"/>
      <c r="AI146" s="37"/>
      <c r="AJ146" s="37"/>
      <c r="AK146" s="37"/>
      <c r="AL146" s="37"/>
      <c r="AM146" s="38"/>
      <c r="AN146" s="37"/>
      <c r="AO146" s="37"/>
      <c r="AP146" s="41" t="str">
        <f aca="false">IF(AM146="","",AM146+90)</f>
        <v/>
      </c>
      <c r="AQ146" s="39" t="str">
        <f aca="true">IF(C146="","",IF(AM146="","NOT REVIEWED",IF(TODAY()&gt;AP146,"OVERDUE",IF(AP146-TODAY()&lt;=14,"Due Soon","Current"))))</f>
        <v/>
      </c>
      <c r="AR146" s="36"/>
    </row>
    <row r="147" customFormat="false" ht="15" hidden="false" customHeight="false" outlineLevel="0" collapsed="false">
      <c r="A147" s="36"/>
      <c r="B147" s="36"/>
      <c r="C147" s="36"/>
      <c r="D147" s="36"/>
      <c r="E147" s="37"/>
      <c r="F147" s="37"/>
      <c r="G147" s="37"/>
      <c r="H147" s="38"/>
      <c r="I147" s="38"/>
      <c r="J147" s="38"/>
      <c r="K147" s="37"/>
      <c r="L147" s="36"/>
      <c r="M147" s="36"/>
      <c r="N147" s="37"/>
      <c r="O147" s="37"/>
      <c r="P147" s="36"/>
      <c r="Q147" s="39" t="str">
        <f aca="true">IF(J147="","",TODAY()-J147)</f>
        <v/>
      </c>
      <c r="R147" s="37"/>
      <c r="S147" s="40" t="str">
        <f aca="false">IFERROR(INDEX('Azure Resource Map'!$D$2:$D$2001,MATCH($C147,'Azure Resource Map'!$A$2:$A$2001,0)),"")</f>
        <v/>
      </c>
      <c r="T147" s="39" t="str">
        <f aca="false">IFERROR(INDEX('Azure Resource Map'!$E$2:$E$2001,MATCH($C147,'Azure Resource Map'!$A$2:$A$2001,0)),"")</f>
        <v/>
      </c>
      <c r="U147" s="39" t="str">
        <f aca="false">IFERROR(INDEX('Azure Resource Map'!$F$2:$F$2001,MATCH($C147,'Azure Resource Map'!$A$2:$A$2001,0)),"")</f>
        <v/>
      </c>
      <c r="V147" s="39" t="str">
        <f aca="false">IF($C147="","",IF(ISNUMBER(MATCH($C147,'CA Exclusion Map'!$A$2:$A$2001,0)),"Yes","No"))</f>
        <v/>
      </c>
      <c r="W147" s="39" t="str">
        <f aca="false">IFERROR(INDEX('CA Exclusion Map'!$D$2:$D$2001,MATCH($C147,'CA Exclusion Map'!$A$2:$A$2001,0)),"")</f>
        <v/>
      </c>
      <c r="X147" s="40" t="str">
        <f aca="false">IFERROR(INDEX('CA Exclusion Map'!$E$2:$E$2001,MATCH($C147,'CA Exclusion Map'!$A$2:$A$2001,0)),"")</f>
        <v/>
      </c>
      <c r="Y147" s="40" t="str">
        <f aca="false">IFERROR(INDEX('CA Exclusion Map'!$F$2:$F$2001,MATCH($C147,'CA Exclusion Map'!$A$2:$A$2001,0)),"")</f>
        <v/>
      </c>
      <c r="Z147" s="36"/>
      <c r="AA147" s="37"/>
      <c r="AB147" s="38"/>
      <c r="AC147" s="38"/>
      <c r="AD147" s="39" t="str">
        <f aca="true">IF(V147="","",IF(V147&lt;&gt;"Yes","N/A",IF(AC147="","NO EXPIRY SET",IF(TODAY()&gt;AC147,"EXPIRED",IF(AC147-TODAY()&lt;=30,"Expiring Soon","Active")))))</f>
        <v/>
      </c>
      <c r="AE147" s="36"/>
      <c r="AF147" s="36"/>
      <c r="AG147" s="37"/>
      <c r="AH147" s="36"/>
      <c r="AI147" s="37"/>
      <c r="AJ147" s="37"/>
      <c r="AK147" s="37"/>
      <c r="AL147" s="37"/>
      <c r="AM147" s="38"/>
      <c r="AN147" s="37"/>
      <c r="AO147" s="37"/>
      <c r="AP147" s="41" t="str">
        <f aca="false">IF(AM147="","",AM147+90)</f>
        <v/>
      </c>
      <c r="AQ147" s="39" t="str">
        <f aca="true">IF(C147="","",IF(AM147="","NOT REVIEWED",IF(TODAY()&gt;AP147,"OVERDUE",IF(AP147-TODAY()&lt;=14,"Due Soon","Current"))))</f>
        <v/>
      </c>
      <c r="AR147" s="36"/>
    </row>
    <row r="148" customFormat="false" ht="15" hidden="false" customHeight="false" outlineLevel="0" collapsed="false">
      <c r="A148" s="36"/>
      <c r="B148" s="36"/>
      <c r="C148" s="36"/>
      <c r="D148" s="36"/>
      <c r="E148" s="37"/>
      <c r="F148" s="37"/>
      <c r="G148" s="37"/>
      <c r="H148" s="38"/>
      <c r="I148" s="38"/>
      <c r="J148" s="38"/>
      <c r="K148" s="37"/>
      <c r="L148" s="36"/>
      <c r="M148" s="36"/>
      <c r="N148" s="37"/>
      <c r="O148" s="37"/>
      <c r="P148" s="36"/>
      <c r="Q148" s="39" t="str">
        <f aca="true">IF(J148="","",TODAY()-J148)</f>
        <v/>
      </c>
      <c r="R148" s="37"/>
      <c r="S148" s="40" t="str">
        <f aca="false">IFERROR(INDEX('Azure Resource Map'!$D$2:$D$2001,MATCH($C148,'Azure Resource Map'!$A$2:$A$2001,0)),"")</f>
        <v/>
      </c>
      <c r="T148" s="39" t="str">
        <f aca="false">IFERROR(INDEX('Azure Resource Map'!$E$2:$E$2001,MATCH($C148,'Azure Resource Map'!$A$2:$A$2001,0)),"")</f>
        <v/>
      </c>
      <c r="U148" s="39" t="str">
        <f aca="false">IFERROR(INDEX('Azure Resource Map'!$F$2:$F$2001,MATCH($C148,'Azure Resource Map'!$A$2:$A$2001,0)),"")</f>
        <v/>
      </c>
      <c r="V148" s="39" t="str">
        <f aca="false">IF($C148="","",IF(ISNUMBER(MATCH($C148,'CA Exclusion Map'!$A$2:$A$2001,0)),"Yes","No"))</f>
        <v/>
      </c>
      <c r="W148" s="39" t="str">
        <f aca="false">IFERROR(INDEX('CA Exclusion Map'!$D$2:$D$2001,MATCH($C148,'CA Exclusion Map'!$A$2:$A$2001,0)),"")</f>
        <v/>
      </c>
      <c r="X148" s="40" t="str">
        <f aca="false">IFERROR(INDEX('CA Exclusion Map'!$E$2:$E$2001,MATCH($C148,'CA Exclusion Map'!$A$2:$A$2001,0)),"")</f>
        <v/>
      </c>
      <c r="Y148" s="40" t="str">
        <f aca="false">IFERROR(INDEX('CA Exclusion Map'!$F$2:$F$2001,MATCH($C148,'CA Exclusion Map'!$A$2:$A$2001,0)),"")</f>
        <v/>
      </c>
      <c r="Z148" s="36"/>
      <c r="AA148" s="37"/>
      <c r="AB148" s="38"/>
      <c r="AC148" s="38"/>
      <c r="AD148" s="39" t="str">
        <f aca="true">IF(V148="","",IF(V148&lt;&gt;"Yes","N/A",IF(AC148="","NO EXPIRY SET",IF(TODAY()&gt;AC148,"EXPIRED",IF(AC148-TODAY()&lt;=30,"Expiring Soon","Active")))))</f>
        <v/>
      </c>
      <c r="AE148" s="36"/>
      <c r="AF148" s="36"/>
      <c r="AG148" s="37"/>
      <c r="AH148" s="36"/>
      <c r="AI148" s="37"/>
      <c r="AJ148" s="37"/>
      <c r="AK148" s="37"/>
      <c r="AL148" s="37"/>
      <c r="AM148" s="38"/>
      <c r="AN148" s="37"/>
      <c r="AO148" s="37"/>
      <c r="AP148" s="41" t="str">
        <f aca="false">IF(AM148="","",AM148+90)</f>
        <v/>
      </c>
      <c r="AQ148" s="39" t="str">
        <f aca="true">IF(C148="","",IF(AM148="","NOT REVIEWED",IF(TODAY()&gt;AP148,"OVERDUE",IF(AP148-TODAY()&lt;=14,"Due Soon","Current"))))</f>
        <v/>
      </c>
      <c r="AR148" s="36"/>
    </row>
    <row r="149" customFormat="false" ht="15" hidden="false" customHeight="false" outlineLevel="0" collapsed="false">
      <c r="A149" s="36"/>
      <c r="B149" s="36"/>
      <c r="C149" s="36"/>
      <c r="D149" s="36"/>
      <c r="E149" s="37"/>
      <c r="F149" s="37"/>
      <c r="G149" s="37"/>
      <c r="H149" s="38"/>
      <c r="I149" s="38"/>
      <c r="J149" s="38"/>
      <c r="K149" s="37"/>
      <c r="L149" s="36"/>
      <c r="M149" s="36"/>
      <c r="N149" s="37"/>
      <c r="O149" s="37"/>
      <c r="P149" s="36"/>
      <c r="Q149" s="39" t="str">
        <f aca="true">IF(J149="","",TODAY()-J149)</f>
        <v/>
      </c>
      <c r="R149" s="37"/>
      <c r="S149" s="40" t="str">
        <f aca="false">IFERROR(INDEX('Azure Resource Map'!$D$2:$D$2001,MATCH($C149,'Azure Resource Map'!$A$2:$A$2001,0)),"")</f>
        <v/>
      </c>
      <c r="T149" s="39" t="str">
        <f aca="false">IFERROR(INDEX('Azure Resource Map'!$E$2:$E$2001,MATCH($C149,'Azure Resource Map'!$A$2:$A$2001,0)),"")</f>
        <v/>
      </c>
      <c r="U149" s="39" t="str">
        <f aca="false">IFERROR(INDEX('Azure Resource Map'!$F$2:$F$2001,MATCH($C149,'Azure Resource Map'!$A$2:$A$2001,0)),"")</f>
        <v/>
      </c>
      <c r="V149" s="39" t="str">
        <f aca="false">IF($C149="","",IF(ISNUMBER(MATCH($C149,'CA Exclusion Map'!$A$2:$A$2001,0)),"Yes","No"))</f>
        <v/>
      </c>
      <c r="W149" s="39" t="str">
        <f aca="false">IFERROR(INDEX('CA Exclusion Map'!$D$2:$D$2001,MATCH($C149,'CA Exclusion Map'!$A$2:$A$2001,0)),"")</f>
        <v/>
      </c>
      <c r="X149" s="40" t="str">
        <f aca="false">IFERROR(INDEX('CA Exclusion Map'!$E$2:$E$2001,MATCH($C149,'CA Exclusion Map'!$A$2:$A$2001,0)),"")</f>
        <v/>
      </c>
      <c r="Y149" s="40" t="str">
        <f aca="false">IFERROR(INDEX('CA Exclusion Map'!$F$2:$F$2001,MATCH($C149,'CA Exclusion Map'!$A$2:$A$2001,0)),"")</f>
        <v/>
      </c>
      <c r="Z149" s="36"/>
      <c r="AA149" s="37"/>
      <c r="AB149" s="38"/>
      <c r="AC149" s="38"/>
      <c r="AD149" s="39" t="str">
        <f aca="true">IF(V149="","",IF(V149&lt;&gt;"Yes","N/A",IF(AC149="","NO EXPIRY SET",IF(TODAY()&gt;AC149,"EXPIRED",IF(AC149-TODAY()&lt;=30,"Expiring Soon","Active")))))</f>
        <v/>
      </c>
      <c r="AE149" s="36"/>
      <c r="AF149" s="36"/>
      <c r="AG149" s="37"/>
      <c r="AH149" s="36"/>
      <c r="AI149" s="37"/>
      <c r="AJ149" s="37"/>
      <c r="AK149" s="37"/>
      <c r="AL149" s="37"/>
      <c r="AM149" s="38"/>
      <c r="AN149" s="37"/>
      <c r="AO149" s="37"/>
      <c r="AP149" s="41" t="str">
        <f aca="false">IF(AM149="","",AM149+90)</f>
        <v/>
      </c>
      <c r="AQ149" s="39" t="str">
        <f aca="true">IF(C149="","",IF(AM149="","NOT REVIEWED",IF(TODAY()&gt;AP149,"OVERDUE",IF(AP149-TODAY()&lt;=14,"Due Soon","Current"))))</f>
        <v/>
      </c>
      <c r="AR149" s="36"/>
    </row>
    <row r="150" customFormat="false" ht="15" hidden="false" customHeight="false" outlineLevel="0" collapsed="false">
      <c r="A150" s="36"/>
      <c r="B150" s="36"/>
      <c r="C150" s="36"/>
      <c r="D150" s="36"/>
      <c r="E150" s="37"/>
      <c r="F150" s="37"/>
      <c r="G150" s="37"/>
      <c r="H150" s="38"/>
      <c r="I150" s="38"/>
      <c r="J150" s="38"/>
      <c r="K150" s="37"/>
      <c r="L150" s="36"/>
      <c r="M150" s="36"/>
      <c r="N150" s="37"/>
      <c r="O150" s="37"/>
      <c r="P150" s="36"/>
      <c r="Q150" s="39" t="str">
        <f aca="true">IF(J150="","",TODAY()-J150)</f>
        <v/>
      </c>
      <c r="R150" s="37"/>
      <c r="S150" s="40" t="str">
        <f aca="false">IFERROR(INDEX('Azure Resource Map'!$D$2:$D$2001,MATCH($C150,'Azure Resource Map'!$A$2:$A$2001,0)),"")</f>
        <v/>
      </c>
      <c r="T150" s="39" t="str">
        <f aca="false">IFERROR(INDEX('Azure Resource Map'!$E$2:$E$2001,MATCH($C150,'Azure Resource Map'!$A$2:$A$2001,0)),"")</f>
        <v/>
      </c>
      <c r="U150" s="39" t="str">
        <f aca="false">IFERROR(INDEX('Azure Resource Map'!$F$2:$F$2001,MATCH($C150,'Azure Resource Map'!$A$2:$A$2001,0)),"")</f>
        <v/>
      </c>
      <c r="V150" s="39" t="str">
        <f aca="false">IF($C150="","",IF(ISNUMBER(MATCH($C150,'CA Exclusion Map'!$A$2:$A$2001,0)),"Yes","No"))</f>
        <v/>
      </c>
      <c r="W150" s="39" t="str">
        <f aca="false">IFERROR(INDEX('CA Exclusion Map'!$D$2:$D$2001,MATCH($C150,'CA Exclusion Map'!$A$2:$A$2001,0)),"")</f>
        <v/>
      </c>
      <c r="X150" s="40" t="str">
        <f aca="false">IFERROR(INDEX('CA Exclusion Map'!$E$2:$E$2001,MATCH($C150,'CA Exclusion Map'!$A$2:$A$2001,0)),"")</f>
        <v/>
      </c>
      <c r="Y150" s="40" t="str">
        <f aca="false">IFERROR(INDEX('CA Exclusion Map'!$F$2:$F$2001,MATCH($C150,'CA Exclusion Map'!$A$2:$A$2001,0)),"")</f>
        <v/>
      </c>
      <c r="Z150" s="36"/>
      <c r="AA150" s="37"/>
      <c r="AB150" s="38"/>
      <c r="AC150" s="38"/>
      <c r="AD150" s="39" t="str">
        <f aca="true">IF(V150="","",IF(V150&lt;&gt;"Yes","N/A",IF(AC150="","NO EXPIRY SET",IF(TODAY()&gt;AC150,"EXPIRED",IF(AC150-TODAY()&lt;=30,"Expiring Soon","Active")))))</f>
        <v/>
      </c>
      <c r="AE150" s="36"/>
      <c r="AF150" s="36"/>
      <c r="AG150" s="37"/>
      <c r="AH150" s="36"/>
      <c r="AI150" s="37"/>
      <c r="AJ150" s="37"/>
      <c r="AK150" s="37"/>
      <c r="AL150" s="37"/>
      <c r="AM150" s="38"/>
      <c r="AN150" s="37"/>
      <c r="AO150" s="37"/>
      <c r="AP150" s="41" t="str">
        <f aca="false">IF(AM150="","",AM150+90)</f>
        <v/>
      </c>
      <c r="AQ150" s="39" t="str">
        <f aca="true">IF(C150="","",IF(AM150="","NOT REVIEWED",IF(TODAY()&gt;AP150,"OVERDUE",IF(AP150-TODAY()&lt;=14,"Due Soon","Current"))))</f>
        <v/>
      </c>
      <c r="AR150" s="36"/>
    </row>
    <row r="151" customFormat="false" ht="15" hidden="false" customHeight="false" outlineLevel="0" collapsed="false">
      <c r="A151" s="36"/>
      <c r="B151" s="36"/>
      <c r="C151" s="36"/>
      <c r="D151" s="36"/>
      <c r="E151" s="37"/>
      <c r="F151" s="37"/>
      <c r="G151" s="37"/>
      <c r="H151" s="38"/>
      <c r="I151" s="38"/>
      <c r="J151" s="38"/>
      <c r="K151" s="37"/>
      <c r="L151" s="36"/>
      <c r="M151" s="36"/>
      <c r="N151" s="37"/>
      <c r="O151" s="37"/>
      <c r="P151" s="36"/>
      <c r="Q151" s="39" t="str">
        <f aca="true">IF(J151="","",TODAY()-J151)</f>
        <v/>
      </c>
      <c r="R151" s="37"/>
      <c r="S151" s="40" t="str">
        <f aca="false">IFERROR(INDEX('Azure Resource Map'!$D$2:$D$2001,MATCH($C151,'Azure Resource Map'!$A$2:$A$2001,0)),"")</f>
        <v/>
      </c>
      <c r="T151" s="39" t="str">
        <f aca="false">IFERROR(INDEX('Azure Resource Map'!$E$2:$E$2001,MATCH($C151,'Azure Resource Map'!$A$2:$A$2001,0)),"")</f>
        <v/>
      </c>
      <c r="U151" s="39" t="str">
        <f aca="false">IFERROR(INDEX('Azure Resource Map'!$F$2:$F$2001,MATCH($C151,'Azure Resource Map'!$A$2:$A$2001,0)),"")</f>
        <v/>
      </c>
      <c r="V151" s="39" t="str">
        <f aca="false">IF($C151="","",IF(ISNUMBER(MATCH($C151,'CA Exclusion Map'!$A$2:$A$2001,0)),"Yes","No"))</f>
        <v/>
      </c>
      <c r="W151" s="39" t="str">
        <f aca="false">IFERROR(INDEX('CA Exclusion Map'!$D$2:$D$2001,MATCH($C151,'CA Exclusion Map'!$A$2:$A$2001,0)),"")</f>
        <v/>
      </c>
      <c r="X151" s="40" t="str">
        <f aca="false">IFERROR(INDEX('CA Exclusion Map'!$E$2:$E$2001,MATCH($C151,'CA Exclusion Map'!$A$2:$A$2001,0)),"")</f>
        <v/>
      </c>
      <c r="Y151" s="40" t="str">
        <f aca="false">IFERROR(INDEX('CA Exclusion Map'!$F$2:$F$2001,MATCH($C151,'CA Exclusion Map'!$A$2:$A$2001,0)),"")</f>
        <v/>
      </c>
      <c r="Z151" s="36"/>
      <c r="AA151" s="37"/>
      <c r="AB151" s="38"/>
      <c r="AC151" s="38"/>
      <c r="AD151" s="39" t="str">
        <f aca="true">IF(V151="","",IF(V151&lt;&gt;"Yes","N/A",IF(AC151="","NO EXPIRY SET",IF(TODAY()&gt;AC151,"EXPIRED",IF(AC151-TODAY()&lt;=30,"Expiring Soon","Active")))))</f>
        <v/>
      </c>
      <c r="AE151" s="36"/>
      <c r="AF151" s="36"/>
      <c r="AG151" s="37"/>
      <c r="AH151" s="36"/>
      <c r="AI151" s="37"/>
      <c r="AJ151" s="37"/>
      <c r="AK151" s="37"/>
      <c r="AL151" s="37"/>
      <c r="AM151" s="38"/>
      <c r="AN151" s="37"/>
      <c r="AO151" s="37"/>
      <c r="AP151" s="41" t="str">
        <f aca="false">IF(AM151="","",AM151+90)</f>
        <v/>
      </c>
      <c r="AQ151" s="39" t="str">
        <f aca="true">IF(C151="","",IF(AM151="","NOT REVIEWED",IF(TODAY()&gt;AP151,"OVERDUE",IF(AP151-TODAY()&lt;=14,"Due Soon","Current"))))</f>
        <v/>
      </c>
      <c r="AR151" s="36"/>
    </row>
    <row r="152" customFormat="false" ht="15" hidden="false" customHeight="false" outlineLevel="0" collapsed="false">
      <c r="A152" s="36"/>
      <c r="B152" s="36"/>
      <c r="C152" s="36"/>
      <c r="D152" s="36"/>
      <c r="E152" s="37"/>
      <c r="F152" s="37"/>
      <c r="G152" s="37"/>
      <c r="H152" s="38"/>
      <c r="I152" s="38"/>
      <c r="J152" s="38"/>
      <c r="K152" s="37"/>
      <c r="L152" s="36"/>
      <c r="M152" s="36"/>
      <c r="N152" s="37"/>
      <c r="O152" s="37"/>
      <c r="P152" s="36"/>
      <c r="Q152" s="39" t="str">
        <f aca="true">IF(J152="","",TODAY()-J152)</f>
        <v/>
      </c>
      <c r="R152" s="37"/>
      <c r="S152" s="40" t="str">
        <f aca="false">IFERROR(INDEX('Azure Resource Map'!$D$2:$D$2001,MATCH($C152,'Azure Resource Map'!$A$2:$A$2001,0)),"")</f>
        <v/>
      </c>
      <c r="T152" s="39" t="str">
        <f aca="false">IFERROR(INDEX('Azure Resource Map'!$E$2:$E$2001,MATCH($C152,'Azure Resource Map'!$A$2:$A$2001,0)),"")</f>
        <v/>
      </c>
      <c r="U152" s="39" t="str">
        <f aca="false">IFERROR(INDEX('Azure Resource Map'!$F$2:$F$2001,MATCH($C152,'Azure Resource Map'!$A$2:$A$2001,0)),"")</f>
        <v/>
      </c>
      <c r="V152" s="39" t="str">
        <f aca="false">IF($C152="","",IF(ISNUMBER(MATCH($C152,'CA Exclusion Map'!$A$2:$A$2001,0)),"Yes","No"))</f>
        <v/>
      </c>
      <c r="W152" s="39" t="str">
        <f aca="false">IFERROR(INDEX('CA Exclusion Map'!$D$2:$D$2001,MATCH($C152,'CA Exclusion Map'!$A$2:$A$2001,0)),"")</f>
        <v/>
      </c>
      <c r="X152" s="40" t="str">
        <f aca="false">IFERROR(INDEX('CA Exclusion Map'!$E$2:$E$2001,MATCH($C152,'CA Exclusion Map'!$A$2:$A$2001,0)),"")</f>
        <v/>
      </c>
      <c r="Y152" s="40" t="str">
        <f aca="false">IFERROR(INDEX('CA Exclusion Map'!$F$2:$F$2001,MATCH($C152,'CA Exclusion Map'!$A$2:$A$2001,0)),"")</f>
        <v/>
      </c>
      <c r="Z152" s="36"/>
      <c r="AA152" s="37"/>
      <c r="AB152" s="38"/>
      <c r="AC152" s="38"/>
      <c r="AD152" s="39" t="str">
        <f aca="true">IF(V152="","",IF(V152&lt;&gt;"Yes","N/A",IF(AC152="","NO EXPIRY SET",IF(TODAY()&gt;AC152,"EXPIRED",IF(AC152-TODAY()&lt;=30,"Expiring Soon","Active")))))</f>
        <v/>
      </c>
      <c r="AE152" s="36"/>
      <c r="AF152" s="36"/>
      <c r="AG152" s="37"/>
      <c r="AH152" s="36"/>
      <c r="AI152" s="37"/>
      <c r="AJ152" s="37"/>
      <c r="AK152" s="37"/>
      <c r="AL152" s="37"/>
      <c r="AM152" s="38"/>
      <c r="AN152" s="37"/>
      <c r="AO152" s="37"/>
      <c r="AP152" s="41" t="str">
        <f aca="false">IF(AM152="","",AM152+90)</f>
        <v/>
      </c>
      <c r="AQ152" s="39" t="str">
        <f aca="true">IF(C152="","",IF(AM152="","NOT REVIEWED",IF(TODAY()&gt;AP152,"OVERDUE",IF(AP152-TODAY()&lt;=14,"Due Soon","Current"))))</f>
        <v/>
      </c>
      <c r="AR152" s="36"/>
    </row>
    <row r="153" customFormat="false" ht="15" hidden="false" customHeight="false" outlineLevel="0" collapsed="false">
      <c r="A153" s="36"/>
      <c r="B153" s="36"/>
      <c r="C153" s="36"/>
      <c r="D153" s="36"/>
      <c r="E153" s="37"/>
      <c r="F153" s="37"/>
      <c r="G153" s="37"/>
      <c r="H153" s="38"/>
      <c r="I153" s="38"/>
      <c r="J153" s="38"/>
      <c r="K153" s="37"/>
      <c r="L153" s="36"/>
      <c r="M153" s="36"/>
      <c r="N153" s="37"/>
      <c r="O153" s="37"/>
      <c r="P153" s="36"/>
      <c r="Q153" s="39" t="str">
        <f aca="true">IF(J153="","",TODAY()-J153)</f>
        <v/>
      </c>
      <c r="R153" s="37"/>
      <c r="S153" s="40" t="str">
        <f aca="false">IFERROR(INDEX('Azure Resource Map'!$D$2:$D$2001,MATCH($C153,'Azure Resource Map'!$A$2:$A$2001,0)),"")</f>
        <v/>
      </c>
      <c r="T153" s="39" t="str">
        <f aca="false">IFERROR(INDEX('Azure Resource Map'!$E$2:$E$2001,MATCH($C153,'Azure Resource Map'!$A$2:$A$2001,0)),"")</f>
        <v/>
      </c>
      <c r="U153" s="39" t="str">
        <f aca="false">IFERROR(INDEX('Azure Resource Map'!$F$2:$F$2001,MATCH($C153,'Azure Resource Map'!$A$2:$A$2001,0)),"")</f>
        <v/>
      </c>
      <c r="V153" s="39" t="str">
        <f aca="false">IF($C153="","",IF(ISNUMBER(MATCH($C153,'CA Exclusion Map'!$A$2:$A$2001,0)),"Yes","No"))</f>
        <v/>
      </c>
      <c r="W153" s="39" t="str">
        <f aca="false">IFERROR(INDEX('CA Exclusion Map'!$D$2:$D$2001,MATCH($C153,'CA Exclusion Map'!$A$2:$A$2001,0)),"")</f>
        <v/>
      </c>
      <c r="X153" s="40" t="str">
        <f aca="false">IFERROR(INDEX('CA Exclusion Map'!$E$2:$E$2001,MATCH($C153,'CA Exclusion Map'!$A$2:$A$2001,0)),"")</f>
        <v/>
      </c>
      <c r="Y153" s="40" t="str">
        <f aca="false">IFERROR(INDEX('CA Exclusion Map'!$F$2:$F$2001,MATCH($C153,'CA Exclusion Map'!$A$2:$A$2001,0)),"")</f>
        <v/>
      </c>
      <c r="Z153" s="36"/>
      <c r="AA153" s="37"/>
      <c r="AB153" s="38"/>
      <c r="AC153" s="38"/>
      <c r="AD153" s="39" t="str">
        <f aca="true">IF(V153="","",IF(V153&lt;&gt;"Yes","N/A",IF(AC153="","NO EXPIRY SET",IF(TODAY()&gt;AC153,"EXPIRED",IF(AC153-TODAY()&lt;=30,"Expiring Soon","Active")))))</f>
        <v/>
      </c>
      <c r="AE153" s="36"/>
      <c r="AF153" s="36"/>
      <c r="AG153" s="37"/>
      <c r="AH153" s="36"/>
      <c r="AI153" s="37"/>
      <c r="AJ153" s="37"/>
      <c r="AK153" s="37"/>
      <c r="AL153" s="37"/>
      <c r="AM153" s="38"/>
      <c r="AN153" s="37"/>
      <c r="AO153" s="37"/>
      <c r="AP153" s="41" t="str">
        <f aca="false">IF(AM153="","",AM153+90)</f>
        <v/>
      </c>
      <c r="AQ153" s="39" t="str">
        <f aca="true">IF(C153="","",IF(AM153="","NOT REVIEWED",IF(TODAY()&gt;AP153,"OVERDUE",IF(AP153-TODAY()&lt;=14,"Due Soon","Current"))))</f>
        <v/>
      </c>
      <c r="AR153" s="36"/>
    </row>
    <row r="154" customFormat="false" ht="15" hidden="false" customHeight="false" outlineLevel="0" collapsed="false">
      <c r="A154" s="36"/>
      <c r="B154" s="36"/>
      <c r="C154" s="36"/>
      <c r="D154" s="36"/>
      <c r="E154" s="37"/>
      <c r="F154" s="37"/>
      <c r="G154" s="37"/>
      <c r="H154" s="38"/>
      <c r="I154" s="38"/>
      <c r="J154" s="38"/>
      <c r="K154" s="37"/>
      <c r="L154" s="36"/>
      <c r="M154" s="36"/>
      <c r="N154" s="37"/>
      <c r="O154" s="37"/>
      <c r="P154" s="36"/>
      <c r="Q154" s="39" t="str">
        <f aca="true">IF(J154="","",TODAY()-J154)</f>
        <v/>
      </c>
      <c r="R154" s="37"/>
      <c r="S154" s="40" t="str">
        <f aca="false">IFERROR(INDEX('Azure Resource Map'!$D$2:$D$2001,MATCH($C154,'Azure Resource Map'!$A$2:$A$2001,0)),"")</f>
        <v/>
      </c>
      <c r="T154" s="39" t="str">
        <f aca="false">IFERROR(INDEX('Azure Resource Map'!$E$2:$E$2001,MATCH($C154,'Azure Resource Map'!$A$2:$A$2001,0)),"")</f>
        <v/>
      </c>
      <c r="U154" s="39" t="str">
        <f aca="false">IFERROR(INDEX('Azure Resource Map'!$F$2:$F$2001,MATCH($C154,'Azure Resource Map'!$A$2:$A$2001,0)),"")</f>
        <v/>
      </c>
      <c r="V154" s="39" t="str">
        <f aca="false">IF($C154="","",IF(ISNUMBER(MATCH($C154,'CA Exclusion Map'!$A$2:$A$2001,0)),"Yes","No"))</f>
        <v/>
      </c>
      <c r="W154" s="39" t="str">
        <f aca="false">IFERROR(INDEX('CA Exclusion Map'!$D$2:$D$2001,MATCH($C154,'CA Exclusion Map'!$A$2:$A$2001,0)),"")</f>
        <v/>
      </c>
      <c r="X154" s="40" t="str">
        <f aca="false">IFERROR(INDEX('CA Exclusion Map'!$E$2:$E$2001,MATCH($C154,'CA Exclusion Map'!$A$2:$A$2001,0)),"")</f>
        <v/>
      </c>
      <c r="Y154" s="40" t="str">
        <f aca="false">IFERROR(INDEX('CA Exclusion Map'!$F$2:$F$2001,MATCH($C154,'CA Exclusion Map'!$A$2:$A$2001,0)),"")</f>
        <v/>
      </c>
      <c r="Z154" s="36"/>
      <c r="AA154" s="37"/>
      <c r="AB154" s="38"/>
      <c r="AC154" s="38"/>
      <c r="AD154" s="39" t="str">
        <f aca="true">IF(V154="","",IF(V154&lt;&gt;"Yes","N/A",IF(AC154="","NO EXPIRY SET",IF(TODAY()&gt;AC154,"EXPIRED",IF(AC154-TODAY()&lt;=30,"Expiring Soon","Active")))))</f>
        <v/>
      </c>
      <c r="AE154" s="36"/>
      <c r="AF154" s="36"/>
      <c r="AG154" s="37"/>
      <c r="AH154" s="36"/>
      <c r="AI154" s="37"/>
      <c r="AJ154" s="37"/>
      <c r="AK154" s="37"/>
      <c r="AL154" s="37"/>
      <c r="AM154" s="38"/>
      <c r="AN154" s="37"/>
      <c r="AO154" s="37"/>
      <c r="AP154" s="41" t="str">
        <f aca="false">IF(AM154="","",AM154+90)</f>
        <v/>
      </c>
      <c r="AQ154" s="39" t="str">
        <f aca="true">IF(C154="","",IF(AM154="","NOT REVIEWED",IF(TODAY()&gt;AP154,"OVERDUE",IF(AP154-TODAY()&lt;=14,"Due Soon","Current"))))</f>
        <v/>
      </c>
      <c r="AR154" s="36"/>
    </row>
    <row r="155" customFormat="false" ht="15" hidden="false" customHeight="false" outlineLevel="0" collapsed="false">
      <c r="A155" s="36"/>
      <c r="B155" s="36"/>
      <c r="C155" s="36"/>
      <c r="D155" s="36"/>
      <c r="E155" s="37"/>
      <c r="F155" s="37"/>
      <c r="G155" s="37"/>
      <c r="H155" s="38"/>
      <c r="I155" s="38"/>
      <c r="J155" s="38"/>
      <c r="K155" s="37"/>
      <c r="L155" s="36"/>
      <c r="M155" s="36"/>
      <c r="N155" s="37"/>
      <c r="O155" s="37"/>
      <c r="P155" s="36"/>
      <c r="Q155" s="39" t="str">
        <f aca="true">IF(J155="","",TODAY()-J155)</f>
        <v/>
      </c>
      <c r="R155" s="37"/>
      <c r="S155" s="40" t="str">
        <f aca="false">IFERROR(INDEX('Azure Resource Map'!$D$2:$D$2001,MATCH($C155,'Azure Resource Map'!$A$2:$A$2001,0)),"")</f>
        <v/>
      </c>
      <c r="T155" s="39" t="str">
        <f aca="false">IFERROR(INDEX('Azure Resource Map'!$E$2:$E$2001,MATCH($C155,'Azure Resource Map'!$A$2:$A$2001,0)),"")</f>
        <v/>
      </c>
      <c r="U155" s="39" t="str">
        <f aca="false">IFERROR(INDEX('Azure Resource Map'!$F$2:$F$2001,MATCH($C155,'Azure Resource Map'!$A$2:$A$2001,0)),"")</f>
        <v/>
      </c>
      <c r="V155" s="39" t="str">
        <f aca="false">IF($C155="","",IF(ISNUMBER(MATCH($C155,'CA Exclusion Map'!$A$2:$A$2001,0)),"Yes","No"))</f>
        <v/>
      </c>
      <c r="W155" s="39" t="str">
        <f aca="false">IFERROR(INDEX('CA Exclusion Map'!$D$2:$D$2001,MATCH($C155,'CA Exclusion Map'!$A$2:$A$2001,0)),"")</f>
        <v/>
      </c>
      <c r="X155" s="40" t="str">
        <f aca="false">IFERROR(INDEX('CA Exclusion Map'!$E$2:$E$2001,MATCH($C155,'CA Exclusion Map'!$A$2:$A$2001,0)),"")</f>
        <v/>
      </c>
      <c r="Y155" s="40" t="str">
        <f aca="false">IFERROR(INDEX('CA Exclusion Map'!$F$2:$F$2001,MATCH($C155,'CA Exclusion Map'!$A$2:$A$2001,0)),"")</f>
        <v/>
      </c>
      <c r="Z155" s="36"/>
      <c r="AA155" s="37"/>
      <c r="AB155" s="38"/>
      <c r="AC155" s="38"/>
      <c r="AD155" s="39" t="str">
        <f aca="true">IF(V155="","",IF(V155&lt;&gt;"Yes","N/A",IF(AC155="","NO EXPIRY SET",IF(TODAY()&gt;AC155,"EXPIRED",IF(AC155-TODAY()&lt;=30,"Expiring Soon","Active")))))</f>
        <v/>
      </c>
      <c r="AE155" s="36"/>
      <c r="AF155" s="36"/>
      <c r="AG155" s="37"/>
      <c r="AH155" s="36"/>
      <c r="AI155" s="37"/>
      <c r="AJ155" s="37"/>
      <c r="AK155" s="37"/>
      <c r="AL155" s="37"/>
      <c r="AM155" s="38"/>
      <c r="AN155" s="37"/>
      <c r="AO155" s="37"/>
      <c r="AP155" s="41" t="str">
        <f aca="false">IF(AM155="","",AM155+90)</f>
        <v/>
      </c>
      <c r="AQ155" s="39" t="str">
        <f aca="true">IF(C155="","",IF(AM155="","NOT REVIEWED",IF(TODAY()&gt;AP155,"OVERDUE",IF(AP155-TODAY()&lt;=14,"Due Soon","Current"))))</f>
        <v/>
      </c>
      <c r="AR155" s="36"/>
    </row>
    <row r="156" customFormat="false" ht="15" hidden="false" customHeight="false" outlineLevel="0" collapsed="false">
      <c r="A156" s="36"/>
      <c r="B156" s="36"/>
      <c r="C156" s="36"/>
      <c r="D156" s="36"/>
      <c r="E156" s="37"/>
      <c r="F156" s="37"/>
      <c r="G156" s="37"/>
      <c r="H156" s="38"/>
      <c r="I156" s="38"/>
      <c r="J156" s="38"/>
      <c r="K156" s="37"/>
      <c r="L156" s="36"/>
      <c r="M156" s="36"/>
      <c r="N156" s="37"/>
      <c r="O156" s="37"/>
      <c r="P156" s="36"/>
      <c r="Q156" s="39" t="str">
        <f aca="true">IF(J156="","",TODAY()-J156)</f>
        <v/>
      </c>
      <c r="R156" s="37"/>
      <c r="S156" s="40" t="str">
        <f aca="false">IFERROR(INDEX('Azure Resource Map'!$D$2:$D$2001,MATCH($C156,'Azure Resource Map'!$A$2:$A$2001,0)),"")</f>
        <v/>
      </c>
      <c r="T156" s="39" t="str">
        <f aca="false">IFERROR(INDEX('Azure Resource Map'!$E$2:$E$2001,MATCH($C156,'Azure Resource Map'!$A$2:$A$2001,0)),"")</f>
        <v/>
      </c>
      <c r="U156" s="39" t="str">
        <f aca="false">IFERROR(INDEX('Azure Resource Map'!$F$2:$F$2001,MATCH($C156,'Azure Resource Map'!$A$2:$A$2001,0)),"")</f>
        <v/>
      </c>
      <c r="V156" s="39" t="str">
        <f aca="false">IF($C156="","",IF(ISNUMBER(MATCH($C156,'CA Exclusion Map'!$A$2:$A$2001,0)),"Yes","No"))</f>
        <v/>
      </c>
      <c r="W156" s="39" t="str">
        <f aca="false">IFERROR(INDEX('CA Exclusion Map'!$D$2:$D$2001,MATCH($C156,'CA Exclusion Map'!$A$2:$A$2001,0)),"")</f>
        <v/>
      </c>
      <c r="X156" s="40" t="str">
        <f aca="false">IFERROR(INDEX('CA Exclusion Map'!$E$2:$E$2001,MATCH($C156,'CA Exclusion Map'!$A$2:$A$2001,0)),"")</f>
        <v/>
      </c>
      <c r="Y156" s="40" t="str">
        <f aca="false">IFERROR(INDEX('CA Exclusion Map'!$F$2:$F$2001,MATCH($C156,'CA Exclusion Map'!$A$2:$A$2001,0)),"")</f>
        <v/>
      </c>
      <c r="Z156" s="36"/>
      <c r="AA156" s="37"/>
      <c r="AB156" s="38"/>
      <c r="AC156" s="38"/>
      <c r="AD156" s="39" t="str">
        <f aca="true">IF(V156="","",IF(V156&lt;&gt;"Yes","N/A",IF(AC156="","NO EXPIRY SET",IF(TODAY()&gt;AC156,"EXPIRED",IF(AC156-TODAY()&lt;=30,"Expiring Soon","Active")))))</f>
        <v/>
      </c>
      <c r="AE156" s="36"/>
      <c r="AF156" s="36"/>
      <c r="AG156" s="37"/>
      <c r="AH156" s="36"/>
      <c r="AI156" s="37"/>
      <c r="AJ156" s="37"/>
      <c r="AK156" s="37"/>
      <c r="AL156" s="37"/>
      <c r="AM156" s="38"/>
      <c r="AN156" s="37"/>
      <c r="AO156" s="37"/>
      <c r="AP156" s="41" t="str">
        <f aca="false">IF(AM156="","",AM156+90)</f>
        <v/>
      </c>
      <c r="AQ156" s="39" t="str">
        <f aca="true">IF(C156="","",IF(AM156="","NOT REVIEWED",IF(TODAY()&gt;AP156,"OVERDUE",IF(AP156-TODAY()&lt;=14,"Due Soon","Current"))))</f>
        <v/>
      </c>
      <c r="AR156" s="36"/>
    </row>
    <row r="157" customFormat="false" ht="15" hidden="false" customHeight="false" outlineLevel="0" collapsed="false">
      <c r="A157" s="36"/>
      <c r="B157" s="36"/>
      <c r="C157" s="36"/>
      <c r="D157" s="36"/>
      <c r="E157" s="37"/>
      <c r="F157" s="37"/>
      <c r="G157" s="37"/>
      <c r="H157" s="38"/>
      <c r="I157" s="38"/>
      <c r="J157" s="38"/>
      <c r="K157" s="37"/>
      <c r="L157" s="36"/>
      <c r="M157" s="36"/>
      <c r="N157" s="37"/>
      <c r="O157" s="37"/>
      <c r="P157" s="36"/>
      <c r="Q157" s="39" t="str">
        <f aca="true">IF(J157="","",TODAY()-J157)</f>
        <v/>
      </c>
      <c r="R157" s="37"/>
      <c r="S157" s="40" t="str">
        <f aca="false">IFERROR(INDEX('Azure Resource Map'!$D$2:$D$2001,MATCH($C157,'Azure Resource Map'!$A$2:$A$2001,0)),"")</f>
        <v/>
      </c>
      <c r="T157" s="39" t="str">
        <f aca="false">IFERROR(INDEX('Azure Resource Map'!$E$2:$E$2001,MATCH($C157,'Azure Resource Map'!$A$2:$A$2001,0)),"")</f>
        <v/>
      </c>
      <c r="U157" s="39" t="str">
        <f aca="false">IFERROR(INDEX('Azure Resource Map'!$F$2:$F$2001,MATCH($C157,'Azure Resource Map'!$A$2:$A$2001,0)),"")</f>
        <v/>
      </c>
      <c r="V157" s="39" t="str">
        <f aca="false">IF($C157="","",IF(ISNUMBER(MATCH($C157,'CA Exclusion Map'!$A$2:$A$2001,0)),"Yes","No"))</f>
        <v/>
      </c>
      <c r="W157" s="39" t="str">
        <f aca="false">IFERROR(INDEX('CA Exclusion Map'!$D$2:$D$2001,MATCH($C157,'CA Exclusion Map'!$A$2:$A$2001,0)),"")</f>
        <v/>
      </c>
      <c r="X157" s="40" t="str">
        <f aca="false">IFERROR(INDEX('CA Exclusion Map'!$E$2:$E$2001,MATCH($C157,'CA Exclusion Map'!$A$2:$A$2001,0)),"")</f>
        <v/>
      </c>
      <c r="Y157" s="40" t="str">
        <f aca="false">IFERROR(INDEX('CA Exclusion Map'!$F$2:$F$2001,MATCH($C157,'CA Exclusion Map'!$A$2:$A$2001,0)),"")</f>
        <v/>
      </c>
      <c r="Z157" s="36"/>
      <c r="AA157" s="37"/>
      <c r="AB157" s="38"/>
      <c r="AC157" s="38"/>
      <c r="AD157" s="39" t="str">
        <f aca="true">IF(V157="","",IF(V157&lt;&gt;"Yes","N/A",IF(AC157="","NO EXPIRY SET",IF(TODAY()&gt;AC157,"EXPIRED",IF(AC157-TODAY()&lt;=30,"Expiring Soon","Active")))))</f>
        <v/>
      </c>
      <c r="AE157" s="36"/>
      <c r="AF157" s="36"/>
      <c r="AG157" s="37"/>
      <c r="AH157" s="36"/>
      <c r="AI157" s="37"/>
      <c r="AJ157" s="37"/>
      <c r="AK157" s="37"/>
      <c r="AL157" s="37"/>
      <c r="AM157" s="38"/>
      <c r="AN157" s="37"/>
      <c r="AO157" s="37"/>
      <c r="AP157" s="41" t="str">
        <f aca="false">IF(AM157="","",AM157+90)</f>
        <v/>
      </c>
      <c r="AQ157" s="39" t="str">
        <f aca="true">IF(C157="","",IF(AM157="","NOT REVIEWED",IF(TODAY()&gt;AP157,"OVERDUE",IF(AP157-TODAY()&lt;=14,"Due Soon","Current"))))</f>
        <v/>
      </c>
      <c r="AR157" s="36"/>
    </row>
    <row r="158" customFormat="false" ht="15" hidden="false" customHeight="false" outlineLevel="0" collapsed="false">
      <c r="A158" s="36"/>
      <c r="B158" s="36"/>
      <c r="C158" s="36"/>
      <c r="D158" s="36"/>
      <c r="E158" s="37"/>
      <c r="F158" s="37"/>
      <c r="G158" s="37"/>
      <c r="H158" s="38"/>
      <c r="I158" s="38"/>
      <c r="J158" s="38"/>
      <c r="K158" s="37"/>
      <c r="L158" s="36"/>
      <c r="M158" s="36"/>
      <c r="N158" s="37"/>
      <c r="O158" s="37"/>
      <c r="P158" s="36"/>
      <c r="Q158" s="39" t="str">
        <f aca="true">IF(J158="","",TODAY()-J158)</f>
        <v/>
      </c>
      <c r="R158" s="37"/>
      <c r="S158" s="40" t="str">
        <f aca="false">IFERROR(INDEX('Azure Resource Map'!$D$2:$D$2001,MATCH($C158,'Azure Resource Map'!$A$2:$A$2001,0)),"")</f>
        <v/>
      </c>
      <c r="T158" s="39" t="str">
        <f aca="false">IFERROR(INDEX('Azure Resource Map'!$E$2:$E$2001,MATCH($C158,'Azure Resource Map'!$A$2:$A$2001,0)),"")</f>
        <v/>
      </c>
      <c r="U158" s="39" t="str">
        <f aca="false">IFERROR(INDEX('Azure Resource Map'!$F$2:$F$2001,MATCH($C158,'Azure Resource Map'!$A$2:$A$2001,0)),"")</f>
        <v/>
      </c>
      <c r="V158" s="39" t="str">
        <f aca="false">IF($C158="","",IF(ISNUMBER(MATCH($C158,'CA Exclusion Map'!$A$2:$A$2001,0)),"Yes","No"))</f>
        <v/>
      </c>
      <c r="W158" s="39" t="str">
        <f aca="false">IFERROR(INDEX('CA Exclusion Map'!$D$2:$D$2001,MATCH($C158,'CA Exclusion Map'!$A$2:$A$2001,0)),"")</f>
        <v/>
      </c>
      <c r="X158" s="40" t="str">
        <f aca="false">IFERROR(INDEX('CA Exclusion Map'!$E$2:$E$2001,MATCH($C158,'CA Exclusion Map'!$A$2:$A$2001,0)),"")</f>
        <v/>
      </c>
      <c r="Y158" s="40" t="str">
        <f aca="false">IFERROR(INDEX('CA Exclusion Map'!$F$2:$F$2001,MATCH($C158,'CA Exclusion Map'!$A$2:$A$2001,0)),"")</f>
        <v/>
      </c>
      <c r="Z158" s="36"/>
      <c r="AA158" s="37"/>
      <c r="AB158" s="38"/>
      <c r="AC158" s="38"/>
      <c r="AD158" s="39" t="str">
        <f aca="true">IF(V158="","",IF(V158&lt;&gt;"Yes","N/A",IF(AC158="","NO EXPIRY SET",IF(TODAY()&gt;AC158,"EXPIRED",IF(AC158-TODAY()&lt;=30,"Expiring Soon","Active")))))</f>
        <v/>
      </c>
      <c r="AE158" s="36"/>
      <c r="AF158" s="36"/>
      <c r="AG158" s="37"/>
      <c r="AH158" s="36"/>
      <c r="AI158" s="37"/>
      <c r="AJ158" s="37"/>
      <c r="AK158" s="37"/>
      <c r="AL158" s="37"/>
      <c r="AM158" s="38"/>
      <c r="AN158" s="37"/>
      <c r="AO158" s="37"/>
      <c r="AP158" s="41" t="str">
        <f aca="false">IF(AM158="","",AM158+90)</f>
        <v/>
      </c>
      <c r="AQ158" s="39" t="str">
        <f aca="true">IF(C158="","",IF(AM158="","NOT REVIEWED",IF(TODAY()&gt;AP158,"OVERDUE",IF(AP158-TODAY()&lt;=14,"Due Soon","Current"))))</f>
        <v/>
      </c>
      <c r="AR158" s="36"/>
    </row>
    <row r="159" customFormat="false" ht="15" hidden="false" customHeight="false" outlineLevel="0" collapsed="false">
      <c r="A159" s="36"/>
      <c r="B159" s="36"/>
      <c r="C159" s="36"/>
      <c r="D159" s="36"/>
      <c r="E159" s="37"/>
      <c r="F159" s="37"/>
      <c r="G159" s="37"/>
      <c r="H159" s="38"/>
      <c r="I159" s="38"/>
      <c r="J159" s="38"/>
      <c r="K159" s="37"/>
      <c r="L159" s="36"/>
      <c r="M159" s="36"/>
      <c r="N159" s="37"/>
      <c r="O159" s="37"/>
      <c r="P159" s="36"/>
      <c r="Q159" s="39" t="str">
        <f aca="true">IF(J159="","",TODAY()-J159)</f>
        <v/>
      </c>
      <c r="R159" s="37"/>
      <c r="S159" s="40" t="str">
        <f aca="false">IFERROR(INDEX('Azure Resource Map'!$D$2:$D$2001,MATCH($C159,'Azure Resource Map'!$A$2:$A$2001,0)),"")</f>
        <v/>
      </c>
      <c r="T159" s="39" t="str">
        <f aca="false">IFERROR(INDEX('Azure Resource Map'!$E$2:$E$2001,MATCH($C159,'Azure Resource Map'!$A$2:$A$2001,0)),"")</f>
        <v/>
      </c>
      <c r="U159" s="39" t="str">
        <f aca="false">IFERROR(INDEX('Azure Resource Map'!$F$2:$F$2001,MATCH($C159,'Azure Resource Map'!$A$2:$A$2001,0)),"")</f>
        <v/>
      </c>
      <c r="V159" s="39" t="str">
        <f aca="false">IF($C159="","",IF(ISNUMBER(MATCH($C159,'CA Exclusion Map'!$A$2:$A$2001,0)),"Yes","No"))</f>
        <v/>
      </c>
      <c r="W159" s="39" t="str">
        <f aca="false">IFERROR(INDEX('CA Exclusion Map'!$D$2:$D$2001,MATCH($C159,'CA Exclusion Map'!$A$2:$A$2001,0)),"")</f>
        <v/>
      </c>
      <c r="X159" s="40" t="str">
        <f aca="false">IFERROR(INDEX('CA Exclusion Map'!$E$2:$E$2001,MATCH($C159,'CA Exclusion Map'!$A$2:$A$2001,0)),"")</f>
        <v/>
      </c>
      <c r="Y159" s="40" t="str">
        <f aca="false">IFERROR(INDEX('CA Exclusion Map'!$F$2:$F$2001,MATCH($C159,'CA Exclusion Map'!$A$2:$A$2001,0)),"")</f>
        <v/>
      </c>
      <c r="Z159" s="36"/>
      <c r="AA159" s="37"/>
      <c r="AB159" s="38"/>
      <c r="AC159" s="38"/>
      <c r="AD159" s="39" t="str">
        <f aca="true">IF(V159="","",IF(V159&lt;&gt;"Yes","N/A",IF(AC159="","NO EXPIRY SET",IF(TODAY()&gt;AC159,"EXPIRED",IF(AC159-TODAY()&lt;=30,"Expiring Soon","Active")))))</f>
        <v/>
      </c>
      <c r="AE159" s="36"/>
      <c r="AF159" s="36"/>
      <c r="AG159" s="37"/>
      <c r="AH159" s="36"/>
      <c r="AI159" s="37"/>
      <c r="AJ159" s="37"/>
      <c r="AK159" s="37"/>
      <c r="AL159" s="37"/>
      <c r="AM159" s="38"/>
      <c r="AN159" s="37"/>
      <c r="AO159" s="37"/>
      <c r="AP159" s="41" t="str">
        <f aca="false">IF(AM159="","",AM159+90)</f>
        <v/>
      </c>
      <c r="AQ159" s="39" t="str">
        <f aca="true">IF(C159="","",IF(AM159="","NOT REVIEWED",IF(TODAY()&gt;AP159,"OVERDUE",IF(AP159-TODAY()&lt;=14,"Due Soon","Current"))))</f>
        <v/>
      </c>
      <c r="AR159" s="36"/>
    </row>
    <row r="160" customFormat="false" ht="15" hidden="false" customHeight="false" outlineLevel="0" collapsed="false">
      <c r="A160" s="36"/>
      <c r="B160" s="36"/>
      <c r="C160" s="36"/>
      <c r="D160" s="36"/>
      <c r="E160" s="37"/>
      <c r="F160" s="37"/>
      <c r="G160" s="37"/>
      <c r="H160" s="38"/>
      <c r="I160" s="38"/>
      <c r="J160" s="38"/>
      <c r="K160" s="37"/>
      <c r="L160" s="36"/>
      <c r="M160" s="36"/>
      <c r="N160" s="37"/>
      <c r="O160" s="37"/>
      <c r="P160" s="36"/>
      <c r="Q160" s="39" t="str">
        <f aca="true">IF(J160="","",TODAY()-J160)</f>
        <v/>
      </c>
      <c r="R160" s="37"/>
      <c r="S160" s="40" t="str">
        <f aca="false">IFERROR(INDEX('Azure Resource Map'!$D$2:$D$2001,MATCH($C160,'Azure Resource Map'!$A$2:$A$2001,0)),"")</f>
        <v/>
      </c>
      <c r="T160" s="39" t="str">
        <f aca="false">IFERROR(INDEX('Azure Resource Map'!$E$2:$E$2001,MATCH($C160,'Azure Resource Map'!$A$2:$A$2001,0)),"")</f>
        <v/>
      </c>
      <c r="U160" s="39" t="str">
        <f aca="false">IFERROR(INDEX('Azure Resource Map'!$F$2:$F$2001,MATCH($C160,'Azure Resource Map'!$A$2:$A$2001,0)),"")</f>
        <v/>
      </c>
      <c r="V160" s="39" t="str">
        <f aca="false">IF($C160="","",IF(ISNUMBER(MATCH($C160,'CA Exclusion Map'!$A$2:$A$2001,0)),"Yes","No"))</f>
        <v/>
      </c>
      <c r="W160" s="39" t="str">
        <f aca="false">IFERROR(INDEX('CA Exclusion Map'!$D$2:$D$2001,MATCH($C160,'CA Exclusion Map'!$A$2:$A$2001,0)),"")</f>
        <v/>
      </c>
      <c r="X160" s="40" t="str">
        <f aca="false">IFERROR(INDEX('CA Exclusion Map'!$E$2:$E$2001,MATCH($C160,'CA Exclusion Map'!$A$2:$A$2001,0)),"")</f>
        <v/>
      </c>
      <c r="Y160" s="40" t="str">
        <f aca="false">IFERROR(INDEX('CA Exclusion Map'!$F$2:$F$2001,MATCH($C160,'CA Exclusion Map'!$A$2:$A$2001,0)),"")</f>
        <v/>
      </c>
      <c r="Z160" s="36"/>
      <c r="AA160" s="37"/>
      <c r="AB160" s="38"/>
      <c r="AC160" s="38"/>
      <c r="AD160" s="39" t="str">
        <f aca="true">IF(V160="","",IF(V160&lt;&gt;"Yes","N/A",IF(AC160="","NO EXPIRY SET",IF(TODAY()&gt;AC160,"EXPIRED",IF(AC160-TODAY()&lt;=30,"Expiring Soon","Active")))))</f>
        <v/>
      </c>
      <c r="AE160" s="36"/>
      <c r="AF160" s="36"/>
      <c r="AG160" s="37"/>
      <c r="AH160" s="36"/>
      <c r="AI160" s="37"/>
      <c r="AJ160" s="37"/>
      <c r="AK160" s="37"/>
      <c r="AL160" s="37"/>
      <c r="AM160" s="38"/>
      <c r="AN160" s="37"/>
      <c r="AO160" s="37"/>
      <c r="AP160" s="41" t="str">
        <f aca="false">IF(AM160="","",AM160+90)</f>
        <v/>
      </c>
      <c r="AQ160" s="39" t="str">
        <f aca="true">IF(C160="","",IF(AM160="","NOT REVIEWED",IF(TODAY()&gt;AP160,"OVERDUE",IF(AP160-TODAY()&lt;=14,"Due Soon","Current"))))</f>
        <v/>
      </c>
      <c r="AR160" s="36"/>
    </row>
    <row r="161" customFormat="false" ht="15" hidden="false" customHeight="false" outlineLevel="0" collapsed="false">
      <c r="A161" s="36"/>
      <c r="B161" s="36"/>
      <c r="C161" s="36"/>
      <c r="D161" s="36"/>
      <c r="E161" s="37"/>
      <c r="F161" s="37"/>
      <c r="G161" s="37"/>
      <c r="H161" s="38"/>
      <c r="I161" s="38"/>
      <c r="J161" s="38"/>
      <c r="K161" s="37"/>
      <c r="L161" s="36"/>
      <c r="M161" s="36"/>
      <c r="N161" s="37"/>
      <c r="O161" s="37"/>
      <c r="P161" s="36"/>
      <c r="Q161" s="39" t="str">
        <f aca="true">IF(J161="","",TODAY()-J161)</f>
        <v/>
      </c>
      <c r="R161" s="37"/>
      <c r="S161" s="40" t="str">
        <f aca="false">IFERROR(INDEX('Azure Resource Map'!$D$2:$D$2001,MATCH($C161,'Azure Resource Map'!$A$2:$A$2001,0)),"")</f>
        <v/>
      </c>
      <c r="T161" s="39" t="str">
        <f aca="false">IFERROR(INDEX('Azure Resource Map'!$E$2:$E$2001,MATCH($C161,'Azure Resource Map'!$A$2:$A$2001,0)),"")</f>
        <v/>
      </c>
      <c r="U161" s="39" t="str">
        <f aca="false">IFERROR(INDEX('Azure Resource Map'!$F$2:$F$2001,MATCH($C161,'Azure Resource Map'!$A$2:$A$2001,0)),"")</f>
        <v/>
      </c>
      <c r="V161" s="39" t="str">
        <f aca="false">IF($C161="","",IF(ISNUMBER(MATCH($C161,'CA Exclusion Map'!$A$2:$A$2001,0)),"Yes","No"))</f>
        <v/>
      </c>
      <c r="W161" s="39" t="str">
        <f aca="false">IFERROR(INDEX('CA Exclusion Map'!$D$2:$D$2001,MATCH($C161,'CA Exclusion Map'!$A$2:$A$2001,0)),"")</f>
        <v/>
      </c>
      <c r="X161" s="40" t="str">
        <f aca="false">IFERROR(INDEX('CA Exclusion Map'!$E$2:$E$2001,MATCH($C161,'CA Exclusion Map'!$A$2:$A$2001,0)),"")</f>
        <v/>
      </c>
      <c r="Y161" s="40" t="str">
        <f aca="false">IFERROR(INDEX('CA Exclusion Map'!$F$2:$F$2001,MATCH($C161,'CA Exclusion Map'!$A$2:$A$2001,0)),"")</f>
        <v/>
      </c>
      <c r="Z161" s="36"/>
      <c r="AA161" s="37"/>
      <c r="AB161" s="38"/>
      <c r="AC161" s="38"/>
      <c r="AD161" s="39" t="str">
        <f aca="true">IF(V161="","",IF(V161&lt;&gt;"Yes","N/A",IF(AC161="","NO EXPIRY SET",IF(TODAY()&gt;AC161,"EXPIRED",IF(AC161-TODAY()&lt;=30,"Expiring Soon","Active")))))</f>
        <v/>
      </c>
      <c r="AE161" s="36"/>
      <c r="AF161" s="36"/>
      <c r="AG161" s="37"/>
      <c r="AH161" s="36"/>
      <c r="AI161" s="37"/>
      <c r="AJ161" s="37"/>
      <c r="AK161" s="37"/>
      <c r="AL161" s="37"/>
      <c r="AM161" s="38"/>
      <c r="AN161" s="37"/>
      <c r="AO161" s="37"/>
      <c r="AP161" s="41" t="str">
        <f aca="false">IF(AM161="","",AM161+90)</f>
        <v/>
      </c>
      <c r="AQ161" s="39" t="str">
        <f aca="true">IF(C161="","",IF(AM161="","NOT REVIEWED",IF(TODAY()&gt;AP161,"OVERDUE",IF(AP161-TODAY()&lt;=14,"Due Soon","Current"))))</f>
        <v/>
      </c>
      <c r="AR161" s="36"/>
    </row>
    <row r="162" customFormat="false" ht="15" hidden="false" customHeight="false" outlineLevel="0" collapsed="false">
      <c r="A162" s="36"/>
      <c r="B162" s="36"/>
      <c r="C162" s="36"/>
      <c r="D162" s="36"/>
      <c r="E162" s="37"/>
      <c r="F162" s="37"/>
      <c r="G162" s="37"/>
      <c r="H162" s="38"/>
      <c r="I162" s="38"/>
      <c r="J162" s="38"/>
      <c r="K162" s="37"/>
      <c r="L162" s="36"/>
      <c r="M162" s="36"/>
      <c r="N162" s="37"/>
      <c r="O162" s="37"/>
      <c r="P162" s="36"/>
      <c r="Q162" s="39" t="str">
        <f aca="true">IF(J162="","",TODAY()-J162)</f>
        <v/>
      </c>
      <c r="R162" s="37"/>
      <c r="S162" s="40" t="str">
        <f aca="false">IFERROR(INDEX('Azure Resource Map'!$D$2:$D$2001,MATCH($C162,'Azure Resource Map'!$A$2:$A$2001,0)),"")</f>
        <v/>
      </c>
      <c r="T162" s="39" t="str">
        <f aca="false">IFERROR(INDEX('Azure Resource Map'!$E$2:$E$2001,MATCH($C162,'Azure Resource Map'!$A$2:$A$2001,0)),"")</f>
        <v/>
      </c>
      <c r="U162" s="39" t="str">
        <f aca="false">IFERROR(INDEX('Azure Resource Map'!$F$2:$F$2001,MATCH($C162,'Azure Resource Map'!$A$2:$A$2001,0)),"")</f>
        <v/>
      </c>
      <c r="V162" s="39" t="str">
        <f aca="false">IF($C162="","",IF(ISNUMBER(MATCH($C162,'CA Exclusion Map'!$A$2:$A$2001,0)),"Yes","No"))</f>
        <v/>
      </c>
      <c r="W162" s="39" t="str">
        <f aca="false">IFERROR(INDEX('CA Exclusion Map'!$D$2:$D$2001,MATCH($C162,'CA Exclusion Map'!$A$2:$A$2001,0)),"")</f>
        <v/>
      </c>
      <c r="X162" s="40" t="str">
        <f aca="false">IFERROR(INDEX('CA Exclusion Map'!$E$2:$E$2001,MATCH($C162,'CA Exclusion Map'!$A$2:$A$2001,0)),"")</f>
        <v/>
      </c>
      <c r="Y162" s="40" t="str">
        <f aca="false">IFERROR(INDEX('CA Exclusion Map'!$F$2:$F$2001,MATCH($C162,'CA Exclusion Map'!$A$2:$A$2001,0)),"")</f>
        <v/>
      </c>
      <c r="Z162" s="36"/>
      <c r="AA162" s="37"/>
      <c r="AB162" s="38"/>
      <c r="AC162" s="38"/>
      <c r="AD162" s="39" t="str">
        <f aca="true">IF(V162="","",IF(V162&lt;&gt;"Yes","N/A",IF(AC162="","NO EXPIRY SET",IF(TODAY()&gt;AC162,"EXPIRED",IF(AC162-TODAY()&lt;=30,"Expiring Soon","Active")))))</f>
        <v/>
      </c>
      <c r="AE162" s="36"/>
      <c r="AF162" s="36"/>
      <c r="AG162" s="37"/>
      <c r="AH162" s="36"/>
      <c r="AI162" s="37"/>
      <c r="AJ162" s="37"/>
      <c r="AK162" s="37"/>
      <c r="AL162" s="37"/>
      <c r="AM162" s="38"/>
      <c r="AN162" s="37"/>
      <c r="AO162" s="37"/>
      <c r="AP162" s="41" t="str">
        <f aca="false">IF(AM162="","",AM162+90)</f>
        <v/>
      </c>
      <c r="AQ162" s="39" t="str">
        <f aca="true">IF(C162="","",IF(AM162="","NOT REVIEWED",IF(TODAY()&gt;AP162,"OVERDUE",IF(AP162-TODAY()&lt;=14,"Due Soon","Current"))))</f>
        <v/>
      </c>
      <c r="AR162" s="36"/>
    </row>
    <row r="163" customFormat="false" ht="15" hidden="false" customHeight="false" outlineLevel="0" collapsed="false">
      <c r="A163" s="36"/>
      <c r="B163" s="36"/>
      <c r="C163" s="36"/>
      <c r="D163" s="36"/>
      <c r="E163" s="37"/>
      <c r="F163" s="37"/>
      <c r="G163" s="37"/>
      <c r="H163" s="38"/>
      <c r="I163" s="38"/>
      <c r="J163" s="38"/>
      <c r="K163" s="37"/>
      <c r="L163" s="36"/>
      <c r="M163" s="36"/>
      <c r="N163" s="37"/>
      <c r="O163" s="37"/>
      <c r="P163" s="36"/>
      <c r="Q163" s="39" t="str">
        <f aca="true">IF(J163="","",TODAY()-J163)</f>
        <v/>
      </c>
      <c r="R163" s="37"/>
      <c r="S163" s="40" t="str">
        <f aca="false">IFERROR(INDEX('Azure Resource Map'!$D$2:$D$2001,MATCH($C163,'Azure Resource Map'!$A$2:$A$2001,0)),"")</f>
        <v/>
      </c>
      <c r="T163" s="39" t="str">
        <f aca="false">IFERROR(INDEX('Azure Resource Map'!$E$2:$E$2001,MATCH($C163,'Azure Resource Map'!$A$2:$A$2001,0)),"")</f>
        <v/>
      </c>
      <c r="U163" s="39" t="str">
        <f aca="false">IFERROR(INDEX('Azure Resource Map'!$F$2:$F$2001,MATCH($C163,'Azure Resource Map'!$A$2:$A$2001,0)),"")</f>
        <v/>
      </c>
      <c r="V163" s="39" t="str">
        <f aca="false">IF($C163="","",IF(ISNUMBER(MATCH($C163,'CA Exclusion Map'!$A$2:$A$2001,0)),"Yes","No"))</f>
        <v/>
      </c>
      <c r="W163" s="39" t="str">
        <f aca="false">IFERROR(INDEX('CA Exclusion Map'!$D$2:$D$2001,MATCH($C163,'CA Exclusion Map'!$A$2:$A$2001,0)),"")</f>
        <v/>
      </c>
      <c r="X163" s="40" t="str">
        <f aca="false">IFERROR(INDEX('CA Exclusion Map'!$E$2:$E$2001,MATCH($C163,'CA Exclusion Map'!$A$2:$A$2001,0)),"")</f>
        <v/>
      </c>
      <c r="Y163" s="40" t="str">
        <f aca="false">IFERROR(INDEX('CA Exclusion Map'!$F$2:$F$2001,MATCH($C163,'CA Exclusion Map'!$A$2:$A$2001,0)),"")</f>
        <v/>
      </c>
      <c r="Z163" s="36"/>
      <c r="AA163" s="37"/>
      <c r="AB163" s="38"/>
      <c r="AC163" s="38"/>
      <c r="AD163" s="39" t="str">
        <f aca="true">IF(V163="","",IF(V163&lt;&gt;"Yes","N/A",IF(AC163="","NO EXPIRY SET",IF(TODAY()&gt;AC163,"EXPIRED",IF(AC163-TODAY()&lt;=30,"Expiring Soon","Active")))))</f>
        <v/>
      </c>
      <c r="AE163" s="36"/>
      <c r="AF163" s="36"/>
      <c r="AG163" s="37"/>
      <c r="AH163" s="36"/>
      <c r="AI163" s="37"/>
      <c r="AJ163" s="37"/>
      <c r="AK163" s="37"/>
      <c r="AL163" s="37"/>
      <c r="AM163" s="38"/>
      <c r="AN163" s="37"/>
      <c r="AO163" s="37"/>
      <c r="AP163" s="41" t="str">
        <f aca="false">IF(AM163="","",AM163+90)</f>
        <v/>
      </c>
      <c r="AQ163" s="39" t="str">
        <f aca="true">IF(C163="","",IF(AM163="","NOT REVIEWED",IF(TODAY()&gt;AP163,"OVERDUE",IF(AP163-TODAY()&lt;=14,"Due Soon","Current"))))</f>
        <v/>
      </c>
      <c r="AR163" s="36"/>
    </row>
    <row r="164" customFormat="false" ht="15" hidden="false" customHeight="false" outlineLevel="0" collapsed="false">
      <c r="A164" s="36"/>
      <c r="B164" s="36"/>
      <c r="C164" s="36"/>
      <c r="D164" s="36"/>
      <c r="E164" s="37"/>
      <c r="F164" s="37"/>
      <c r="G164" s="37"/>
      <c r="H164" s="38"/>
      <c r="I164" s="38"/>
      <c r="J164" s="38"/>
      <c r="K164" s="37"/>
      <c r="L164" s="36"/>
      <c r="M164" s="36"/>
      <c r="N164" s="37"/>
      <c r="O164" s="37"/>
      <c r="P164" s="36"/>
      <c r="Q164" s="39" t="str">
        <f aca="true">IF(J164="","",TODAY()-J164)</f>
        <v/>
      </c>
      <c r="R164" s="37"/>
      <c r="S164" s="40" t="str">
        <f aca="false">IFERROR(INDEX('Azure Resource Map'!$D$2:$D$2001,MATCH($C164,'Azure Resource Map'!$A$2:$A$2001,0)),"")</f>
        <v/>
      </c>
      <c r="T164" s="39" t="str">
        <f aca="false">IFERROR(INDEX('Azure Resource Map'!$E$2:$E$2001,MATCH($C164,'Azure Resource Map'!$A$2:$A$2001,0)),"")</f>
        <v/>
      </c>
      <c r="U164" s="39" t="str">
        <f aca="false">IFERROR(INDEX('Azure Resource Map'!$F$2:$F$2001,MATCH($C164,'Azure Resource Map'!$A$2:$A$2001,0)),"")</f>
        <v/>
      </c>
      <c r="V164" s="39" t="str">
        <f aca="false">IF($C164="","",IF(ISNUMBER(MATCH($C164,'CA Exclusion Map'!$A$2:$A$2001,0)),"Yes","No"))</f>
        <v/>
      </c>
      <c r="W164" s="39" t="str">
        <f aca="false">IFERROR(INDEX('CA Exclusion Map'!$D$2:$D$2001,MATCH($C164,'CA Exclusion Map'!$A$2:$A$2001,0)),"")</f>
        <v/>
      </c>
      <c r="X164" s="40" t="str">
        <f aca="false">IFERROR(INDEX('CA Exclusion Map'!$E$2:$E$2001,MATCH($C164,'CA Exclusion Map'!$A$2:$A$2001,0)),"")</f>
        <v/>
      </c>
      <c r="Y164" s="40" t="str">
        <f aca="false">IFERROR(INDEX('CA Exclusion Map'!$F$2:$F$2001,MATCH($C164,'CA Exclusion Map'!$A$2:$A$2001,0)),"")</f>
        <v/>
      </c>
      <c r="Z164" s="36"/>
      <c r="AA164" s="37"/>
      <c r="AB164" s="38"/>
      <c r="AC164" s="38"/>
      <c r="AD164" s="39" t="str">
        <f aca="true">IF(V164="","",IF(V164&lt;&gt;"Yes","N/A",IF(AC164="","NO EXPIRY SET",IF(TODAY()&gt;AC164,"EXPIRED",IF(AC164-TODAY()&lt;=30,"Expiring Soon","Active")))))</f>
        <v/>
      </c>
      <c r="AE164" s="36"/>
      <c r="AF164" s="36"/>
      <c r="AG164" s="37"/>
      <c r="AH164" s="36"/>
      <c r="AI164" s="37"/>
      <c r="AJ164" s="37"/>
      <c r="AK164" s="37"/>
      <c r="AL164" s="37"/>
      <c r="AM164" s="38"/>
      <c r="AN164" s="37"/>
      <c r="AO164" s="37"/>
      <c r="AP164" s="41" t="str">
        <f aca="false">IF(AM164="","",AM164+90)</f>
        <v/>
      </c>
      <c r="AQ164" s="39" t="str">
        <f aca="true">IF(C164="","",IF(AM164="","NOT REVIEWED",IF(TODAY()&gt;AP164,"OVERDUE",IF(AP164-TODAY()&lt;=14,"Due Soon","Current"))))</f>
        <v/>
      </c>
      <c r="AR164" s="36"/>
    </row>
    <row r="165" customFormat="false" ht="15" hidden="false" customHeight="false" outlineLevel="0" collapsed="false">
      <c r="A165" s="36"/>
      <c r="B165" s="36"/>
      <c r="C165" s="36"/>
      <c r="D165" s="36"/>
      <c r="E165" s="37"/>
      <c r="F165" s="37"/>
      <c r="G165" s="37"/>
      <c r="H165" s="38"/>
      <c r="I165" s="38"/>
      <c r="J165" s="38"/>
      <c r="K165" s="37"/>
      <c r="L165" s="36"/>
      <c r="M165" s="36"/>
      <c r="N165" s="37"/>
      <c r="O165" s="37"/>
      <c r="P165" s="36"/>
      <c r="Q165" s="39" t="str">
        <f aca="true">IF(J165="","",TODAY()-J165)</f>
        <v/>
      </c>
      <c r="R165" s="37"/>
      <c r="S165" s="40" t="str">
        <f aca="false">IFERROR(INDEX('Azure Resource Map'!$D$2:$D$2001,MATCH($C165,'Azure Resource Map'!$A$2:$A$2001,0)),"")</f>
        <v/>
      </c>
      <c r="T165" s="39" t="str">
        <f aca="false">IFERROR(INDEX('Azure Resource Map'!$E$2:$E$2001,MATCH($C165,'Azure Resource Map'!$A$2:$A$2001,0)),"")</f>
        <v/>
      </c>
      <c r="U165" s="39" t="str">
        <f aca="false">IFERROR(INDEX('Azure Resource Map'!$F$2:$F$2001,MATCH($C165,'Azure Resource Map'!$A$2:$A$2001,0)),"")</f>
        <v/>
      </c>
      <c r="V165" s="39" t="str">
        <f aca="false">IF($C165="","",IF(ISNUMBER(MATCH($C165,'CA Exclusion Map'!$A$2:$A$2001,0)),"Yes","No"))</f>
        <v/>
      </c>
      <c r="W165" s="39" t="str">
        <f aca="false">IFERROR(INDEX('CA Exclusion Map'!$D$2:$D$2001,MATCH($C165,'CA Exclusion Map'!$A$2:$A$2001,0)),"")</f>
        <v/>
      </c>
      <c r="X165" s="40" t="str">
        <f aca="false">IFERROR(INDEX('CA Exclusion Map'!$E$2:$E$2001,MATCH($C165,'CA Exclusion Map'!$A$2:$A$2001,0)),"")</f>
        <v/>
      </c>
      <c r="Y165" s="40" t="str">
        <f aca="false">IFERROR(INDEX('CA Exclusion Map'!$F$2:$F$2001,MATCH($C165,'CA Exclusion Map'!$A$2:$A$2001,0)),"")</f>
        <v/>
      </c>
      <c r="Z165" s="36"/>
      <c r="AA165" s="37"/>
      <c r="AB165" s="38"/>
      <c r="AC165" s="38"/>
      <c r="AD165" s="39" t="str">
        <f aca="true">IF(V165="","",IF(V165&lt;&gt;"Yes","N/A",IF(AC165="","NO EXPIRY SET",IF(TODAY()&gt;AC165,"EXPIRED",IF(AC165-TODAY()&lt;=30,"Expiring Soon","Active")))))</f>
        <v/>
      </c>
      <c r="AE165" s="36"/>
      <c r="AF165" s="36"/>
      <c r="AG165" s="37"/>
      <c r="AH165" s="36"/>
      <c r="AI165" s="37"/>
      <c r="AJ165" s="37"/>
      <c r="AK165" s="37"/>
      <c r="AL165" s="37"/>
      <c r="AM165" s="38"/>
      <c r="AN165" s="37"/>
      <c r="AO165" s="37"/>
      <c r="AP165" s="41" t="str">
        <f aca="false">IF(AM165="","",AM165+90)</f>
        <v/>
      </c>
      <c r="AQ165" s="39" t="str">
        <f aca="true">IF(C165="","",IF(AM165="","NOT REVIEWED",IF(TODAY()&gt;AP165,"OVERDUE",IF(AP165-TODAY()&lt;=14,"Due Soon","Current"))))</f>
        <v/>
      </c>
      <c r="AR165" s="36"/>
    </row>
    <row r="166" customFormat="false" ht="15" hidden="false" customHeight="false" outlineLevel="0" collapsed="false">
      <c r="A166" s="36"/>
      <c r="B166" s="36"/>
      <c r="C166" s="36"/>
      <c r="D166" s="36"/>
      <c r="E166" s="37"/>
      <c r="F166" s="37"/>
      <c r="G166" s="37"/>
      <c r="H166" s="38"/>
      <c r="I166" s="38"/>
      <c r="J166" s="38"/>
      <c r="K166" s="37"/>
      <c r="L166" s="36"/>
      <c r="M166" s="36"/>
      <c r="N166" s="37"/>
      <c r="O166" s="37"/>
      <c r="P166" s="36"/>
      <c r="Q166" s="39" t="str">
        <f aca="true">IF(J166="","",TODAY()-J166)</f>
        <v/>
      </c>
      <c r="R166" s="37"/>
      <c r="S166" s="40" t="str">
        <f aca="false">IFERROR(INDEX('Azure Resource Map'!$D$2:$D$2001,MATCH($C166,'Azure Resource Map'!$A$2:$A$2001,0)),"")</f>
        <v/>
      </c>
      <c r="T166" s="39" t="str">
        <f aca="false">IFERROR(INDEX('Azure Resource Map'!$E$2:$E$2001,MATCH($C166,'Azure Resource Map'!$A$2:$A$2001,0)),"")</f>
        <v/>
      </c>
      <c r="U166" s="39" t="str">
        <f aca="false">IFERROR(INDEX('Azure Resource Map'!$F$2:$F$2001,MATCH($C166,'Azure Resource Map'!$A$2:$A$2001,0)),"")</f>
        <v/>
      </c>
      <c r="V166" s="39" t="str">
        <f aca="false">IF($C166="","",IF(ISNUMBER(MATCH($C166,'CA Exclusion Map'!$A$2:$A$2001,0)),"Yes","No"))</f>
        <v/>
      </c>
      <c r="W166" s="39" t="str">
        <f aca="false">IFERROR(INDEX('CA Exclusion Map'!$D$2:$D$2001,MATCH($C166,'CA Exclusion Map'!$A$2:$A$2001,0)),"")</f>
        <v/>
      </c>
      <c r="X166" s="40" t="str">
        <f aca="false">IFERROR(INDEX('CA Exclusion Map'!$E$2:$E$2001,MATCH($C166,'CA Exclusion Map'!$A$2:$A$2001,0)),"")</f>
        <v/>
      </c>
      <c r="Y166" s="40" t="str">
        <f aca="false">IFERROR(INDEX('CA Exclusion Map'!$F$2:$F$2001,MATCH($C166,'CA Exclusion Map'!$A$2:$A$2001,0)),"")</f>
        <v/>
      </c>
      <c r="Z166" s="36"/>
      <c r="AA166" s="37"/>
      <c r="AB166" s="38"/>
      <c r="AC166" s="38"/>
      <c r="AD166" s="39" t="str">
        <f aca="true">IF(V166="","",IF(V166&lt;&gt;"Yes","N/A",IF(AC166="","NO EXPIRY SET",IF(TODAY()&gt;AC166,"EXPIRED",IF(AC166-TODAY()&lt;=30,"Expiring Soon","Active")))))</f>
        <v/>
      </c>
      <c r="AE166" s="36"/>
      <c r="AF166" s="36"/>
      <c r="AG166" s="37"/>
      <c r="AH166" s="36"/>
      <c r="AI166" s="37"/>
      <c r="AJ166" s="37"/>
      <c r="AK166" s="37"/>
      <c r="AL166" s="37"/>
      <c r="AM166" s="38"/>
      <c r="AN166" s="37"/>
      <c r="AO166" s="37"/>
      <c r="AP166" s="41" t="str">
        <f aca="false">IF(AM166="","",AM166+90)</f>
        <v/>
      </c>
      <c r="AQ166" s="39" t="str">
        <f aca="true">IF(C166="","",IF(AM166="","NOT REVIEWED",IF(TODAY()&gt;AP166,"OVERDUE",IF(AP166-TODAY()&lt;=14,"Due Soon","Current"))))</f>
        <v/>
      </c>
      <c r="AR166" s="36"/>
    </row>
    <row r="167" customFormat="false" ht="15" hidden="false" customHeight="false" outlineLevel="0" collapsed="false">
      <c r="A167" s="36"/>
      <c r="B167" s="36"/>
      <c r="C167" s="36"/>
      <c r="D167" s="36"/>
      <c r="E167" s="37"/>
      <c r="F167" s="37"/>
      <c r="G167" s="37"/>
      <c r="H167" s="38"/>
      <c r="I167" s="38"/>
      <c r="J167" s="38"/>
      <c r="K167" s="37"/>
      <c r="L167" s="36"/>
      <c r="M167" s="36"/>
      <c r="N167" s="37"/>
      <c r="O167" s="37"/>
      <c r="P167" s="36"/>
      <c r="Q167" s="39" t="str">
        <f aca="true">IF(J167="","",TODAY()-J167)</f>
        <v/>
      </c>
      <c r="R167" s="37"/>
      <c r="S167" s="40" t="str">
        <f aca="false">IFERROR(INDEX('Azure Resource Map'!$D$2:$D$2001,MATCH($C167,'Azure Resource Map'!$A$2:$A$2001,0)),"")</f>
        <v/>
      </c>
      <c r="T167" s="39" t="str">
        <f aca="false">IFERROR(INDEX('Azure Resource Map'!$E$2:$E$2001,MATCH($C167,'Azure Resource Map'!$A$2:$A$2001,0)),"")</f>
        <v/>
      </c>
      <c r="U167" s="39" t="str">
        <f aca="false">IFERROR(INDEX('Azure Resource Map'!$F$2:$F$2001,MATCH($C167,'Azure Resource Map'!$A$2:$A$2001,0)),"")</f>
        <v/>
      </c>
      <c r="V167" s="39" t="str">
        <f aca="false">IF($C167="","",IF(ISNUMBER(MATCH($C167,'CA Exclusion Map'!$A$2:$A$2001,0)),"Yes","No"))</f>
        <v/>
      </c>
      <c r="W167" s="39" t="str">
        <f aca="false">IFERROR(INDEX('CA Exclusion Map'!$D$2:$D$2001,MATCH($C167,'CA Exclusion Map'!$A$2:$A$2001,0)),"")</f>
        <v/>
      </c>
      <c r="X167" s="40" t="str">
        <f aca="false">IFERROR(INDEX('CA Exclusion Map'!$E$2:$E$2001,MATCH($C167,'CA Exclusion Map'!$A$2:$A$2001,0)),"")</f>
        <v/>
      </c>
      <c r="Y167" s="40" t="str">
        <f aca="false">IFERROR(INDEX('CA Exclusion Map'!$F$2:$F$2001,MATCH($C167,'CA Exclusion Map'!$A$2:$A$2001,0)),"")</f>
        <v/>
      </c>
      <c r="Z167" s="36"/>
      <c r="AA167" s="37"/>
      <c r="AB167" s="38"/>
      <c r="AC167" s="38"/>
      <c r="AD167" s="39" t="str">
        <f aca="true">IF(V167="","",IF(V167&lt;&gt;"Yes","N/A",IF(AC167="","NO EXPIRY SET",IF(TODAY()&gt;AC167,"EXPIRED",IF(AC167-TODAY()&lt;=30,"Expiring Soon","Active")))))</f>
        <v/>
      </c>
      <c r="AE167" s="36"/>
      <c r="AF167" s="36"/>
      <c r="AG167" s="37"/>
      <c r="AH167" s="36"/>
      <c r="AI167" s="37"/>
      <c r="AJ167" s="37"/>
      <c r="AK167" s="37"/>
      <c r="AL167" s="37"/>
      <c r="AM167" s="38"/>
      <c r="AN167" s="37"/>
      <c r="AO167" s="37"/>
      <c r="AP167" s="41" t="str">
        <f aca="false">IF(AM167="","",AM167+90)</f>
        <v/>
      </c>
      <c r="AQ167" s="39" t="str">
        <f aca="true">IF(C167="","",IF(AM167="","NOT REVIEWED",IF(TODAY()&gt;AP167,"OVERDUE",IF(AP167-TODAY()&lt;=14,"Due Soon","Current"))))</f>
        <v/>
      </c>
      <c r="AR167" s="36"/>
    </row>
    <row r="168" customFormat="false" ht="15" hidden="false" customHeight="false" outlineLevel="0" collapsed="false">
      <c r="A168" s="36"/>
      <c r="B168" s="36"/>
      <c r="C168" s="36"/>
      <c r="D168" s="36"/>
      <c r="E168" s="37"/>
      <c r="F168" s="37"/>
      <c r="G168" s="37"/>
      <c r="H168" s="38"/>
      <c r="I168" s="38"/>
      <c r="J168" s="38"/>
      <c r="K168" s="37"/>
      <c r="L168" s="36"/>
      <c r="M168" s="36"/>
      <c r="N168" s="37"/>
      <c r="O168" s="37"/>
      <c r="P168" s="36"/>
      <c r="Q168" s="39" t="str">
        <f aca="true">IF(J168="","",TODAY()-J168)</f>
        <v/>
      </c>
      <c r="R168" s="37"/>
      <c r="S168" s="40" t="str">
        <f aca="false">IFERROR(INDEX('Azure Resource Map'!$D$2:$D$2001,MATCH($C168,'Azure Resource Map'!$A$2:$A$2001,0)),"")</f>
        <v/>
      </c>
      <c r="T168" s="39" t="str">
        <f aca="false">IFERROR(INDEX('Azure Resource Map'!$E$2:$E$2001,MATCH($C168,'Azure Resource Map'!$A$2:$A$2001,0)),"")</f>
        <v/>
      </c>
      <c r="U168" s="39" t="str">
        <f aca="false">IFERROR(INDEX('Azure Resource Map'!$F$2:$F$2001,MATCH($C168,'Azure Resource Map'!$A$2:$A$2001,0)),"")</f>
        <v/>
      </c>
      <c r="V168" s="39" t="str">
        <f aca="false">IF($C168="","",IF(ISNUMBER(MATCH($C168,'CA Exclusion Map'!$A$2:$A$2001,0)),"Yes","No"))</f>
        <v/>
      </c>
      <c r="W168" s="39" t="str">
        <f aca="false">IFERROR(INDEX('CA Exclusion Map'!$D$2:$D$2001,MATCH($C168,'CA Exclusion Map'!$A$2:$A$2001,0)),"")</f>
        <v/>
      </c>
      <c r="X168" s="40" t="str">
        <f aca="false">IFERROR(INDEX('CA Exclusion Map'!$E$2:$E$2001,MATCH($C168,'CA Exclusion Map'!$A$2:$A$2001,0)),"")</f>
        <v/>
      </c>
      <c r="Y168" s="40" t="str">
        <f aca="false">IFERROR(INDEX('CA Exclusion Map'!$F$2:$F$2001,MATCH($C168,'CA Exclusion Map'!$A$2:$A$2001,0)),"")</f>
        <v/>
      </c>
      <c r="Z168" s="36"/>
      <c r="AA168" s="37"/>
      <c r="AB168" s="38"/>
      <c r="AC168" s="38"/>
      <c r="AD168" s="39" t="str">
        <f aca="true">IF(V168="","",IF(V168&lt;&gt;"Yes","N/A",IF(AC168="","NO EXPIRY SET",IF(TODAY()&gt;AC168,"EXPIRED",IF(AC168-TODAY()&lt;=30,"Expiring Soon","Active")))))</f>
        <v/>
      </c>
      <c r="AE168" s="36"/>
      <c r="AF168" s="36"/>
      <c r="AG168" s="37"/>
      <c r="AH168" s="36"/>
      <c r="AI168" s="37"/>
      <c r="AJ168" s="37"/>
      <c r="AK168" s="37"/>
      <c r="AL168" s="37"/>
      <c r="AM168" s="38"/>
      <c r="AN168" s="37"/>
      <c r="AO168" s="37"/>
      <c r="AP168" s="41" t="str">
        <f aca="false">IF(AM168="","",AM168+90)</f>
        <v/>
      </c>
      <c r="AQ168" s="39" t="str">
        <f aca="true">IF(C168="","",IF(AM168="","NOT REVIEWED",IF(TODAY()&gt;AP168,"OVERDUE",IF(AP168-TODAY()&lt;=14,"Due Soon","Current"))))</f>
        <v/>
      </c>
      <c r="AR168" s="36"/>
    </row>
    <row r="169" customFormat="false" ht="15" hidden="false" customHeight="false" outlineLevel="0" collapsed="false">
      <c r="A169" s="36"/>
      <c r="B169" s="36"/>
      <c r="C169" s="36"/>
      <c r="D169" s="36"/>
      <c r="E169" s="37"/>
      <c r="F169" s="37"/>
      <c r="G169" s="37"/>
      <c r="H169" s="38"/>
      <c r="I169" s="38"/>
      <c r="J169" s="38"/>
      <c r="K169" s="37"/>
      <c r="L169" s="36"/>
      <c r="M169" s="36"/>
      <c r="N169" s="37"/>
      <c r="O169" s="37"/>
      <c r="P169" s="36"/>
      <c r="Q169" s="39" t="str">
        <f aca="true">IF(J169="","",TODAY()-J169)</f>
        <v/>
      </c>
      <c r="R169" s="37"/>
      <c r="S169" s="40" t="str">
        <f aca="false">IFERROR(INDEX('Azure Resource Map'!$D$2:$D$2001,MATCH($C169,'Azure Resource Map'!$A$2:$A$2001,0)),"")</f>
        <v/>
      </c>
      <c r="T169" s="39" t="str">
        <f aca="false">IFERROR(INDEX('Azure Resource Map'!$E$2:$E$2001,MATCH($C169,'Azure Resource Map'!$A$2:$A$2001,0)),"")</f>
        <v/>
      </c>
      <c r="U169" s="39" t="str">
        <f aca="false">IFERROR(INDEX('Azure Resource Map'!$F$2:$F$2001,MATCH($C169,'Azure Resource Map'!$A$2:$A$2001,0)),"")</f>
        <v/>
      </c>
      <c r="V169" s="39" t="str">
        <f aca="false">IF($C169="","",IF(ISNUMBER(MATCH($C169,'CA Exclusion Map'!$A$2:$A$2001,0)),"Yes","No"))</f>
        <v/>
      </c>
      <c r="W169" s="39" t="str">
        <f aca="false">IFERROR(INDEX('CA Exclusion Map'!$D$2:$D$2001,MATCH($C169,'CA Exclusion Map'!$A$2:$A$2001,0)),"")</f>
        <v/>
      </c>
      <c r="X169" s="40" t="str">
        <f aca="false">IFERROR(INDEX('CA Exclusion Map'!$E$2:$E$2001,MATCH($C169,'CA Exclusion Map'!$A$2:$A$2001,0)),"")</f>
        <v/>
      </c>
      <c r="Y169" s="40" t="str">
        <f aca="false">IFERROR(INDEX('CA Exclusion Map'!$F$2:$F$2001,MATCH($C169,'CA Exclusion Map'!$A$2:$A$2001,0)),"")</f>
        <v/>
      </c>
      <c r="Z169" s="36"/>
      <c r="AA169" s="37"/>
      <c r="AB169" s="38"/>
      <c r="AC169" s="38"/>
      <c r="AD169" s="39" t="str">
        <f aca="true">IF(V169="","",IF(V169&lt;&gt;"Yes","N/A",IF(AC169="","NO EXPIRY SET",IF(TODAY()&gt;AC169,"EXPIRED",IF(AC169-TODAY()&lt;=30,"Expiring Soon","Active")))))</f>
        <v/>
      </c>
      <c r="AE169" s="36"/>
      <c r="AF169" s="36"/>
      <c r="AG169" s="37"/>
      <c r="AH169" s="36"/>
      <c r="AI169" s="37"/>
      <c r="AJ169" s="37"/>
      <c r="AK169" s="37"/>
      <c r="AL169" s="37"/>
      <c r="AM169" s="38"/>
      <c r="AN169" s="37"/>
      <c r="AO169" s="37"/>
      <c r="AP169" s="41" t="str">
        <f aca="false">IF(AM169="","",AM169+90)</f>
        <v/>
      </c>
      <c r="AQ169" s="39" t="str">
        <f aca="true">IF(C169="","",IF(AM169="","NOT REVIEWED",IF(TODAY()&gt;AP169,"OVERDUE",IF(AP169-TODAY()&lt;=14,"Due Soon","Current"))))</f>
        <v/>
      </c>
      <c r="AR169" s="36"/>
    </row>
    <row r="170" customFormat="false" ht="15" hidden="false" customHeight="false" outlineLevel="0" collapsed="false">
      <c r="A170" s="36"/>
      <c r="B170" s="36"/>
      <c r="C170" s="36"/>
      <c r="D170" s="36"/>
      <c r="E170" s="37"/>
      <c r="F170" s="37"/>
      <c r="G170" s="37"/>
      <c r="H170" s="38"/>
      <c r="I170" s="38"/>
      <c r="J170" s="38"/>
      <c r="K170" s="37"/>
      <c r="L170" s="36"/>
      <c r="M170" s="36"/>
      <c r="N170" s="37"/>
      <c r="O170" s="37"/>
      <c r="P170" s="36"/>
      <c r="Q170" s="39" t="str">
        <f aca="true">IF(J170="","",TODAY()-J170)</f>
        <v/>
      </c>
      <c r="R170" s="37"/>
      <c r="S170" s="40" t="str">
        <f aca="false">IFERROR(INDEX('Azure Resource Map'!$D$2:$D$2001,MATCH($C170,'Azure Resource Map'!$A$2:$A$2001,0)),"")</f>
        <v/>
      </c>
      <c r="T170" s="39" t="str">
        <f aca="false">IFERROR(INDEX('Azure Resource Map'!$E$2:$E$2001,MATCH($C170,'Azure Resource Map'!$A$2:$A$2001,0)),"")</f>
        <v/>
      </c>
      <c r="U170" s="39" t="str">
        <f aca="false">IFERROR(INDEX('Azure Resource Map'!$F$2:$F$2001,MATCH($C170,'Azure Resource Map'!$A$2:$A$2001,0)),"")</f>
        <v/>
      </c>
      <c r="V170" s="39" t="str">
        <f aca="false">IF($C170="","",IF(ISNUMBER(MATCH($C170,'CA Exclusion Map'!$A$2:$A$2001,0)),"Yes","No"))</f>
        <v/>
      </c>
      <c r="W170" s="39" t="str">
        <f aca="false">IFERROR(INDEX('CA Exclusion Map'!$D$2:$D$2001,MATCH($C170,'CA Exclusion Map'!$A$2:$A$2001,0)),"")</f>
        <v/>
      </c>
      <c r="X170" s="40" t="str">
        <f aca="false">IFERROR(INDEX('CA Exclusion Map'!$E$2:$E$2001,MATCH($C170,'CA Exclusion Map'!$A$2:$A$2001,0)),"")</f>
        <v/>
      </c>
      <c r="Y170" s="40" t="str">
        <f aca="false">IFERROR(INDEX('CA Exclusion Map'!$F$2:$F$2001,MATCH($C170,'CA Exclusion Map'!$A$2:$A$2001,0)),"")</f>
        <v/>
      </c>
      <c r="Z170" s="36"/>
      <c r="AA170" s="37"/>
      <c r="AB170" s="38"/>
      <c r="AC170" s="38"/>
      <c r="AD170" s="39" t="str">
        <f aca="true">IF(V170="","",IF(V170&lt;&gt;"Yes","N/A",IF(AC170="","NO EXPIRY SET",IF(TODAY()&gt;AC170,"EXPIRED",IF(AC170-TODAY()&lt;=30,"Expiring Soon","Active")))))</f>
        <v/>
      </c>
      <c r="AE170" s="36"/>
      <c r="AF170" s="36"/>
      <c r="AG170" s="37"/>
      <c r="AH170" s="36"/>
      <c r="AI170" s="37"/>
      <c r="AJ170" s="37"/>
      <c r="AK170" s="37"/>
      <c r="AL170" s="37"/>
      <c r="AM170" s="38"/>
      <c r="AN170" s="37"/>
      <c r="AO170" s="37"/>
      <c r="AP170" s="41" t="str">
        <f aca="false">IF(AM170="","",AM170+90)</f>
        <v/>
      </c>
      <c r="AQ170" s="39" t="str">
        <f aca="true">IF(C170="","",IF(AM170="","NOT REVIEWED",IF(TODAY()&gt;AP170,"OVERDUE",IF(AP170-TODAY()&lt;=14,"Due Soon","Current"))))</f>
        <v/>
      </c>
      <c r="AR170" s="36"/>
    </row>
    <row r="171" customFormat="false" ht="15" hidden="false" customHeight="false" outlineLevel="0" collapsed="false">
      <c r="A171" s="36"/>
      <c r="B171" s="36"/>
      <c r="C171" s="36"/>
      <c r="D171" s="36"/>
      <c r="E171" s="37"/>
      <c r="F171" s="37"/>
      <c r="G171" s="37"/>
      <c r="H171" s="38"/>
      <c r="I171" s="38"/>
      <c r="J171" s="38"/>
      <c r="K171" s="37"/>
      <c r="L171" s="36"/>
      <c r="M171" s="36"/>
      <c r="N171" s="37"/>
      <c r="O171" s="37"/>
      <c r="P171" s="36"/>
      <c r="Q171" s="39" t="str">
        <f aca="true">IF(J171="","",TODAY()-J171)</f>
        <v/>
      </c>
      <c r="R171" s="37"/>
      <c r="S171" s="40" t="str">
        <f aca="false">IFERROR(INDEX('Azure Resource Map'!$D$2:$D$2001,MATCH($C171,'Azure Resource Map'!$A$2:$A$2001,0)),"")</f>
        <v/>
      </c>
      <c r="T171" s="39" t="str">
        <f aca="false">IFERROR(INDEX('Azure Resource Map'!$E$2:$E$2001,MATCH($C171,'Azure Resource Map'!$A$2:$A$2001,0)),"")</f>
        <v/>
      </c>
      <c r="U171" s="39" t="str">
        <f aca="false">IFERROR(INDEX('Azure Resource Map'!$F$2:$F$2001,MATCH($C171,'Azure Resource Map'!$A$2:$A$2001,0)),"")</f>
        <v/>
      </c>
      <c r="V171" s="39" t="str">
        <f aca="false">IF($C171="","",IF(ISNUMBER(MATCH($C171,'CA Exclusion Map'!$A$2:$A$2001,0)),"Yes","No"))</f>
        <v/>
      </c>
      <c r="W171" s="39" t="str">
        <f aca="false">IFERROR(INDEX('CA Exclusion Map'!$D$2:$D$2001,MATCH($C171,'CA Exclusion Map'!$A$2:$A$2001,0)),"")</f>
        <v/>
      </c>
      <c r="X171" s="40" t="str">
        <f aca="false">IFERROR(INDEX('CA Exclusion Map'!$E$2:$E$2001,MATCH($C171,'CA Exclusion Map'!$A$2:$A$2001,0)),"")</f>
        <v/>
      </c>
      <c r="Y171" s="40" t="str">
        <f aca="false">IFERROR(INDEX('CA Exclusion Map'!$F$2:$F$2001,MATCH($C171,'CA Exclusion Map'!$A$2:$A$2001,0)),"")</f>
        <v/>
      </c>
      <c r="Z171" s="36"/>
      <c r="AA171" s="37"/>
      <c r="AB171" s="38"/>
      <c r="AC171" s="38"/>
      <c r="AD171" s="39" t="str">
        <f aca="true">IF(V171="","",IF(V171&lt;&gt;"Yes","N/A",IF(AC171="","NO EXPIRY SET",IF(TODAY()&gt;AC171,"EXPIRED",IF(AC171-TODAY()&lt;=30,"Expiring Soon","Active")))))</f>
        <v/>
      </c>
      <c r="AE171" s="36"/>
      <c r="AF171" s="36"/>
      <c r="AG171" s="37"/>
      <c r="AH171" s="36"/>
      <c r="AI171" s="37"/>
      <c r="AJ171" s="37"/>
      <c r="AK171" s="37"/>
      <c r="AL171" s="37"/>
      <c r="AM171" s="38"/>
      <c r="AN171" s="37"/>
      <c r="AO171" s="37"/>
      <c r="AP171" s="41" t="str">
        <f aca="false">IF(AM171="","",AM171+90)</f>
        <v/>
      </c>
      <c r="AQ171" s="39" t="str">
        <f aca="true">IF(C171="","",IF(AM171="","NOT REVIEWED",IF(TODAY()&gt;AP171,"OVERDUE",IF(AP171-TODAY()&lt;=14,"Due Soon","Current"))))</f>
        <v/>
      </c>
      <c r="AR171" s="36"/>
    </row>
    <row r="172" customFormat="false" ht="15" hidden="false" customHeight="false" outlineLevel="0" collapsed="false">
      <c r="A172" s="36"/>
      <c r="B172" s="36"/>
      <c r="C172" s="36"/>
      <c r="D172" s="36"/>
      <c r="E172" s="37"/>
      <c r="F172" s="37"/>
      <c r="G172" s="37"/>
      <c r="H172" s="38"/>
      <c r="I172" s="38"/>
      <c r="J172" s="38"/>
      <c r="K172" s="37"/>
      <c r="L172" s="36"/>
      <c r="M172" s="36"/>
      <c r="N172" s="37"/>
      <c r="O172" s="37"/>
      <c r="P172" s="36"/>
      <c r="Q172" s="39" t="str">
        <f aca="true">IF(J172="","",TODAY()-J172)</f>
        <v/>
      </c>
      <c r="R172" s="37"/>
      <c r="S172" s="40" t="str">
        <f aca="false">IFERROR(INDEX('Azure Resource Map'!$D$2:$D$2001,MATCH($C172,'Azure Resource Map'!$A$2:$A$2001,0)),"")</f>
        <v/>
      </c>
      <c r="T172" s="39" t="str">
        <f aca="false">IFERROR(INDEX('Azure Resource Map'!$E$2:$E$2001,MATCH($C172,'Azure Resource Map'!$A$2:$A$2001,0)),"")</f>
        <v/>
      </c>
      <c r="U172" s="39" t="str">
        <f aca="false">IFERROR(INDEX('Azure Resource Map'!$F$2:$F$2001,MATCH($C172,'Azure Resource Map'!$A$2:$A$2001,0)),"")</f>
        <v/>
      </c>
      <c r="V172" s="39" t="str">
        <f aca="false">IF($C172="","",IF(ISNUMBER(MATCH($C172,'CA Exclusion Map'!$A$2:$A$2001,0)),"Yes","No"))</f>
        <v/>
      </c>
      <c r="W172" s="39" t="str">
        <f aca="false">IFERROR(INDEX('CA Exclusion Map'!$D$2:$D$2001,MATCH($C172,'CA Exclusion Map'!$A$2:$A$2001,0)),"")</f>
        <v/>
      </c>
      <c r="X172" s="40" t="str">
        <f aca="false">IFERROR(INDEX('CA Exclusion Map'!$E$2:$E$2001,MATCH($C172,'CA Exclusion Map'!$A$2:$A$2001,0)),"")</f>
        <v/>
      </c>
      <c r="Y172" s="40" t="str">
        <f aca="false">IFERROR(INDEX('CA Exclusion Map'!$F$2:$F$2001,MATCH($C172,'CA Exclusion Map'!$A$2:$A$2001,0)),"")</f>
        <v/>
      </c>
      <c r="Z172" s="36"/>
      <c r="AA172" s="37"/>
      <c r="AB172" s="38"/>
      <c r="AC172" s="38"/>
      <c r="AD172" s="39" t="str">
        <f aca="true">IF(V172="","",IF(V172&lt;&gt;"Yes","N/A",IF(AC172="","NO EXPIRY SET",IF(TODAY()&gt;AC172,"EXPIRED",IF(AC172-TODAY()&lt;=30,"Expiring Soon","Active")))))</f>
        <v/>
      </c>
      <c r="AE172" s="36"/>
      <c r="AF172" s="36"/>
      <c r="AG172" s="37"/>
      <c r="AH172" s="36"/>
      <c r="AI172" s="37"/>
      <c r="AJ172" s="37"/>
      <c r="AK172" s="37"/>
      <c r="AL172" s="37"/>
      <c r="AM172" s="38"/>
      <c r="AN172" s="37"/>
      <c r="AO172" s="37"/>
      <c r="AP172" s="41" t="str">
        <f aca="false">IF(AM172="","",AM172+90)</f>
        <v/>
      </c>
      <c r="AQ172" s="39" t="str">
        <f aca="true">IF(C172="","",IF(AM172="","NOT REVIEWED",IF(TODAY()&gt;AP172,"OVERDUE",IF(AP172-TODAY()&lt;=14,"Due Soon","Current"))))</f>
        <v/>
      </c>
      <c r="AR172" s="36"/>
    </row>
    <row r="173" customFormat="false" ht="15" hidden="false" customHeight="false" outlineLevel="0" collapsed="false">
      <c r="A173" s="36"/>
      <c r="B173" s="36"/>
      <c r="C173" s="36"/>
      <c r="D173" s="36"/>
      <c r="E173" s="37"/>
      <c r="F173" s="37"/>
      <c r="G173" s="37"/>
      <c r="H173" s="38"/>
      <c r="I173" s="38"/>
      <c r="J173" s="38"/>
      <c r="K173" s="37"/>
      <c r="L173" s="36"/>
      <c r="M173" s="36"/>
      <c r="N173" s="37"/>
      <c r="O173" s="37"/>
      <c r="P173" s="36"/>
      <c r="Q173" s="39" t="str">
        <f aca="true">IF(J173="","",TODAY()-J173)</f>
        <v/>
      </c>
      <c r="R173" s="37"/>
      <c r="S173" s="40" t="str">
        <f aca="false">IFERROR(INDEX('Azure Resource Map'!$D$2:$D$2001,MATCH($C173,'Azure Resource Map'!$A$2:$A$2001,0)),"")</f>
        <v/>
      </c>
      <c r="T173" s="39" t="str">
        <f aca="false">IFERROR(INDEX('Azure Resource Map'!$E$2:$E$2001,MATCH($C173,'Azure Resource Map'!$A$2:$A$2001,0)),"")</f>
        <v/>
      </c>
      <c r="U173" s="39" t="str">
        <f aca="false">IFERROR(INDEX('Azure Resource Map'!$F$2:$F$2001,MATCH($C173,'Azure Resource Map'!$A$2:$A$2001,0)),"")</f>
        <v/>
      </c>
      <c r="V173" s="39" t="str">
        <f aca="false">IF($C173="","",IF(ISNUMBER(MATCH($C173,'CA Exclusion Map'!$A$2:$A$2001,0)),"Yes","No"))</f>
        <v/>
      </c>
      <c r="W173" s="39" t="str">
        <f aca="false">IFERROR(INDEX('CA Exclusion Map'!$D$2:$D$2001,MATCH($C173,'CA Exclusion Map'!$A$2:$A$2001,0)),"")</f>
        <v/>
      </c>
      <c r="X173" s="40" t="str">
        <f aca="false">IFERROR(INDEX('CA Exclusion Map'!$E$2:$E$2001,MATCH($C173,'CA Exclusion Map'!$A$2:$A$2001,0)),"")</f>
        <v/>
      </c>
      <c r="Y173" s="40" t="str">
        <f aca="false">IFERROR(INDEX('CA Exclusion Map'!$F$2:$F$2001,MATCH($C173,'CA Exclusion Map'!$A$2:$A$2001,0)),"")</f>
        <v/>
      </c>
      <c r="Z173" s="36"/>
      <c r="AA173" s="37"/>
      <c r="AB173" s="38"/>
      <c r="AC173" s="38"/>
      <c r="AD173" s="39" t="str">
        <f aca="true">IF(V173="","",IF(V173&lt;&gt;"Yes","N/A",IF(AC173="","NO EXPIRY SET",IF(TODAY()&gt;AC173,"EXPIRED",IF(AC173-TODAY()&lt;=30,"Expiring Soon","Active")))))</f>
        <v/>
      </c>
      <c r="AE173" s="36"/>
      <c r="AF173" s="36"/>
      <c r="AG173" s="37"/>
      <c r="AH173" s="36"/>
      <c r="AI173" s="37"/>
      <c r="AJ173" s="37"/>
      <c r="AK173" s="37"/>
      <c r="AL173" s="37"/>
      <c r="AM173" s="38"/>
      <c r="AN173" s="37"/>
      <c r="AO173" s="37"/>
      <c r="AP173" s="41" t="str">
        <f aca="false">IF(AM173="","",AM173+90)</f>
        <v/>
      </c>
      <c r="AQ173" s="39" t="str">
        <f aca="true">IF(C173="","",IF(AM173="","NOT REVIEWED",IF(TODAY()&gt;AP173,"OVERDUE",IF(AP173-TODAY()&lt;=14,"Due Soon","Current"))))</f>
        <v/>
      </c>
      <c r="AR173" s="36"/>
    </row>
    <row r="174" customFormat="false" ht="15" hidden="false" customHeight="false" outlineLevel="0" collapsed="false">
      <c r="A174" s="36"/>
      <c r="B174" s="36"/>
      <c r="C174" s="36"/>
      <c r="D174" s="36"/>
      <c r="E174" s="37"/>
      <c r="F174" s="37"/>
      <c r="G174" s="37"/>
      <c r="H174" s="38"/>
      <c r="I174" s="38"/>
      <c r="J174" s="38"/>
      <c r="K174" s="37"/>
      <c r="L174" s="36"/>
      <c r="M174" s="36"/>
      <c r="N174" s="37"/>
      <c r="O174" s="37"/>
      <c r="P174" s="36"/>
      <c r="Q174" s="39" t="str">
        <f aca="true">IF(J174="","",TODAY()-J174)</f>
        <v/>
      </c>
      <c r="R174" s="37"/>
      <c r="S174" s="40" t="str">
        <f aca="false">IFERROR(INDEX('Azure Resource Map'!$D$2:$D$2001,MATCH($C174,'Azure Resource Map'!$A$2:$A$2001,0)),"")</f>
        <v/>
      </c>
      <c r="T174" s="39" t="str">
        <f aca="false">IFERROR(INDEX('Azure Resource Map'!$E$2:$E$2001,MATCH($C174,'Azure Resource Map'!$A$2:$A$2001,0)),"")</f>
        <v/>
      </c>
      <c r="U174" s="39" t="str">
        <f aca="false">IFERROR(INDEX('Azure Resource Map'!$F$2:$F$2001,MATCH($C174,'Azure Resource Map'!$A$2:$A$2001,0)),"")</f>
        <v/>
      </c>
      <c r="V174" s="39" t="str">
        <f aca="false">IF($C174="","",IF(ISNUMBER(MATCH($C174,'CA Exclusion Map'!$A$2:$A$2001,0)),"Yes","No"))</f>
        <v/>
      </c>
      <c r="W174" s="39" t="str">
        <f aca="false">IFERROR(INDEX('CA Exclusion Map'!$D$2:$D$2001,MATCH($C174,'CA Exclusion Map'!$A$2:$A$2001,0)),"")</f>
        <v/>
      </c>
      <c r="X174" s="40" t="str">
        <f aca="false">IFERROR(INDEX('CA Exclusion Map'!$E$2:$E$2001,MATCH($C174,'CA Exclusion Map'!$A$2:$A$2001,0)),"")</f>
        <v/>
      </c>
      <c r="Y174" s="40" t="str">
        <f aca="false">IFERROR(INDEX('CA Exclusion Map'!$F$2:$F$2001,MATCH($C174,'CA Exclusion Map'!$A$2:$A$2001,0)),"")</f>
        <v/>
      </c>
      <c r="Z174" s="36"/>
      <c r="AA174" s="37"/>
      <c r="AB174" s="38"/>
      <c r="AC174" s="38"/>
      <c r="AD174" s="39" t="str">
        <f aca="true">IF(V174="","",IF(V174&lt;&gt;"Yes","N/A",IF(AC174="","NO EXPIRY SET",IF(TODAY()&gt;AC174,"EXPIRED",IF(AC174-TODAY()&lt;=30,"Expiring Soon","Active")))))</f>
        <v/>
      </c>
      <c r="AE174" s="36"/>
      <c r="AF174" s="36"/>
      <c r="AG174" s="37"/>
      <c r="AH174" s="36"/>
      <c r="AI174" s="37"/>
      <c r="AJ174" s="37"/>
      <c r="AK174" s="37"/>
      <c r="AL174" s="37"/>
      <c r="AM174" s="38"/>
      <c r="AN174" s="37"/>
      <c r="AO174" s="37"/>
      <c r="AP174" s="41" t="str">
        <f aca="false">IF(AM174="","",AM174+90)</f>
        <v/>
      </c>
      <c r="AQ174" s="39" t="str">
        <f aca="true">IF(C174="","",IF(AM174="","NOT REVIEWED",IF(TODAY()&gt;AP174,"OVERDUE",IF(AP174-TODAY()&lt;=14,"Due Soon","Current"))))</f>
        <v/>
      </c>
      <c r="AR174" s="36"/>
    </row>
    <row r="175" customFormat="false" ht="15" hidden="false" customHeight="false" outlineLevel="0" collapsed="false">
      <c r="A175" s="36"/>
      <c r="B175" s="36"/>
      <c r="C175" s="36"/>
      <c r="D175" s="36"/>
      <c r="E175" s="37"/>
      <c r="F175" s="37"/>
      <c r="G175" s="37"/>
      <c r="H175" s="38"/>
      <c r="I175" s="38"/>
      <c r="J175" s="38"/>
      <c r="K175" s="37"/>
      <c r="L175" s="36"/>
      <c r="M175" s="36"/>
      <c r="N175" s="37"/>
      <c r="O175" s="37"/>
      <c r="P175" s="36"/>
      <c r="Q175" s="39" t="str">
        <f aca="true">IF(J175="","",TODAY()-J175)</f>
        <v/>
      </c>
      <c r="R175" s="37"/>
      <c r="S175" s="40" t="str">
        <f aca="false">IFERROR(INDEX('Azure Resource Map'!$D$2:$D$2001,MATCH($C175,'Azure Resource Map'!$A$2:$A$2001,0)),"")</f>
        <v/>
      </c>
      <c r="T175" s="39" t="str">
        <f aca="false">IFERROR(INDEX('Azure Resource Map'!$E$2:$E$2001,MATCH($C175,'Azure Resource Map'!$A$2:$A$2001,0)),"")</f>
        <v/>
      </c>
      <c r="U175" s="39" t="str">
        <f aca="false">IFERROR(INDEX('Azure Resource Map'!$F$2:$F$2001,MATCH($C175,'Azure Resource Map'!$A$2:$A$2001,0)),"")</f>
        <v/>
      </c>
      <c r="V175" s="39" t="str">
        <f aca="false">IF($C175="","",IF(ISNUMBER(MATCH($C175,'CA Exclusion Map'!$A$2:$A$2001,0)),"Yes","No"))</f>
        <v/>
      </c>
      <c r="W175" s="39" t="str">
        <f aca="false">IFERROR(INDEX('CA Exclusion Map'!$D$2:$D$2001,MATCH($C175,'CA Exclusion Map'!$A$2:$A$2001,0)),"")</f>
        <v/>
      </c>
      <c r="X175" s="40" t="str">
        <f aca="false">IFERROR(INDEX('CA Exclusion Map'!$E$2:$E$2001,MATCH($C175,'CA Exclusion Map'!$A$2:$A$2001,0)),"")</f>
        <v/>
      </c>
      <c r="Y175" s="40" t="str">
        <f aca="false">IFERROR(INDEX('CA Exclusion Map'!$F$2:$F$2001,MATCH($C175,'CA Exclusion Map'!$A$2:$A$2001,0)),"")</f>
        <v/>
      </c>
      <c r="Z175" s="36"/>
      <c r="AA175" s="37"/>
      <c r="AB175" s="38"/>
      <c r="AC175" s="38"/>
      <c r="AD175" s="39" t="str">
        <f aca="true">IF(V175="","",IF(V175&lt;&gt;"Yes","N/A",IF(AC175="","NO EXPIRY SET",IF(TODAY()&gt;AC175,"EXPIRED",IF(AC175-TODAY()&lt;=30,"Expiring Soon","Active")))))</f>
        <v/>
      </c>
      <c r="AE175" s="36"/>
      <c r="AF175" s="36"/>
      <c r="AG175" s="37"/>
      <c r="AH175" s="36"/>
      <c r="AI175" s="37"/>
      <c r="AJ175" s="37"/>
      <c r="AK175" s="37"/>
      <c r="AL175" s="37"/>
      <c r="AM175" s="38"/>
      <c r="AN175" s="37"/>
      <c r="AO175" s="37"/>
      <c r="AP175" s="41" t="str">
        <f aca="false">IF(AM175="","",AM175+90)</f>
        <v/>
      </c>
      <c r="AQ175" s="39" t="str">
        <f aca="true">IF(C175="","",IF(AM175="","NOT REVIEWED",IF(TODAY()&gt;AP175,"OVERDUE",IF(AP175-TODAY()&lt;=14,"Due Soon","Current"))))</f>
        <v/>
      </c>
      <c r="AR175" s="36"/>
    </row>
    <row r="176" customFormat="false" ht="15" hidden="false" customHeight="false" outlineLevel="0" collapsed="false">
      <c r="A176" s="36"/>
      <c r="B176" s="36"/>
      <c r="C176" s="36"/>
      <c r="D176" s="36"/>
      <c r="E176" s="37"/>
      <c r="F176" s="37"/>
      <c r="G176" s="37"/>
      <c r="H176" s="38"/>
      <c r="I176" s="38"/>
      <c r="J176" s="38"/>
      <c r="K176" s="37"/>
      <c r="L176" s="36"/>
      <c r="M176" s="36"/>
      <c r="N176" s="37"/>
      <c r="O176" s="37"/>
      <c r="P176" s="36"/>
      <c r="Q176" s="39" t="str">
        <f aca="true">IF(J176="","",TODAY()-J176)</f>
        <v/>
      </c>
      <c r="R176" s="37"/>
      <c r="S176" s="40" t="str">
        <f aca="false">IFERROR(INDEX('Azure Resource Map'!$D$2:$D$2001,MATCH($C176,'Azure Resource Map'!$A$2:$A$2001,0)),"")</f>
        <v/>
      </c>
      <c r="T176" s="39" t="str">
        <f aca="false">IFERROR(INDEX('Azure Resource Map'!$E$2:$E$2001,MATCH($C176,'Azure Resource Map'!$A$2:$A$2001,0)),"")</f>
        <v/>
      </c>
      <c r="U176" s="39" t="str">
        <f aca="false">IFERROR(INDEX('Azure Resource Map'!$F$2:$F$2001,MATCH($C176,'Azure Resource Map'!$A$2:$A$2001,0)),"")</f>
        <v/>
      </c>
      <c r="V176" s="39" t="str">
        <f aca="false">IF($C176="","",IF(ISNUMBER(MATCH($C176,'CA Exclusion Map'!$A$2:$A$2001,0)),"Yes","No"))</f>
        <v/>
      </c>
      <c r="W176" s="39" t="str">
        <f aca="false">IFERROR(INDEX('CA Exclusion Map'!$D$2:$D$2001,MATCH($C176,'CA Exclusion Map'!$A$2:$A$2001,0)),"")</f>
        <v/>
      </c>
      <c r="X176" s="40" t="str">
        <f aca="false">IFERROR(INDEX('CA Exclusion Map'!$E$2:$E$2001,MATCH($C176,'CA Exclusion Map'!$A$2:$A$2001,0)),"")</f>
        <v/>
      </c>
      <c r="Y176" s="40" t="str">
        <f aca="false">IFERROR(INDEX('CA Exclusion Map'!$F$2:$F$2001,MATCH($C176,'CA Exclusion Map'!$A$2:$A$2001,0)),"")</f>
        <v/>
      </c>
      <c r="Z176" s="36"/>
      <c r="AA176" s="37"/>
      <c r="AB176" s="38"/>
      <c r="AC176" s="38"/>
      <c r="AD176" s="39" t="str">
        <f aca="true">IF(V176="","",IF(V176&lt;&gt;"Yes","N/A",IF(AC176="","NO EXPIRY SET",IF(TODAY()&gt;AC176,"EXPIRED",IF(AC176-TODAY()&lt;=30,"Expiring Soon","Active")))))</f>
        <v/>
      </c>
      <c r="AE176" s="36"/>
      <c r="AF176" s="36"/>
      <c r="AG176" s="37"/>
      <c r="AH176" s="36"/>
      <c r="AI176" s="37"/>
      <c r="AJ176" s="37"/>
      <c r="AK176" s="37"/>
      <c r="AL176" s="37"/>
      <c r="AM176" s="38"/>
      <c r="AN176" s="37"/>
      <c r="AO176" s="37"/>
      <c r="AP176" s="41" t="str">
        <f aca="false">IF(AM176="","",AM176+90)</f>
        <v/>
      </c>
      <c r="AQ176" s="39" t="str">
        <f aca="true">IF(C176="","",IF(AM176="","NOT REVIEWED",IF(TODAY()&gt;AP176,"OVERDUE",IF(AP176-TODAY()&lt;=14,"Due Soon","Current"))))</f>
        <v/>
      </c>
      <c r="AR176" s="36"/>
    </row>
    <row r="177" customFormat="false" ht="15" hidden="false" customHeight="false" outlineLevel="0" collapsed="false">
      <c r="A177" s="36"/>
      <c r="B177" s="36"/>
      <c r="C177" s="36"/>
      <c r="D177" s="36"/>
      <c r="E177" s="37"/>
      <c r="F177" s="37"/>
      <c r="G177" s="37"/>
      <c r="H177" s="38"/>
      <c r="I177" s="38"/>
      <c r="J177" s="38"/>
      <c r="K177" s="37"/>
      <c r="L177" s="36"/>
      <c r="M177" s="36"/>
      <c r="N177" s="37"/>
      <c r="O177" s="37"/>
      <c r="P177" s="36"/>
      <c r="Q177" s="39" t="str">
        <f aca="true">IF(J177="","",TODAY()-J177)</f>
        <v/>
      </c>
      <c r="R177" s="37"/>
      <c r="S177" s="40" t="str">
        <f aca="false">IFERROR(INDEX('Azure Resource Map'!$D$2:$D$2001,MATCH($C177,'Azure Resource Map'!$A$2:$A$2001,0)),"")</f>
        <v/>
      </c>
      <c r="T177" s="39" t="str">
        <f aca="false">IFERROR(INDEX('Azure Resource Map'!$E$2:$E$2001,MATCH($C177,'Azure Resource Map'!$A$2:$A$2001,0)),"")</f>
        <v/>
      </c>
      <c r="U177" s="39" t="str">
        <f aca="false">IFERROR(INDEX('Azure Resource Map'!$F$2:$F$2001,MATCH($C177,'Azure Resource Map'!$A$2:$A$2001,0)),"")</f>
        <v/>
      </c>
      <c r="V177" s="39" t="str">
        <f aca="false">IF($C177="","",IF(ISNUMBER(MATCH($C177,'CA Exclusion Map'!$A$2:$A$2001,0)),"Yes","No"))</f>
        <v/>
      </c>
      <c r="W177" s="39" t="str">
        <f aca="false">IFERROR(INDEX('CA Exclusion Map'!$D$2:$D$2001,MATCH($C177,'CA Exclusion Map'!$A$2:$A$2001,0)),"")</f>
        <v/>
      </c>
      <c r="X177" s="40" t="str">
        <f aca="false">IFERROR(INDEX('CA Exclusion Map'!$E$2:$E$2001,MATCH($C177,'CA Exclusion Map'!$A$2:$A$2001,0)),"")</f>
        <v/>
      </c>
      <c r="Y177" s="40" t="str">
        <f aca="false">IFERROR(INDEX('CA Exclusion Map'!$F$2:$F$2001,MATCH($C177,'CA Exclusion Map'!$A$2:$A$2001,0)),"")</f>
        <v/>
      </c>
      <c r="Z177" s="36"/>
      <c r="AA177" s="37"/>
      <c r="AB177" s="38"/>
      <c r="AC177" s="38"/>
      <c r="AD177" s="39" t="str">
        <f aca="true">IF(V177="","",IF(V177&lt;&gt;"Yes","N/A",IF(AC177="","NO EXPIRY SET",IF(TODAY()&gt;AC177,"EXPIRED",IF(AC177-TODAY()&lt;=30,"Expiring Soon","Active")))))</f>
        <v/>
      </c>
      <c r="AE177" s="36"/>
      <c r="AF177" s="36"/>
      <c r="AG177" s="37"/>
      <c r="AH177" s="36"/>
      <c r="AI177" s="37"/>
      <c r="AJ177" s="37"/>
      <c r="AK177" s="37"/>
      <c r="AL177" s="37"/>
      <c r="AM177" s="38"/>
      <c r="AN177" s="37"/>
      <c r="AO177" s="37"/>
      <c r="AP177" s="41" t="str">
        <f aca="false">IF(AM177="","",AM177+90)</f>
        <v/>
      </c>
      <c r="AQ177" s="39" t="str">
        <f aca="true">IF(C177="","",IF(AM177="","NOT REVIEWED",IF(TODAY()&gt;AP177,"OVERDUE",IF(AP177-TODAY()&lt;=14,"Due Soon","Current"))))</f>
        <v/>
      </c>
      <c r="AR177" s="36"/>
    </row>
    <row r="178" customFormat="false" ht="15" hidden="false" customHeight="false" outlineLevel="0" collapsed="false">
      <c r="A178" s="36"/>
      <c r="B178" s="36"/>
      <c r="C178" s="36"/>
      <c r="D178" s="36"/>
      <c r="E178" s="37"/>
      <c r="F178" s="37"/>
      <c r="G178" s="37"/>
      <c r="H178" s="38"/>
      <c r="I178" s="38"/>
      <c r="J178" s="38"/>
      <c r="K178" s="37"/>
      <c r="L178" s="36"/>
      <c r="M178" s="36"/>
      <c r="N178" s="37"/>
      <c r="O178" s="37"/>
      <c r="P178" s="36"/>
      <c r="Q178" s="39" t="str">
        <f aca="true">IF(J178="","",TODAY()-J178)</f>
        <v/>
      </c>
      <c r="R178" s="37"/>
      <c r="S178" s="40" t="str">
        <f aca="false">IFERROR(INDEX('Azure Resource Map'!$D$2:$D$2001,MATCH($C178,'Azure Resource Map'!$A$2:$A$2001,0)),"")</f>
        <v/>
      </c>
      <c r="T178" s="39" t="str">
        <f aca="false">IFERROR(INDEX('Azure Resource Map'!$E$2:$E$2001,MATCH($C178,'Azure Resource Map'!$A$2:$A$2001,0)),"")</f>
        <v/>
      </c>
      <c r="U178" s="39" t="str">
        <f aca="false">IFERROR(INDEX('Azure Resource Map'!$F$2:$F$2001,MATCH($C178,'Azure Resource Map'!$A$2:$A$2001,0)),"")</f>
        <v/>
      </c>
      <c r="V178" s="39" t="str">
        <f aca="false">IF($C178="","",IF(ISNUMBER(MATCH($C178,'CA Exclusion Map'!$A$2:$A$2001,0)),"Yes","No"))</f>
        <v/>
      </c>
      <c r="W178" s="39" t="str">
        <f aca="false">IFERROR(INDEX('CA Exclusion Map'!$D$2:$D$2001,MATCH($C178,'CA Exclusion Map'!$A$2:$A$2001,0)),"")</f>
        <v/>
      </c>
      <c r="X178" s="40" t="str">
        <f aca="false">IFERROR(INDEX('CA Exclusion Map'!$E$2:$E$2001,MATCH($C178,'CA Exclusion Map'!$A$2:$A$2001,0)),"")</f>
        <v/>
      </c>
      <c r="Y178" s="40" t="str">
        <f aca="false">IFERROR(INDEX('CA Exclusion Map'!$F$2:$F$2001,MATCH($C178,'CA Exclusion Map'!$A$2:$A$2001,0)),"")</f>
        <v/>
      </c>
      <c r="Z178" s="36"/>
      <c r="AA178" s="37"/>
      <c r="AB178" s="38"/>
      <c r="AC178" s="38"/>
      <c r="AD178" s="39" t="str">
        <f aca="true">IF(V178="","",IF(V178&lt;&gt;"Yes","N/A",IF(AC178="","NO EXPIRY SET",IF(TODAY()&gt;AC178,"EXPIRED",IF(AC178-TODAY()&lt;=30,"Expiring Soon","Active")))))</f>
        <v/>
      </c>
      <c r="AE178" s="36"/>
      <c r="AF178" s="36"/>
      <c r="AG178" s="37"/>
      <c r="AH178" s="36"/>
      <c r="AI178" s="37"/>
      <c r="AJ178" s="37"/>
      <c r="AK178" s="37"/>
      <c r="AL178" s="37"/>
      <c r="AM178" s="38"/>
      <c r="AN178" s="37"/>
      <c r="AO178" s="37"/>
      <c r="AP178" s="41" t="str">
        <f aca="false">IF(AM178="","",AM178+90)</f>
        <v/>
      </c>
      <c r="AQ178" s="39" t="str">
        <f aca="true">IF(C178="","",IF(AM178="","NOT REVIEWED",IF(TODAY()&gt;AP178,"OVERDUE",IF(AP178-TODAY()&lt;=14,"Due Soon","Current"))))</f>
        <v/>
      </c>
      <c r="AR178" s="36"/>
    </row>
    <row r="179" customFormat="false" ht="15" hidden="false" customHeight="false" outlineLevel="0" collapsed="false">
      <c r="A179" s="36"/>
      <c r="B179" s="36"/>
      <c r="C179" s="36"/>
      <c r="D179" s="36"/>
      <c r="E179" s="37"/>
      <c r="F179" s="37"/>
      <c r="G179" s="37"/>
      <c r="H179" s="38"/>
      <c r="I179" s="38"/>
      <c r="J179" s="38"/>
      <c r="K179" s="37"/>
      <c r="L179" s="36"/>
      <c r="M179" s="36"/>
      <c r="N179" s="37"/>
      <c r="O179" s="37"/>
      <c r="P179" s="36"/>
      <c r="Q179" s="39" t="str">
        <f aca="true">IF(J179="","",TODAY()-J179)</f>
        <v/>
      </c>
      <c r="R179" s="37"/>
      <c r="S179" s="40" t="str">
        <f aca="false">IFERROR(INDEX('Azure Resource Map'!$D$2:$D$2001,MATCH($C179,'Azure Resource Map'!$A$2:$A$2001,0)),"")</f>
        <v/>
      </c>
      <c r="T179" s="39" t="str">
        <f aca="false">IFERROR(INDEX('Azure Resource Map'!$E$2:$E$2001,MATCH($C179,'Azure Resource Map'!$A$2:$A$2001,0)),"")</f>
        <v/>
      </c>
      <c r="U179" s="39" t="str">
        <f aca="false">IFERROR(INDEX('Azure Resource Map'!$F$2:$F$2001,MATCH($C179,'Azure Resource Map'!$A$2:$A$2001,0)),"")</f>
        <v/>
      </c>
      <c r="V179" s="39" t="str">
        <f aca="false">IF($C179="","",IF(ISNUMBER(MATCH($C179,'CA Exclusion Map'!$A$2:$A$2001,0)),"Yes","No"))</f>
        <v/>
      </c>
      <c r="W179" s="39" t="str">
        <f aca="false">IFERROR(INDEX('CA Exclusion Map'!$D$2:$D$2001,MATCH($C179,'CA Exclusion Map'!$A$2:$A$2001,0)),"")</f>
        <v/>
      </c>
      <c r="X179" s="40" t="str">
        <f aca="false">IFERROR(INDEX('CA Exclusion Map'!$E$2:$E$2001,MATCH($C179,'CA Exclusion Map'!$A$2:$A$2001,0)),"")</f>
        <v/>
      </c>
      <c r="Y179" s="40" t="str">
        <f aca="false">IFERROR(INDEX('CA Exclusion Map'!$F$2:$F$2001,MATCH($C179,'CA Exclusion Map'!$A$2:$A$2001,0)),"")</f>
        <v/>
      </c>
      <c r="Z179" s="36"/>
      <c r="AA179" s="37"/>
      <c r="AB179" s="38"/>
      <c r="AC179" s="38"/>
      <c r="AD179" s="39" t="str">
        <f aca="true">IF(V179="","",IF(V179&lt;&gt;"Yes","N/A",IF(AC179="","NO EXPIRY SET",IF(TODAY()&gt;AC179,"EXPIRED",IF(AC179-TODAY()&lt;=30,"Expiring Soon","Active")))))</f>
        <v/>
      </c>
      <c r="AE179" s="36"/>
      <c r="AF179" s="36"/>
      <c r="AG179" s="37"/>
      <c r="AH179" s="36"/>
      <c r="AI179" s="37"/>
      <c r="AJ179" s="37"/>
      <c r="AK179" s="37"/>
      <c r="AL179" s="37"/>
      <c r="AM179" s="38"/>
      <c r="AN179" s="37"/>
      <c r="AO179" s="37"/>
      <c r="AP179" s="41" t="str">
        <f aca="false">IF(AM179="","",AM179+90)</f>
        <v/>
      </c>
      <c r="AQ179" s="39" t="str">
        <f aca="true">IF(C179="","",IF(AM179="","NOT REVIEWED",IF(TODAY()&gt;AP179,"OVERDUE",IF(AP179-TODAY()&lt;=14,"Due Soon","Current"))))</f>
        <v/>
      </c>
      <c r="AR179" s="36"/>
    </row>
    <row r="180" customFormat="false" ht="15" hidden="false" customHeight="false" outlineLevel="0" collapsed="false">
      <c r="A180" s="36"/>
      <c r="B180" s="36"/>
      <c r="C180" s="36"/>
      <c r="D180" s="36"/>
      <c r="E180" s="37"/>
      <c r="F180" s="37"/>
      <c r="G180" s="37"/>
      <c r="H180" s="38"/>
      <c r="I180" s="38"/>
      <c r="J180" s="38"/>
      <c r="K180" s="37"/>
      <c r="L180" s="36"/>
      <c r="M180" s="36"/>
      <c r="N180" s="37"/>
      <c r="O180" s="37"/>
      <c r="P180" s="36"/>
      <c r="Q180" s="39" t="str">
        <f aca="true">IF(J180="","",TODAY()-J180)</f>
        <v/>
      </c>
      <c r="R180" s="37"/>
      <c r="S180" s="40" t="str">
        <f aca="false">IFERROR(INDEX('Azure Resource Map'!$D$2:$D$2001,MATCH($C180,'Azure Resource Map'!$A$2:$A$2001,0)),"")</f>
        <v/>
      </c>
      <c r="T180" s="39" t="str">
        <f aca="false">IFERROR(INDEX('Azure Resource Map'!$E$2:$E$2001,MATCH($C180,'Azure Resource Map'!$A$2:$A$2001,0)),"")</f>
        <v/>
      </c>
      <c r="U180" s="39" t="str">
        <f aca="false">IFERROR(INDEX('Azure Resource Map'!$F$2:$F$2001,MATCH($C180,'Azure Resource Map'!$A$2:$A$2001,0)),"")</f>
        <v/>
      </c>
      <c r="V180" s="39" t="str">
        <f aca="false">IF($C180="","",IF(ISNUMBER(MATCH($C180,'CA Exclusion Map'!$A$2:$A$2001,0)),"Yes","No"))</f>
        <v/>
      </c>
      <c r="W180" s="39" t="str">
        <f aca="false">IFERROR(INDEX('CA Exclusion Map'!$D$2:$D$2001,MATCH($C180,'CA Exclusion Map'!$A$2:$A$2001,0)),"")</f>
        <v/>
      </c>
      <c r="X180" s="40" t="str">
        <f aca="false">IFERROR(INDEX('CA Exclusion Map'!$E$2:$E$2001,MATCH($C180,'CA Exclusion Map'!$A$2:$A$2001,0)),"")</f>
        <v/>
      </c>
      <c r="Y180" s="40" t="str">
        <f aca="false">IFERROR(INDEX('CA Exclusion Map'!$F$2:$F$2001,MATCH($C180,'CA Exclusion Map'!$A$2:$A$2001,0)),"")</f>
        <v/>
      </c>
      <c r="Z180" s="36"/>
      <c r="AA180" s="37"/>
      <c r="AB180" s="38"/>
      <c r="AC180" s="38"/>
      <c r="AD180" s="39" t="str">
        <f aca="true">IF(V180="","",IF(V180&lt;&gt;"Yes","N/A",IF(AC180="","NO EXPIRY SET",IF(TODAY()&gt;AC180,"EXPIRED",IF(AC180-TODAY()&lt;=30,"Expiring Soon","Active")))))</f>
        <v/>
      </c>
      <c r="AE180" s="36"/>
      <c r="AF180" s="36"/>
      <c r="AG180" s="37"/>
      <c r="AH180" s="36"/>
      <c r="AI180" s="37"/>
      <c r="AJ180" s="37"/>
      <c r="AK180" s="37"/>
      <c r="AL180" s="37"/>
      <c r="AM180" s="38"/>
      <c r="AN180" s="37"/>
      <c r="AO180" s="37"/>
      <c r="AP180" s="41" t="str">
        <f aca="false">IF(AM180="","",AM180+90)</f>
        <v/>
      </c>
      <c r="AQ180" s="39" t="str">
        <f aca="true">IF(C180="","",IF(AM180="","NOT REVIEWED",IF(TODAY()&gt;AP180,"OVERDUE",IF(AP180-TODAY()&lt;=14,"Due Soon","Current"))))</f>
        <v/>
      </c>
      <c r="AR180" s="36"/>
    </row>
    <row r="181" customFormat="false" ht="15" hidden="false" customHeight="false" outlineLevel="0" collapsed="false">
      <c r="A181" s="36"/>
      <c r="B181" s="36"/>
      <c r="C181" s="36"/>
      <c r="D181" s="36"/>
      <c r="E181" s="37"/>
      <c r="F181" s="37"/>
      <c r="G181" s="37"/>
      <c r="H181" s="38"/>
      <c r="I181" s="38"/>
      <c r="J181" s="38"/>
      <c r="K181" s="37"/>
      <c r="L181" s="36"/>
      <c r="M181" s="36"/>
      <c r="N181" s="37"/>
      <c r="O181" s="37"/>
      <c r="P181" s="36"/>
      <c r="Q181" s="39" t="str">
        <f aca="true">IF(J181="","",TODAY()-J181)</f>
        <v/>
      </c>
      <c r="R181" s="37"/>
      <c r="S181" s="40" t="str">
        <f aca="false">IFERROR(INDEX('Azure Resource Map'!$D$2:$D$2001,MATCH($C181,'Azure Resource Map'!$A$2:$A$2001,0)),"")</f>
        <v/>
      </c>
      <c r="T181" s="39" t="str">
        <f aca="false">IFERROR(INDEX('Azure Resource Map'!$E$2:$E$2001,MATCH($C181,'Azure Resource Map'!$A$2:$A$2001,0)),"")</f>
        <v/>
      </c>
      <c r="U181" s="39" t="str">
        <f aca="false">IFERROR(INDEX('Azure Resource Map'!$F$2:$F$2001,MATCH($C181,'Azure Resource Map'!$A$2:$A$2001,0)),"")</f>
        <v/>
      </c>
      <c r="V181" s="39" t="str">
        <f aca="false">IF($C181="","",IF(ISNUMBER(MATCH($C181,'CA Exclusion Map'!$A$2:$A$2001,0)),"Yes","No"))</f>
        <v/>
      </c>
      <c r="W181" s="39" t="str">
        <f aca="false">IFERROR(INDEX('CA Exclusion Map'!$D$2:$D$2001,MATCH($C181,'CA Exclusion Map'!$A$2:$A$2001,0)),"")</f>
        <v/>
      </c>
      <c r="X181" s="40" t="str">
        <f aca="false">IFERROR(INDEX('CA Exclusion Map'!$E$2:$E$2001,MATCH($C181,'CA Exclusion Map'!$A$2:$A$2001,0)),"")</f>
        <v/>
      </c>
      <c r="Y181" s="40" t="str">
        <f aca="false">IFERROR(INDEX('CA Exclusion Map'!$F$2:$F$2001,MATCH($C181,'CA Exclusion Map'!$A$2:$A$2001,0)),"")</f>
        <v/>
      </c>
      <c r="Z181" s="36"/>
      <c r="AA181" s="37"/>
      <c r="AB181" s="38"/>
      <c r="AC181" s="38"/>
      <c r="AD181" s="39" t="str">
        <f aca="true">IF(V181="","",IF(V181&lt;&gt;"Yes","N/A",IF(AC181="","NO EXPIRY SET",IF(TODAY()&gt;AC181,"EXPIRED",IF(AC181-TODAY()&lt;=30,"Expiring Soon","Active")))))</f>
        <v/>
      </c>
      <c r="AE181" s="36"/>
      <c r="AF181" s="36"/>
      <c r="AG181" s="37"/>
      <c r="AH181" s="36"/>
      <c r="AI181" s="37"/>
      <c r="AJ181" s="37"/>
      <c r="AK181" s="37"/>
      <c r="AL181" s="37"/>
      <c r="AM181" s="38"/>
      <c r="AN181" s="37"/>
      <c r="AO181" s="37"/>
      <c r="AP181" s="41" t="str">
        <f aca="false">IF(AM181="","",AM181+90)</f>
        <v/>
      </c>
      <c r="AQ181" s="39" t="str">
        <f aca="true">IF(C181="","",IF(AM181="","NOT REVIEWED",IF(TODAY()&gt;AP181,"OVERDUE",IF(AP181-TODAY()&lt;=14,"Due Soon","Current"))))</f>
        <v/>
      </c>
      <c r="AR181" s="36"/>
    </row>
    <row r="182" customFormat="false" ht="15" hidden="false" customHeight="false" outlineLevel="0" collapsed="false">
      <c r="A182" s="36"/>
      <c r="B182" s="36"/>
      <c r="C182" s="36"/>
      <c r="D182" s="36"/>
      <c r="E182" s="37"/>
      <c r="F182" s="37"/>
      <c r="G182" s="37"/>
      <c r="H182" s="38"/>
      <c r="I182" s="38"/>
      <c r="J182" s="38"/>
      <c r="K182" s="37"/>
      <c r="L182" s="36"/>
      <c r="M182" s="36"/>
      <c r="N182" s="37"/>
      <c r="O182" s="37"/>
      <c r="P182" s="36"/>
      <c r="Q182" s="39" t="str">
        <f aca="true">IF(J182="","",TODAY()-J182)</f>
        <v/>
      </c>
      <c r="R182" s="37"/>
      <c r="S182" s="40" t="str">
        <f aca="false">IFERROR(INDEX('Azure Resource Map'!$D$2:$D$2001,MATCH($C182,'Azure Resource Map'!$A$2:$A$2001,0)),"")</f>
        <v/>
      </c>
      <c r="T182" s="39" t="str">
        <f aca="false">IFERROR(INDEX('Azure Resource Map'!$E$2:$E$2001,MATCH($C182,'Azure Resource Map'!$A$2:$A$2001,0)),"")</f>
        <v/>
      </c>
      <c r="U182" s="39" t="str">
        <f aca="false">IFERROR(INDEX('Azure Resource Map'!$F$2:$F$2001,MATCH($C182,'Azure Resource Map'!$A$2:$A$2001,0)),"")</f>
        <v/>
      </c>
      <c r="V182" s="39" t="str">
        <f aca="false">IF($C182="","",IF(ISNUMBER(MATCH($C182,'CA Exclusion Map'!$A$2:$A$2001,0)),"Yes","No"))</f>
        <v/>
      </c>
      <c r="W182" s="39" t="str">
        <f aca="false">IFERROR(INDEX('CA Exclusion Map'!$D$2:$D$2001,MATCH($C182,'CA Exclusion Map'!$A$2:$A$2001,0)),"")</f>
        <v/>
      </c>
      <c r="X182" s="40" t="str">
        <f aca="false">IFERROR(INDEX('CA Exclusion Map'!$E$2:$E$2001,MATCH($C182,'CA Exclusion Map'!$A$2:$A$2001,0)),"")</f>
        <v/>
      </c>
      <c r="Y182" s="40" t="str">
        <f aca="false">IFERROR(INDEX('CA Exclusion Map'!$F$2:$F$2001,MATCH($C182,'CA Exclusion Map'!$A$2:$A$2001,0)),"")</f>
        <v/>
      </c>
      <c r="Z182" s="36"/>
      <c r="AA182" s="37"/>
      <c r="AB182" s="38"/>
      <c r="AC182" s="38"/>
      <c r="AD182" s="39" t="str">
        <f aca="true">IF(V182="","",IF(V182&lt;&gt;"Yes","N/A",IF(AC182="","NO EXPIRY SET",IF(TODAY()&gt;AC182,"EXPIRED",IF(AC182-TODAY()&lt;=30,"Expiring Soon","Active")))))</f>
        <v/>
      </c>
      <c r="AE182" s="36"/>
      <c r="AF182" s="36"/>
      <c r="AG182" s="37"/>
      <c r="AH182" s="36"/>
      <c r="AI182" s="37"/>
      <c r="AJ182" s="37"/>
      <c r="AK182" s="37"/>
      <c r="AL182" s="37"/>
      <c r="AM182" s="38"/>
      <c r="AN182" s="37"/>
      <c r="AO182" s="37"/>
      <c r="AP182" s="41" t="str">
        <f aca="false">IF(AM182="","",AM182+90)</f>
        <v/>
      </c>
      <c r="AQ182" s="39" t="str">
        <f aca="true">IF(C182="","",IF(AM182="","NOT REVIEWED",IF(TODAY()&gt;AP182,"OVERDUE",IF(AP182-TODAY()&lt;=14,"Due Soon","Current"))))</f>
        <v/>
      </c>
      <c r="AR182" s="36"/>
    </row>
    <row r="183" customFormat="false" ht="15" hidden="false" customHeight="false" outlineLevel="0" collapsed="false">
      <c r="A183" s="36"/>
      <c r="B183" s="36"/>
      <c r="C183" s="36"/>
      <c r="D183" s="36"/>
      <c r="E183" s="37"/>
      <c r="F183" s="37"/>
      <c r="G183" s="37"/>
      <c r="H183" s="38"/>
      <c r="I183" s="38"/>
      <c r="J183" s="38"/>
      <c r="K183" s="37"/>
      <c r="L183" s="36"/>
      <c r="M183" s="36"/>
      <c r="N183" s="37"/>
      <c r="O183" s="37"/>
      <c r="P183" s="36"/>
      <c r="Q183" s="39" t="str">
        <f aca="true">IF(J183="","",TODAY()-J183)</f>
        <v/>
      </c>
      <c r="R183" s="37"/>
      <c r="S183" s="40" t="str">
        <f aca="false">IFERROR(INDEX('Azure Resource Map'!$D$2:$D$2001,MATCH($C183,'Azure Resource Map'!$A$2:$A$2001,0)),"")</f>
        <v/>
      </c>
      <c r="T183" s="39" t="str">
        <f aca="false">IFERROR(INDEX('Azure Resource Map'!$E$2:$E$2001,MATCH($C183,'Azure Resource Map'!$A$2:$A$2001,0)),"")</f>
        <v/>
      </c>
      <c r="U183" s="39" t="str">
        <f aca="false">IFERROR(INDEX('Azure Resource Map'!$F$2:$F$2001,MATCH($C183,'Azure Resource Map'!$A$2:$A$2001,0)),"")</f>
        <v/>
      </c>
      <c r="V183" s="39" t="str">
        <f aca="false">IF($C183="","",IF(ISNUMBER(MATCH($C183,'CA Exclusion Map'!$A$2:$A$2001,0)),"Yes","No"))</f>
        <v/>
      </c>
      <c r="W183" s="39" t="str">
        <f aca="false">IFERROR(INDEX('CA Exclusion Map'!$D$2:$D$2001,MATCH($C183,'CA Exclusion Map'!$A$2:$A$2001,0)),"")</f>
        <v/>
      </c>
      <c r="X183" s="40" t="str">
        <f aca="false">IFERROR(INDEX('CA Exclusion Map'!$E$2:$E$2001,MATCH($C183,'CA Exclusion Map'!$A$2:$A$2001,0)),"")</f>
        <v/>
      </c>
      <c r="Y183" s="40" t="str">
        <f aca="false">IFERROR(INDEX('CA Exclusion Map'!$F$2:$F$2001,MATCH($C183,'CA Exclusion Map'!$A$2:$A$2001,0)),"")</f>
        <v/>
      </c>
      <c r="Z183" s="36"/>
      <c r="AA183" s="37"/>
      <c r="AB183" s="38"/>
      <c r="AC183" s="38"/>
      <c r="AD183" s="39" t="str">
        <f aca="true">IF(V183="","",IF(V183&lt;&gt;"Yes","N/A",IF(AC183="","NO EXPIRY SET",IF(TODAY()&gt;AC183,"EXPIRED",IF(AC183-TODAY()&lt;=30,"Expiring Soon","Active")))))</f>
        <v/>
      </c>
      <c r="AE183" s="36"/>
      <c r="AF183" s="36"/>
      <c r="AG183" s="37"/>
      <c r="AH183" s="36"/>
      <c r="AI183" s="37"/>
      <c r="AJ183" s="37"/>
      <c r="AK183" s="37"/>
      <c r="AL183" s="37"/>
      <c r="AM183" s="38"/>
      <c r="AN183" s="37"/>
      <c r="AO183" s="37"/>
      <c r="AP183" s="41" t="str">
        <f aca="false">IF(AM183="","",AM183+90)</f>
        <v/>
      </c>
      <c r="AQ183" s="39" t="str">
        <f aca="true">IF(C183="","",IF(AM183="","NOT REVIEWED",IF(TODAY()&gt;AP183,"OVERDUE",IF(AP183-TODAY()&lt;=14,"Due Soon","Current"))))</f>
        <v/>
      </c>
      <c r="AR183" s="36"/>
    </row>
    <row r="184" customFormat="false" ht="15" hidden="false" customHeight="false" outlineLevel="0" collapsed="false">
      <c r="A184" s="36"/>
      <c r="B184" s="36"/>
      <c r="C184" s="36"/>
      <c r="D184" s="36"/>
      <c r="E184" s="37"/>
      <c r="F184" s="37"/>
      <c r="G184" s="37"/>
      <c r="H184" s="38"/>
      <c r="I184" s="38"/>
      <c r="J184" s="38"/>
      <c r="K184" s="37"/>
      <c r="L184" s="36"/>
      <c r="M184" s="36"/>
      <c r="N184" s="37"/>
      <c r="O184" s="37"/>
      <c r="P184" s="36"/>
      <c r="Q184" s="39" t="str">
        <f aca="true">IF(J184="","",TODAY()-J184)</f>
        <v/>
      </c>
      <c r="R184" s="37"/>
      <c r="S184" s="40" t="str">
        <f aca="false">IFERROR(INDEX('Azure Resource Map'!$D$2:$D$2001,MATCH($C184,'Azure Resource Map'!$A$2:$A$2001,0)),"")</f>
        <v/>
      </c>
      <c r="T184" s="39" t="str">
        <f aca="false">IFERROR(INDEX('Azure Resource Map'!$E$2:$E$2001,MATCH($C184,'Azure Resource Map'!$A$2:$A$2001,0)),"")</f>
        <v/>
      </c>
      <c r="U184" s="39" t="str">
        <f aca="false">IFERROR(INDEX('Azure Resource Map'!$F$2:$F$2001,MATCH($C184,'Azure Resource Map'!$A$2:$A$2001,0)),"")</f>
        <v/>
      </c>
      <c r="V184" s="39" t="str">
        <f aca="false">IF($C184="","",IF(ISNUMBER(MATCH($C184,'CA Exclusion Map'!$A$2:$A$2001,0)),"Yes","No"))</f>
        <v/>
      </c>
      <c r="W184" s="39" t="str">
        <f aca="false">IFERROR(INDEX('CA Exclusion Map'!$D$2:$D$2001,MATCH($C184,'CA Exclusion Map'!$A$2:$A$2001,0)),"")</f>
        <v/>
      </c>
      <c r="X184" s="40" t="str">
        <f aca="false">IFERROR(INDEX('CA Exclusion Map'!$E$2:$E$2001,MATCH($C184,'CA Exclusion Map'!$A$2:$A$2001,0)),"")</f>
        <v/>
      </c>
      <c r="Y184" s="40" t="str">
        <f aca="false">IFERROR(INDEX('CA Exclusion Map'!$F$2:$F$2001,MATCH($C184,'CA Exclusion Map'!$A$2:$A$2001,0)),"")</f>
        <v/>
      </c>
      <c r="Z184" s="36"/>
      <c r="AA184" s="37"/>
      <c r="AB184" s="38"/>
      <c r="AC184" s="38"/>
      <c r="AD184" s="39" t="str">
        <f aca="true">IF(V184="","",IF(V184&lt;&gt;"Yes","N/A",IF(AC184="","NO EXPIRY SET",IF(TODAY()&gt;AC184,"EXPIRED",IF(AC184-TODAY()&lt;=30,"Expiring Soon","Active")))))</f>
        <v/>
      </c>
      <c r="AE184" s="36"/>
      <c r="AF184" s="36"/>
      <c r="AG184" s="37"/>
      <c r="AH184" s="36"/>
      <c r="AI184" s="37"/>
      <c r="AJ184" s="37"/>
      <c r="AK184" s="37"/>
      <c r="AL184" s="37"/>
      <c r="AM184" s="38"/>
      <c r="AN184" s="37"/>
      <c r="AO184" s="37"/>
      <c r="AP184" s="41" t="str">
        <f aca="false">IF(AM184="","",AM184+90)</f>
        <v/>
      </c>
      <c r="AQ184" s="39" t="str">
        <f aca="true">IF(C184="","",IF(AM184="","NOT REVIEWED",IF(TODAY()&gt;AP184,"OVERDUE",IF(AP184-TODAY()&lt;=14,"Due Soon","Current"))))</f>
        <v/>
      </c>
      <c r="AR184" s="36"/>
    </row>
    <row r="185" customFormat="false" ht="15" hidden="false" customHeight="false" outlineLevel="0" collapsed="false">
      <c r="A185" s="36"/>
      <c r="B185" s="36"/>
      <c r="C185" s="36"/>
      <c r="D185" s="36"/>
      <c r="E185" s="37"/>
      <c r="F185" s="37"/>
      <c r="G185" s="37"/>
      <c r="H185" s="38"/>
      <c r="I185" s="38"/>
      <c r="J185" s="38"/>
      <c r="K185" s="37"/>
      <c r="L185" s="36"/>
      <c r="M185" s="36"/>
      <c r="N185" s="37"/>
      <c r="O185" s="37"/>
      <c r="P185" s="36"/>
      <c r="Q185" s="39" t="str">
        <f aca="true">IF(J185="","",TODAY()-J185)</f>
        <v/>
      </c>
      <c r="R185" s="37"/>
      <c r="S185" s="40" t="str">
        <f aca="false">IFERROR(INDEX('Azure Resource Map'!$D$2:$D$2001,MATCH($C185,'Azure Resource Map'!$A$2:$A$2001,0)),"")</f>
        <v/>
      </c>
      <c r="T185" s="39" t="str">
        <f aca="false">IFERROR(INDEX('Azure Resource Map'!$E$2:$E$2001,MATCH($C185,'Azure Resource Map'!$A$2:$A$2001,0)),"")</f>
        <v/>
      </c>
      <c r="U185" s="39" t="str">
        <f aca="false">IFERROR(INDEX('Azure Resource Map'!$F$2:$F$2001,MATCH($C185,'Azure Resource Map'!$A$2:$A$2001,0)),"")</f>
        <v/>
      </c>
      <c r="V185" s="39" t="str">
        <f aca="false">IF($C185="","",IF(ISNUMBER(MATCH($C185,'CA Exclusion Map'!$A$2:$A$2001,0)),"Yes","No"))</f>
        <v/>
      </c>
      <c r="W185" s="39" t="str">
        <f aca="false">IFERROR(INDEX('CA Exclusion Map'!$D$2:$D$2001,MATCH($C185,'CA Exclusion Map'!$A$2:$A$2001,0)),"")</f>
        <v/>
      </c>
      <c r="X185" s="40" t="str">
        <f aca="false">IFERROR(INDEX('CA Exclusion Map'!$E$2:$E$2001,MATCH($C185,'CA Exclusion Map'!$A$2:$A$2001,0)),"")</f>
        <v/>
      </c>
      <c r="Y185" s="40" t="str">
        <f aca="false">IFERROR(INDEX('CA Exclusion Map'!$F$2:$F$2001,MATCH($C185,'CA Exclusion Map'!$A$2:$A$2001,0)),"")</f>
        <v/>
      </c>
      <c r="Z185" s="36"/>
      <c r="AA185" s="37"/>
      <c r="AB185" s="38"/>
      <c r="AC185" s="38"/>
      <c r="AD185" s="39" t="str">
        <f aca="true">IF(V185="","",IF(V185&lt;&gt;"Yes","N/A",IF(AC185="","NO EXPIRY SET",IF(TODAY()&gt;AC185,"EXPIRED",IF(AC185-TODAY()&lt;=30,"Expiring Soon","Active")))))</f>
        <v/>
      </c>
      <c r="AE185" s="36"/>
      <c r="AF185" s="36"/>
      <c r="AG185" s="37"/>
      <c r="AH185" s="36"/>
      <c r="AI185" s="37"/>
      <c r="AJ185" s="37"/>
      <c r="AK185" s="37"/>
      <c r="AL185" s="37"/>
      <c r="AM185" s="38"/>
      <c r="AN185" s="37"/>
      <c r="AO185" s="37"/>
      <c r="AP185" s="41" t="str">
        <f aca="false">IF(AM185="","",AM185+90)</f>
        <v/>
      </c>
      <c r="AQ185" s="39" t="str">
        <f aca="true">IF(C185="","",IF(AM185="","NOT REVIEWED",IF(TODAY()&gt;AP185,"OVERDUE",IF(AP185-TODAY()&lt;=14,"Due Soon","Current"))))</f>
        <v/>
      </c>
      <c r="AR185" s="36"/>
    </row>
    <row r="186" customFormat="false" ht="15" hidden="false" customHeight="false" outlineLevel="0" collapsed="false">
      <c r="A186" s="36"/>
      <c r="B186" s="36"/>
      <c r="C186" s="36"/>
      <c r="D186" s="36"/>
      <c r="E186" s="37"/>
      <c r="F186" s="37"/>
      <c r="G186" s="37"/>
      <c r="H186" s="38"/>
      <c r="I186" s="38"/>
      <c r="J186" s="38"/>
      <c r="K186" s="37"/>
      <c r="L186" s="36"/>
      <c r="M186" s="36"/>
      <c r="N186" s="37"/>
      <c r="O186" s="37"/>
      <c r="P186" s="36"/>
      <c r="Q186" s="39" t="str">
        <f aca="true">IF(J186="","",TODAY()-J186)</f>
        <v/>
      </c>
      <c r="R186" s="37"/>
      <c r="S186" s="40" t="str">
        <f aca="false">IFERROR(INDEX('Azure Resource Map'!$D$2:$D$2001,MATCH($C186,'Azure Resource Map'!$A$2:$A$2001,0)),"")</f>
        <v/>
      </c>
      <c r="T186" s="39" t="str">
        <f aca="false">IFERROR(INDEX('Azure Resource Map'!$E$2:$E$2001,MATCH($C186,'Azure Resource Map'!$A$2:$A$2001,0)),"")</f>
        <v/>
      </c>
      <c r="U186" s="39" t="str">
        <f aca="false">IFERROR(INDEX('Azure Resource Map'!$F$2:$F$2001,MATCH($C186,'Azure Resource Map'!$A$2:$A$2001,0)),"")</f>
        <v/>
      </c>
      <c r="V186" s="39" t="str">
        <f aca="false">IF($C186="","",IF(ISNUMBER(MATCH($C186,'CA Exclusion Map'!$A$2:$A$2001,0)),"Yes","No"))</f>
        <v/>
      </c>
      <c r="W186" s="39" t="str">
        <f aca="false">IFERROR(INDEX('CA Exclusion Map'!$D$2:$D$2001,MATCH($C186,'CA Exclusion Map'!$A$2:$A$2001,0)),"")</f>
        <v/>
      </c>
      <c r="X186" s="40" t="str">
        <f aca="false">IFERROR(INDEX('CA Exclusion Map'!$E$2:$E$2001,MATCH($C186,'CA Exclusion Map'!$A$2:$A$2001,0)),"")</f>
        <v/>
      </c>
      <c r="Y186" s="40" t="str">
        <f aca="false">IFERROR(INDEX('CA Exclusion Map'!$F$2:$F$2001,MATCH($C186,'CA Exclusion Map'!$A$2:$A$2001,0)),"")</f>
        <v/>
      </c>
      <c r="Z186" s="36"/>
      <c r="AA186" s="37"/>
      <c r="AB186" s="38"/>
      <c r="AC186" s="38"/>
      <c r="AD186" s="39" t="str">
        <f aca="true">IF(V186="","",IF(V186&lt;&gt;"Yes","N/A",IF(AC186="","NO EXPIRY SET",IF(TODAY()&gt;AC186,"EXPIRED",IF(AC186-TODAY()&lt;=30,"Expiring Soon","Active")))))</f>
        <v/>
      </c>
      <c r="AE186" s="36"/>
      <c r="AF186" s="36"/>
      <c r="AG186" s="37"/>
      <c r="AH186" s="36"/>
      <c r="AI186" s="37"/>
      <c r="AJ186" s="37"/>
      <c r="AK186" s="37"/>
      <c r="AL186" s="37"/>
      <c r="AM186" s="38"/>
      <c r="AN186" s="37"/>
      <c r="AO186" s="37"/>
      <c r="AP186" s="41" t="str">
        <f aca="false">IF(AM186="","",AM186+90)</f>
        <v/>
      </c>
      <c r="AQ186" s="39" t="str">
        <f aca="true">IF(C186="","",IF(AM186="","NOT REVIEWED",IF(TODAY()&gt;AP186,"OVERDUE",IF(AP186-TODAY()&lt;=14,"Due Soon","Current"))))</f>
        <v/>
      </c>
      <c r="AR186" s="36"/>
    </row>
    <row r="187" customFormat="false" ht="15" hidden="false" customHeight="false" outlineLevel="0" collapsed="false">
      <c r="A187" s="36"/>
      <c r="B187" s="36"/>
      <c r="C187" s="36"/>
      <c r="D187" s="36"/>
      <c r="E187" s="37"/>
      <c r="F187" s="37"/>
      <c r="G187" s="37"/>
      <c r="H187" s="38"/>
      <c r="I187" s="38"/>
      <c r="J187" s="38"/>
      <c r="K187" s="37"/>
      <c r="L187" s="36"/>
      <c r="M187" s="36"/>
      <c r="N187" s="37"/>
      <c r="O187" s="37"/>
      <c r="P187" s="36"/>
      <c r="Q187" s="39" t="str">
        <f aca="true">IF(J187="","",TODAY()-J187)</f>
        <v/>
      </c>
      <c r="R187" s="37"/>
      <c r="S187" s="40" t="str">
        <f aca="false">IFERROR(INDEX('Azure Resource Map'!$D$2:$D$2001,MATCH($C187,'Azure Resource Map'!$A$2:$A$2001,0)),"")</f>
        <v/>
      </c>
      <c r="T187" s="39" t="str">
        <f aca="false">IFERROR(INDEX('Azure Resource Map'!$E$2:$E$2001,MATCH($C187,'Azure Resource Map'!$A$2:$A$2001,0)),"")</f>
        <v/>
      </c>
      <c r="U187" s="39" t="str">
        <f aca="false">IFERROR(INDEX('Azure Resource Map'!$F$2:$F$2001,MATCH($C187,'Azure Resource Map'!$A$2:$A$2001,0)),"")</f>
        <v/>
      </c>
      <c r="V187" s="39" t="str">
        <f aca="false">IF($C187="","",IF(ISNUMBER(MATCH($C187,'CA Exclusion Map'!$A$2:$A$2001,0)),"Yes","No"))</f>
        <v/>
      </c>
      <c r="W187" s="39" t="str">
        <f aca="false">IFERROR(INDEX('CA Exclusion Map'!$D$2:$D$2001,MATCH($C187,'CA Exclusion Map'!$A$2:$A$2001,0)),"")</f>
        <v/>
      </c>
      <c r="X187" s="40" t="str">
        <f aca="false">IFERROR(INDEX('CA Exclusion Map'!$E$2:$E$2001,MATCH($C187,'CA Exclusion Map'!$A$2:$A$2001,0)),"")</f>
        <v/>
      </c>
      <c r="Y187" s="40" t="str">
        <f aca="false">IFERROR(INDEX('CA Exclusion Map'!$F$2:$F$2001,MATCH($C187,'CA Exclusion Map'!$A$2:$A$2001,0)),"")</f>
        <v/>
      </c>
      <c r="Z187" s="36"/>
      <c r="AA187" s="37"/>
      <c r="AB187" s="38"/>
      <c r="AC187" s="38"/>
      <c r="AD187" s="39" t="str">
        <f aca="true">IF(V187="","",IF(V187&lt;&gt;"Yes","N/A",IF(AC187="","NO EXPIRY SET",IF(TODAY()&gt;AC187,"EXPIRED",IF(AC187-TODAY()&lt;=30,"Expiring Soon","Active")))))</f>
        <v/>
      </c>
      <c r="AE187" s="36"/>
      <c r="AF187" s="36"/>
      <c r="AG187" s="37"/>
      <c r="AH187" s="36"/>
      <c r="AI187" s="37"/>
      <c r="AJ187" s="37"/>
      <c r="AK187" s="37"/>
      <c r="AL187" s="37"/>
      <c r="AM187" s="38"/>
      <c r="AN187" s="37"/>
      <c r="AO187" s="37"/>
      <c r="AP187" s="41" t="str">
        <f aca="false">IF(AM187="","",AM187+90)</f>
        <v/>
      </c>
      <c r="AQ187" s="39" t="str">
        <f aca="true">IF(C187="","",IF(AM187="","NOT REVIEWED",IF(TODAY()&gt;AP187,"OVERDUE",IF(AP187-TODAY()&lt;=14,"Due Soon","Current"))))</f>
        <v/>
      </c>
      <c r="AR187" s="36"/>
    </row>
    <row r="188" customFormat="false" ht="15" hidden="false" customHeight="false" outlineLevel="0" collapsed="false">
      <c r="A188" s="36"/>
      <c r="B188" s="36"/>
      <c r="C188" s="36"/>
      <c r="D188" s="36"/>
      <c r="E188" s="37"/>
      <c r="F188" s="37"/>
      <c r="G188" s="37"/>
      <c r="H188" s="38"/>
      <c r="I188" s="38"/>
      <c r="J188" s="38"/>
      <c r="K188" s="37"/>
      <c r="L188" s="36"/>
      <c r="M188" s="36"/>
      <c r="N188" s="37"/>
      <c r="O188" s="37"/>
      <c r="P188" s="36"/>
      <c r="Q188" s="39" t="str">
        <f aca="true">IF(J188="","",TODAY()-J188)</f>
        <v/>
      </c>
      <c r="R188" s="37"/>
      <c r="S188" s="40" t="str">
        <f aca="false">IFERROR(INDEX('Azure Resource Map'!$D$2:$D$2001,MATCH($C188,'Azure Resource Map'!$A$2:$A$2001,0)),"")</f>
        <v/>
      </c>
      <c r="T188" s="39" t="str">
        <f aca="false">IFERROR(INDEX('Azure Resource Map'!$E$2:$E$2001,MATCH($C188,'Azure Resource Map'!$A$2:$A$2001,0)),"")</f>
        <v/>
      </c>
      <c r="U188" s="39" t="str">
        <f aca="false">IFERROR(INDEX('Azure Resource Map'!$F$2:$F$2001,MATCH($C188,'Azure Resource Map'!$A$2:$A$2001,0)),"")</f>
        <v/>
      </c>
      <c r="V188" s="39" t="str">
        <f aca="false">IF($C188="","",IF(ISNUMBER(MATCH($C188,'CA Exclusion Map'!$A$2:$A$2001,0)),"Yes","No"))</f>
        <v/>
      </c>
      <c r="W188" s="39" t="str">
        <f aca="false">IFERROR(INDEX('CA Exclusion Map'!$D$2:$D$2001,MATCH($C188,'CA Exclusion Map'!$A$2:$A$2001,0)),"")</f>
        <v/>
      </c>
      <c r="X188" s="40" t="str">
        <f aca="false">IFERROR(INDEX('CA Exclusion Map'!$E$2:$E$2001,MATCH($C188,'CA Exclusion Map'!$A$2:$A$2001,0)),"")</f>
        <v/>
      </c>
      <c r="Y188" s="40" t="str">
        <f aca="false">IFERROR(INDEX('CA Exclusion Map'!$F$2:$F$2001,MATCH($C188,'CA Exclusion Map'!$A$2:$A$2001,0)),"")</f>
        <v/>
      </c>
      <c r="Z188" s="36"/>
      <c r="AA188" s="37"/>
      <c r="AB188" s="38"/>
      <c r="AC188" s="38"/>
      <c r="AD188" s="39" t="str">
        <f aca="true">IF(V188="","",IF(V188&lt;&gt;"Yes","N/A",IF(AC188="","NO EXPIRY SET",IF(TODAY()&gt;AC188,"EXPIRED",IF(AC188-TODAY()&lt;=30,"Expiring Soon","Active")))))</f>
        <v/>
      </c>
      <c r="AE188" s="36"/>
      <c r="AF188" s="36"/>
      <c r="AG188" s="37"/>
      <c r="AH188" s="36"/>
      <c r="AI188" s="37"/>
      <c r="AJ188" s="37"/>
      <c r="AK188" s="37"/>
      <c r="AL188" s="37"/>
      <c r="AM188" s="38"/>
      <c r="AN188" s="37"/>
      <c r="AO188" s="37"/>
      <c r="AP188" s="41" t="str">
        <f aca="false">IF(AM188="","",AM188+90)</f>
        <v/>
      </c>
      <c r="AQ188" s="39" t="str">
        <f aca="true">IF(C188="","",IF(AM188="","NOT REVIEWED",IF(TODAY()&gt;AP188,"OVERDUE",IF(AP188-TODAY()&lt;=14,"Due Soon","Current"))))</f>
        <v/>
      </c>
      <c r="AR188" s="36"/>
    </row>
    <row r="189" customFormat="false" ht="15" hidden="false" customHeight="false" outlineLevel="0" collapsed="false">
      <c r="A189" s="36"/>
      <c r="B189" s="36"/>
      <c r="C189" s="36"/>
      <c r="D189" s="36"/>
      <c r="E189" s="37"/>
      <c r="F189" s="37"/>
      <c r="G189" s="37"/>
      <c r="H189" s="38"/>
      <c r="I189" s="38"/>
      <c r="J189" s="38"/>
      <c r="K189" s="37"/>
      <c r="L189" s="36"/>
      <c r="M189" s="36"/>
      <c r="N189" s="37"/>
      <c r="O189" s="37"/>
      <c r="P189" s="36"/>
      <c r="Q189" s="39" t="str">
        <f aca="true">IF(J189="","",TODAY()-J189)</f>
        <v/>
      </c>
      <c r="R189" s="37"/>
      <c r="S189" s="40" t="str">
        <f aca="false">IFERROR(INDEX('Azure Resource Map'!$D$2:$D$2001,MATCH($C189,'Azure Resource Map'!$A$2:$A$2001,0)),"")</f>
        <v/>
      </c>
      <c r="T189" s="39" t="str">
        <f aca="false">IFERROR(INDEX('Azure Resource Map'!$E$2:$E$2001,MATCH($C189,'Azure Resource Map'!$A$2:$A$2001,0)),"")</f>
        <v/>
      </c>
      <c r="U189" s="39" t="str">
        <f aca="false">IFERROR(INDEX('Azure Resource Map'!$F$2:$F$2001,MATCH($C189,'Azure Resource Map'!$A$2:$A$2001,0)),"")</f>
        <v/>
      </c>
      <c r="V189" s="39" t="str">
        <f aca="false">IF($C189="","",IF(ISNUMBER(MATCH($C189,'CA Exclusion Map'!$A$2:$A$2001,0)),"Yes","No"))</f>
        <v/>
      </c>
      <c r="W189" s="39" t="str">
        <f aca="false">IFERROR(INDEX('CA Exclusion Map'!$D$2:$D$2001,MATCH($C189,'CA Exclusion Map'!$A$2:$A$2001,0)),"")</f>
        <v/>
      </c>
      <c r="X189" s="40" t="str">
        <f aca="false">IFERROR(INDEX('CA Exclusion Map'!$E$2:$E$2001,MATCH($C189,'CA Exclusion Map'!$A$2:$A$2001,0)),"")</f>
        <v/>
      </c>
      <c r="Y189" s="40" t="str">
        <f aca="false">IFERROR(INDEX('CA Exclusion Map'!$F$2:$F$2001,MATCH($C189,'CA Exclusion Map'!$A$2:$A$2001,0)),"")</f>
        <v/>
      </c>
      <c r="Z189" s="36"/>
      <c r="AA189" s="37"/>
      <c r="AB189" s="38"/>
      <c r="AC189" s="38"/>
      <c r="AD189" s="39" t="str">
        <f aca="true">IF(V189="","",IF(V189&lt;&gt;"Yes","N/A",IF(AC189="","NO EXPIRY SET",IF(TODAY()&gt;AC189,"EXPIRED",IF(AC189-TODAY()&lt;=30,"Expiring Soon","Active")))))</f>
        <v/>
      </c>
      <c r="AE189" s="36"/>
      <c r="AF189" s="36"/>
      <c r="AG189" s="37"/>
      <c r="AH189" s="36"/>
      <c r="AI189" s="37"/>
      <c r="AJ189" s="37"/>
      <c r="AK189" s="37"/>
      <c r="AL189" s="37"/>
      <c r="AM189" s="38"/>
      <c r="AN189" s="37"/>
      <c r="AO189" s="37"/>
      <c r="AP189" s="41" t="str">
        <f aca="false">IF(AM189="","",AM189+90)</f>
        <v/>
      </c>
      <c r="AQ189" s="39" t="str">
        <f aca="true">IF(C189="","",IF(AM189="","NOT REVIEWED",IF(TODAY()&gt;AP189,"OVERDUE",IF(AP189-TODAY()&lt;=14,"Due Soon","Current"))))</f>
        <v/>
      </c>
      <c r="AR189" s="36"/>
    </row>
    <row r="190" customFormat="false" ht="15" hidden="false" customHeight="false" outlineLevel="0" collapsed="false">
      <c r="A190" s="36"/>
      <c r="B190" s="36"/>
      <c r="C190" s="36"/>
      <c r="D190" s="36"/>
      <c r="E190" s="37"/>
      <c r="F190" s="37"/>
      <c r="G190" s="37"/>
      <c r="H190" s="38"/>
      <c r="I190" s="38"/>
      <c r="J190" s="38"/>
      <c r="K190" s="37"/>
      <c r="L190" s="36"/>
      <c r="M190" s="36"/>
      <c r="N190" s="37"/>
      <c r="O190" s="37"/>
      <c r="P190" s="36"/>
      <c r="Q190" s="39" t="str">
        <f aca="true">IF(J190="","",TODAY()-J190)</f>
        <v/>
      </c>
      <c r="R190" s="37"/>
      <c r="S190" s="40" t="str">
        <f aca="false">IFERROR(INDEX('Azure Resource Map'!$D$2:$D$2001,MATCH($C190,'Azure Resource Map'!$A$2:$A$2001,0)),"")</f>
        <v/>
      </c>
      <c r="T190" s="39" t="str">
        <f aca="false">IFERROR(INDEX('Azure Resource Map'!$E$2:$E$2001,MATCH($C190,'Azure Resource Map'!$A$2:$A$2001,0)),"")</f>
        <v/>
      </c>
      <c r="U190" s="39" t="str">
        <f aca="false">IFERROR(INDEX('Azure Resource Map'!$F$2:$F$2001,MATCH($C190,'Azure Resource Map'!$A$2:$A$2001,0)),"")</f>
        <v/>
      </c>
      <c r="V190" s="39" t="str">
        <f aca="false">IF($C190="","",IF(ISNUMBER(MATCH($C190,'CA Exclusion Map'!$A$2:$A$2001,0)),"Yes","No"))</f>
        <v/>
      </c>
      <c r="W190" s="39" t="str">
        <f aca="false">IFERROR(INDEX('CA Exclusion Map'!$D$2:$D$2001,MATCH($C190,'CA Exclusion Map'!$A$2:$A$2001,0)),"")</f>
        <v/>
      </c>
      <c r="X190" s="40" t="str">
        <f aca="false">IFERROR(INDEX('CA Exclusion Map'!$E$2:$E$2001,MATCH($C190,'CA Exclusion Map'!$A$2:$A$2001,0)),"")</f>
        <v/>
      </c>
      <c r="Y190" s="40" t="str">
        <f aca="false">IFERROR(INDEX('CA Exclusion Map'!$F$2:$F$2001,MATCH($C190,'CA Exclusion Map'!$A$2:$A$2001,0)),"")</f>
        <v/>
      </c>
      <c r="Z190" s="36"/>
      <c r="AA190" s="37"/>
      <c r="AB190" s="38"/>
      <c r="AC190" s="38"/>
      <c r="AD190" s="39" t="str">
        <f aca="true">IF(V190="","",IF(V190&lt;&gt;"Yes","N/A",IF(AC190="","NO EXPIRY SET",IF(TODAY()&gt;AC190,"EXPIRED",IF(AC190-TODAY()&lt;=30,"Expiring Soon","Active")))))</f>
        <v/>
      </c>
      <c r="AE190" s="36"/>
      <c r="AF190" s="36"/>
      <c r="AG190" s="37"/>
      <c r="AH190" s="36"/>
      <c r="AI190" s="37"/>
      <c r="AJ190" s="37"/>
      <c r="AK190" s="37"/>
      <c r="AL190" s="37"/>
      <c r="AM190" s="38"/>
      <c r="AN190" s="37"/>
      <c r="AO190" s="37"/>
      <c r="AP190" s="41" t="str">
        <f aca="false">IF(AM190="","",AM190+90)</f>
        <v/>
      </c>
      <c r="AQ190" s="39" t="str">
        <f aca="true">IF(C190="","",IF(AM190="","NOT REVIEWED",IF(TODAY()&gt;AP190,"OVERDUE",IF(AP190-TODAY()&lt;=14,"Due Soon","Current"))))</f>
        <v/>
      </c>
      <c r="AR190" s="36"/>
    </row>
    <row r="191" customFormat="false" ht="15" hidden="false" customHeight="false" outlineLevel="0" collapsed="false">
      <c r="A191" s="36"/>
      <c r="B191" s="36"/>
      <c r="C191" s="36"/>
      <c r="D191" s="36"/>
      <c r="E191" s="37"/>
      <c r="F191" s="37"/>
      <c r="G191" s="37"/>
      <c r="H191" s="38"/>
      <c r="I191" s="38"/>
      <c r="J191" s="38"/>
      <c r="K191" s="37"/>
      <c r="L191" s="36"/>
      <c r="M191" s="36"/>
      <c r="N191" s="37"/>
      <c r="O191" s="37"/>
      <c r="P191" s="36"/>
      <c r="Q191" s="39" t="str">
        <f aca="true">IF(J191="","",TODAY()-J191)</f>
        <v/>
      </c>
      <c r="R191" s="37"/>
      <c r="S191" s="40" t="str">
        <f aca="false">IFERROR(INDEX('Azure Resource Map'!$D$2:$D$2001,MATCH($C191,'Azure Resource Map'!$A$2:$A$2001,0)),"")</f>
        <v/>
      </c>
      <c r="T191" s="39" t="str">
        <f aca="false">IFERROR(INDEX('Azure Resource Map'!$E$2:$E$2001,MATCH($C191,'Azure Resource Map'!$A$2:$A$2001,0)),"")</f>
        <v/>
      </c>
      <c r="U191" s="39" t="str">
        <f aca="false">IFERROR(INDEX('Azure Resource Map'!$F$2:$F$2001,MATCH($C191,'Azure Resource Map'!$A$2:$A$2001,0)),"")</f>
        <v/>
      </c>
      <c r="V191" s="39" t="str">
        <f aca="false">IF($C191="","",IF(ISNUMBER(MATCH($C191,'CA Exclusion Map'!$A$2:$A$2001,0)),"Yes","No"))</f>
        <v/>
      </c>
      <c r="W191" s="39" t="str">
        <f aca="false">IFERROR(INDEX('CA Exclusion Map'!$D$2:$D$2001,MATCH($C191,'CA Exclusion Map'!$A$2:$A$2001,0)),"")</f>
        <v/>
      </c>
      <c r="X191" s="40" t="str">
        <f aca="false">IFERROR(INDEX('CA Exclusion Map'!$E$2:$E$2001,MATCH($C191,'CA Exclusion Map'!$A$2:$A$2001,0)),"")</f>
        <v/>
      </c>
      <c r="Y191" s="40" t="str">
        <f aca="false">IFERROR(INDEX('CA Exclusion Map'!$F$2:$F$2001,MATCH($C191,'CA Exclusion Map'!$A$2:$A$2001,0)),"")</f>
        <v/>
      </c>
      <c r="Z191" s="36"/>
      <c r="AA191" s="37"/>
      <c r="AB191" s="38"/>
      <c r="AC191" s="38"/>
      <c r="AD191" s="39" t="str">
        <f aca="true">IF(V191="","",IF(V191&lt;&gt;"Yes","N/A",IF(AC191="","NO EXPIRY SET",IF(TODAY()&gt;AC191,"EXPIRED",IF(AC191-TODAY()&lt;=30,"Expiring Soon","Active")))))</f>
        <v/>
      </c>
      <c r="AE191" s="36"/>
      <c r="AF191" s="36"/>
      <c r="AG191" s="37"/>
      <c r="AH191" s="36"/>
      <c r="AI191" s="37"/>
      <c r="AJ191" s="37"/>
      <c r="AK191" s="37"/>
      <c r="AL191" s="37"/>
      <c r="AM191" s="38"/>
      <c r="AN191" s="37"/>
      <c r="AO191" s="37"/>
      <c r="AP191" s="41" t="str">
        <f aca="false">IF(AM191="","",AM191+90)</f>
        <v/>
      </c>
      <c r="AQ191" s="39" t="str">
        <f aca="true">IF(C191="","",IF(AM191="","NOT REVIEWED",IF(TODAY()&gt;AP191,"OVERDUE",IF(AP191-TODAY()&lt;=14,"Due Soon","Current"))))</f>
        <v/>
      </c>
      <c r="AR191" s="36"/>
    </row>
    <row r="192" customFormat="false" ht="15" hidden="false" customHeight="false" outlineLevel="0" collapsed="false">
      <c r="A192" s="36"/>
      <c r="B192" s="36"/>
      <c r="C192" s="36"/>
      <c r="D192" s="36"/>
      <c r="E192" s="37"/>
      <c r="F192" s="37"/>
      <c r="G192" s="37"/>
      <c r="H192" s="38"/>
      <c r="I192" s="38"/>
      <c r="J192" s="38"/>
      <c r="K192" s="37"/>
      <c r="L192" s="36"/>
      <c r="M192" s="36"/>
      <c r="N192" s="37"/>
      <c r="O192" s="37"/>
      <c r="P192" s="36"/>
      <c r="Q192" s="39" t="str">
        <f aca="true">IF(J192="","",TODAY()-J192)</f>
        <v/>
      </c>
      <c r="R192" s="37"/>
      <c r="S192" s="40" t="str">
        <f aca="false">IFERROR(INDEX('Azure Resource Map'!$D$2:$D$2001,MATCH($C192,'Azure Resource Map'!$A$2:$A$2001,0)),"")</f>
        <v/>
      </c>
      <c r="T192" s="39" t="str">
        <f aca="false">IFERROR(INDEX('Azure Resource Map'!$E$2:$E$2001,MATCH($C192,'Azure Resource Map'!$A$2:$A$2001,0)),"")</f>
        <v/>
      </c>
      <c r="U192" s="39" t="str">
        <f aca="false">IFERROR(INDEX('Azure Resource Map'!$F$2:$F$2001,MATCH($C192,'Azure Resource Map'!$A$2:$A$2001,0)),"")</f>
        <v/>
      </c>
      <c r="V192" s="39" t="str">
        <f aca="false">IF($C192="","",IF(ISNUMBER(MATCH($C192,'CA Exclusion Map'!$A$2:$A$2001,0)),"Yes","No"))</f>
        <v/>
      </c>
      <c r="W192" s="39" t="str">
        <f aca="false">IFERROR(INDEX('CA Exclusion Map'!$D$2:$D$2001,MATCH($C192,'CA Exclusion Map'!$A$2:$A$2001,0)),"")</f>
        <v/>
      </c>
      <c r="X192" s="40" t="str">
        <f aca="false">IFERROR(INDEX('CA Exclusion Map'!$E$2:$E$2001,MATCH($C192,'CA Exclusion Map'!$A$2:$A$2001,0)),"")</f>
        <v/>
      </c>
      <c r="Y192" s="40" t="str">
        <f aca="false">IFERROR(INDEX('CA Exclusion Map'!$F$2:$F$2001,MATCH($C192,'CA Exclusion Map'!$A$2:$A$2001,0)),"")</f>
        <v/>
      </c>
      <c r="Z192" s="36"/>
      <c r="AA192" s="37"/>
      <c r="AB192" s="38"/>
      <c r="AC192" s="38"/>
      <c r="AD192" s="39" t="str">
        <f aca="true">IF(V192="","",IF(V192&lt;&gt;"Yes","N/A",IF(AC192="","NO EXPIRY SET",IF(TODAY()&gt;AC192,"EXPIRED",IF(AC192-TODAY()&lt;=30,"Expiring Soon","Active")))))</f>
        <v/>
      </c>
      <c r="AE192" s="36"/>
      <c r="AF192" s="36"/>
      <c r="AG192" s="37"/>
      <c r="AH192" s="36"/>
      <c r="AI192" s="37"/>
      <c r="AJ192" s="37"/>
      <c r="AK192" s="37"/>
      <c r="AL192" s="37"/>
      <c r="AM192" s="38"/>
      <c r="AN192" s="37"/>
      <c r="AO192" s="37"/>
      <c r="AP192" s="41" t="str">
        <f aca="false">IF(AM192="","",AM192+90)</f>
        <v/>
      </c>
      <c r="AQ192" s="39" t="str">
        <f aca="true">IF(C192="","",IF(AM192="","NOT REVIEWED",IF(TODAY()&gt;AP192,"OVERDUE",IF(AP192-TODAY()&lt;=14,"Due Soon","Current"))))</f>
        <v/>
      </c>
      <c r="AR192" s="36"/>
    </row>
    <row r="193" customFormat="false" ht="15" hidden="false" customHeight="false" outlineLevel="0" collapsed="false">
      <c r="A193" s="36"/>
      <c r="B193" s="36"/>
      <c r="C193" s="36"/>
      <c r="D193" s="36"/>
      <c r="E193" s="37"/>
      <c r="F193" s="37"/>
      <c r="G193" s="37"/>
      <c r="H193" s="38"/>
      <c r="I193" s="38"/>
      <c r="J193" s="38"/>
      <c r="K193" s="37"/>
      <c r="L193" s="36"/>
      <c r="M193" s="36"/>
      <c r="N193" s="37"/>
      <c r="O193" s="37"/>
      <c r="P193" s="36"/>
      <c r="Q193" s="39" t="str">
        <f aca="true">IF(J193="","",TODAY()-J193)</f>
        <v/>
      </c>
      <c r="R193" s="37"/>
      <c r="S193" s="40" t="str">
        <f aca="false">IFERROR(INDEX('Azure Resource Map'!$D$2:$D$2001,MATCH($C193,'Azure Resource Map'!$A$2:$A$2001,0)),"")</f>
        <v/>
      </c>
      <c r="T193" s="39" t="str">
        <f aca="false">IFERROR(INDEX('Azure Resource Map'!$E$2:$E$2001,MATCH($C193,'Azure Resource Map'!$A$2:$A$2001,0)),"")</f>
        <v/>
      </c>
      <c r="U193" s="39" t="str">
        <f aca="false">IFERROR(INDEX('Azure Resource Map'!$F$2:$F$2001,MATCH($C193,'Azure Resource Map'!$A$2:$A$2001,0)),"")</f>
        <v/>
      </c>
      <c r="V193" s="39" t="str">
        <f aca="false">IF($C193="","",IF(ISNUMBER(MATCH($C193,'CA Exclusion Map'!$A$2:$A$2001,0)),"Yes","No"))</f>
        <v/>
      </c>
      <c r="W193" s="39" t="str">
        <f aca="false">IFERROR(INDEX('CA Exclusion Map'!$D$2:$D$2001,MATCH($C193,'CA Exclusion Map'!$A$2:$A$2001,0)),"")</f>
        <v/>
      </c>
      <c r="X193" s="40" t="str">
        <f aca="false">IFERROR(INDEX('CA Exclusion Map'!$E$2:$E$2001,MATCH($C193,'CA Exclusion Map'!$A$2:$A$2001,0)),"")</f>
        <v/>
      </c>
      <c r="Y193" s="40" t="str">
        <f aca="false">IFERROR(INDEX('CA Exclusion Map'!$F$2:$F$2001,MATCH($C193,'CA Exclusion Map'!$A$2:$A$2001,0)),"")</f>
        <v/>
      </c>
      <c r="Z193" s="36"/>
      <c r="AA193" s="37"/>
      <c r="AB193" s="38"/>
      <c r="AC193" s="38"/>
      <c r="AD193" s="39" t="str">
        <f aca="true">IF(V193="","",IF(V193&lt;&gt;"Yes","N/A",IF(AC193="","NO EXPIRY SET",IF(TODAY()&gt;AC193,"EXPIRED",IF(AC193-TODAY()&lt;=30,"Expiring Soon","Active")))))</f>
        <v/>
      </c>
      <c r="AE193" s="36"/>
      <c r="AF193" s="36"/>
      <c r="AG193" s="37"/>
      <c r="AH193" s="36"/>
      <c r="AI193" s="37"/>
      <c r="AJ193" s="37"/>
      <c r="AK193" s="37"/>
      <c r="AL193" s="37"/>
      <c r="AM193" s="38"/>
      <c r="AN193" s="37"/>
      <c r="AO193" s="37"/>
      <c r="AP193" s="41" t="str">
        <f aca="false">IF(AM193="","",AM193+90)</f>
        <v/>
      </c>
      <c r="AQ193" s="39" t="str">
        <f aca="true">IF(C193="","",IF(AM193="","NOT REVIEWED",IF(TODAY()&gt;AP193,"OVERDUE",IF(AP193-TODAY()&lt;=14,"Due Soon","Current"))))</f>
        <v/>
      </c>
      <c r="AR193" s="36"/>
    </row>
    <row r="194" customFormat="false" ht="15" hidden="false" customHeight="false" outlineLevel="0" collapsed="false">
      <c r="A194" s="36"/>
      <c r="B194" s="36"/>
      <c r="C194" s="36"/>
      <c r="D194" s="36"/>
      <c r="E194" s="37"/>
      <c r="F194" s="37"/>
      <c r="G194" s="37"/>
      <c r="H194" s="38"/>
      <c r="I194" s="38"/>
      <c r="J194" s="38"/>
      <c r="K194" s="37"/>
      <c r="L194" s="36"/>
      <c r="M194" s="36"/>
      <c r="N194" s="37"/>
      <c r="O194" s="37"/>
      <c r="P194" s="36"/>
      <c r="Q194" s="39" t="str">
        <f aca="true">IF(J194="","",TODAY()-J194)</f>
        <v/>
      </c>
      <c r="R194" s="37"/>
      <c r="S194" s="40" t="str">
        <f aca="false">IFERROR(INDEX('Azure Resource Map'!$D$2:$D$2001,MATCH($C194,'Azure Resource Map'!$A$2:$A$2001,0)),"")</f>
        <v/>
      </c>
      <c r="T194" s="39" t="str">
        <f aca="false">IFERROR(INDEX('Azure Resource Map'!$E$2:$E$2001,MATCH($C194,'Azure Resource Map'!$A$2:$A$2001,0)),"")</f>
        <v/>
      </c>
      <c r="U194" s="39" t="str">
        <f aca="false">IFERROR(INDEX('Azure Resource Map'!$F$2:$F$2001,MATCH($C194,'Azure Resource Map'!$A$2:$A$2001,0)),"")</f>
        <v/>
      </c>
      <c r="V194" s="39" t="str">
        <f aca="false">IF($C194="","",IF(ISNUMBER(MATCH($C194,'CA Exclusion Map'!$A$2:$A$2001,0)),"Yes","No"))</f>
        <v/>
      </c>
      <c r="W194" s="39" t="str">
        <f aca="false">IFERROR(INDEX('CA Exclusion Map'!$D$2:$D$2001,MATCH($C194,'CA Exclusion Map'!$A$2:$A$2001,0)),"")</f>
        <v/>
      </c>
      <c r="X194" s="40" t="str">
        <f aca="false">IFERROR(INDEX('CA Exclusion Map'!$E$2:$E$2001,MATCH($C194,'CA Exclusion Map'!$A$2:$A$2001,0)),"")</f>
        <v/>
      </c>
      <c r="Y194" s="40" t="str">
        <f aca="false">IFERROR(INDEX('CA Exclusion Map'!$F$2:$F$2001,MATCH($C194,'CA Exclusion Map'!$A$2:$A$2001,0)),"")</f>
        <v/>
      </c>
      <c r="Z194" s="36"/>
      <c r="AA194" s="37"/>
      <c r="AB194" s="38"/>
      <c r="AC194" s="38"/>
      <c r="AD194" s="39" t="str">
        <f aca="true">IF(V194="","",IF(V194&lt;&gt;"Yes","N/A",IF(AC194="","NO EXPIRY SET",IF(TODAY()&gt;AC194,"EXPIRED",IF(AC194-TODAY()&lt;=30,"Expiring Soon","Active")))))</f>
        <v/>
      </c>
      <c r="AE194" s="36"/>
      <c r="AF194" s="36"/>
      <c r="AG194" s="37"/>
      <c r="AH194" s="36"/>
      <c r="AI194" s="37"/>
      <c r="AJ194" s="37"/>
      <c r="AK194" s="37"/>
      <c r="AL194" s="37"/>
      <c r="AM194" s="38"/>
      <c r="AN194" s="37"/>
      <c r="AO194" s="37"/>
      <c r="AP194" s="41" t="str">
        <f aca="false">IF(AM194="","",AM194+90)</f>
        <v/>
      </c>
      <c r="AQ194" s="39" t="str">
        <f aca="true">IF(C194="","",IF(AM194="","NOT REVIEWED",IF(TODAY()&gt;AP194,"OVERDUE",IF(AP194-TODAY()&lt;=14,"Due Soon","Current"))))</f>
        <v/>
      </c>
      <c r="AR194" s="36"/>
    </row>
    <row r="195" customFormat="false" ht="15" hidden="false" customHeight="false" outlineLevel="0" collapsed="false">
      <c r="A195" s="36"/>
      <c r="B195" s="36"/>
      <c r="C195" s="36"/>
      <c r="D195" s="36"/>
      <c r="E195" s="37"/>
      <c r="F195" s="37"/>
      <c r="G195" s="37"/>
      <c r="H195" s="38"/>
      <c r="I195" s="38"/>
      <c r="J195" s="38"/>
      <c r="K195" s="37"/>
      <c r="L195" s="36"/>
      <c r="M195" s="36"/>
      <c r="N195" s="37"/>
      <c r="O195" s="37"/>
      <c r="P195" s="36"/>
      <c r="Q195" s="39" t="str">
        <f aca="true">IF(J195="","",TODAY()-J195)</f>
        <v/>
      </c>
      <c r="R195" s="37"/>
      <c r="S195" s="40" t="str">
        <f aca="false">IFERROR(INDEX('Azure Resource Map'!$D$2:$D$2001,MATCH($C195,'Azure Resource Map'!$A$2:$A$2001,0)),"")</f>
        <v/>
      </c>
      <c r="T195" s="39" t="str">
        <f aca="false">IFERROR(INDEX('Azure Resource Map'!$E$2:$E$2001,MATCH($C195,'Azure Resource Map'!$A$2:$A$2001,0)),"")</f>
        <v/>
      </c>
      <c r="U195" s="39" t="str">
        <f aca="false">IFERROR(INDEX('Azure Resource Map'!$F$2:$F$2001,MATCH($C195,'Azure Resource Map'!$A$2:$A$2001,0)),"")</f>
        <v/>
      </c>
      <c r="V195" s="39" t="str">
        <f aca="false">IF($C195="","",IF(ISNUMBER(MATCH($C195,'CA Exclusion Map'!$A$2:$A$2001,0)),"Yes","No"))</f>
        <v/>
      </c>
      <c r="W195" s="39" t="str">
        <f aca="false">IFERROR(INDEX('CA Exclusion Map'!$D$2:$D$2001,MATCH($C195,'CA Exclusion Map'!$A$2:$A$2001,0)),"")</f>
        <v/>
      </c>
      <c r="X195" s="40" t="str">
        <f aca="false">IFERROR(INDEX('CA Exclusion Map'!$E$2:$E$2001,MATCH($C195,'CA Exclusion Map'!$A$2:$A$2001,0)),"")</f>
        <v/>
      </c>
      <c r="Y195" s="40" t="str">
        <f aca="false">IFERROR(INDEX('CA Exclusion Map'!$F$2:$F$2001,MATCH($C195,'CA Exclusion Map'!$A$2:$A$2001,0)),"")</f>
        <v/>
      </c>
      <c r="Z195" s="36"/>
      <c r="AA195" s="37"/>
      <c r="AB195" s="38"/>
      <c r="AC195" s="38"/>
      <c r="AD195" s="39" t="str">
        <f aca="true">IF(V195="","",IF(V195&lt;&gt;"Yes","N/A",IF(AC195="","NO EXPIRY SET",IF(TODAY()&gt;AC195,"EXPIRED",IF(AC195-TODAY()&lt;=30,"Expiring Soon","Active")))))</f>
        <v/>
      </c>
      <c r="AE195" s="36"/>
      <c r="AF195" s="36"/>
      <c r="AG195" s="37"/>
      <c r="AH195" s="36"/>
      <c r="AI195" s="37"/>
      <c r="AJ195" s="37"/>
      <c r="AK195" s="37"/>
      <c r="AL195" s="37"/>
      <c r="AM195" s="38"/>
      <c r="AN195" s="37"/>
      <c r="AO195" s="37"/>
      <c r="AP195" s="41" t="str">
        <f aca="false">IF(AM195="","",AM195+90)</f>
        <v/>
      </c>
      <c r="AQ195" s="39" t="str">
        <f aca="true">IF(C195="","",IF(AM195="","NOT REVIEWED",IF(TODAY()&gt;AP195,"OVERDUE",IF(AP195-TODAY()&lt;=14,"Due Soon","Current"))))</f>
        <v/>
      </c>
      <c r="AR195" s="36"/>
    </row>
    <row r="196" customFormat="false" ht="15" hidden="false" customHeight="false" outlineLevel="0" collapsed="false">
      <c r="A196" s="36"/>
      <c r="B196" s="36"/>
      <c r="C196" s="36"/>
      <c r="D196" s="36"/>
      <c r="E196" s="37"/>
      <c r="F196" s="37"/>
      <c r="G196" s="37"/>
      <c r="H196" s="38"/>
      <c r="I196" s="38"/>
      <c r="J196" s="38"/>
      <c r="K196" s="37"/>
      <c r="L196" s="36"/>
      <c r="M196" s="36"/>
      <c r="N196" s="37"/>
      <c r="O196" s="37"/>
      <c r="P196" s="36"/>
      <c r="Q196" s="39" t="str">
        <f aca="true">IF(J196="","",TODAY()-J196)</f>
        <v/>
      </c>
      <c r="R196" s="37"/>
      <c r="S196" s="40" t="str">
        <f aca="false">IFERROR(INDEX('Azure Resource Map'!$D$2:$D$2001,MATCH($C196,'Azure Resource Map'!$A$2:$A$2001,0)),"")</f>
        <v/>
      </c>
      <c r="T196" s="39" t="str">
        <f aca="false">IFERROR(INDEX('Azure Resource Map'!$E$2:$E$2001,MATCH($C196,'Azure Resource Map'!$A$2:$A$2001,0)),"")</f>
        <v/>
      </c>
      <c r="U196" s="39" t="str">
        <f aca="false">IFERROR(INDEX('Azure Resource Map'!$F$2:$F$2001,MATCH($C196,'Azure Resource Map'!$A$2:$A$2001,0)),"")</f>
        <v/>
      </c>
      <c r="V196" s="39" t="str">
        <f aca="false">IF($C196="","",IF(ISNUMBER(MATCH($C196,'CA Exclusion Map'!$A$2:$A$2001,0)),"Yes","No"))</f>
        <v/>
      </c>
      <c r="W196" s="39" t="str">
        <f aca="false">IFERROR(INDEX('CA Exclusion Map'!$D$2:$D$2001,MATCH($C196,'CA Exclusion Map'!$A$2:$A$2001,0)),"")</f>
        <v/>
      </c>
      <c r="X196" s="40" t="str">
        <f aca="false">IFERROR(INDEX('CA Exclusion Map'!$E$2:$E$2001,MATCH($C196,'CA Exclusion Map'!$A$2:$A$2001,0)),"")</f>
        <v/>
      </c>
      <c r="Y196" s="40" t="str">
        <f aca="false">IFERROR(INDEX('CA Exclusion Map'!$F$2:$F$2001,MATCH($C196,'CA Exclusion Map'!$A$2:$A$2001,0)),"")</f>
        <v/>
      </c>
      <c r="Z196" s="36"/>
      <c r="AA196" s="37"/>
      <c r="AB196" s="38"/>
      <c r="AC196" s="38"/>
      <c r="AD196" s="39" t="str">
        <f aca="true">IF(V196="","",IF(V196&lt;&gt;"Yes","N/A",IF(AC196="","NO EXPIRY SET",IF(TODAY()&gt;AC196,"EXPIRED",IF(AC196-TODAY()&lt;=30,"Expiring Soon","Active")))))</f>
        <v/>
      </c>
      <c r="AE196" s="36"/>
      <c r="AF196" s="36"/>
      <c r="AG196" s="37"/>
      <c r="AH196" s="36"/>
      <c r="AI196" s="37"/>
      <c r="AJ196" s="37"/>
      <c r="AK196" s="37"/>
      <c r="AL196" s="37"/>
      <c r="AM196" s="38"/>
      <c r="AN196" s="37"/>
      <c r="AO196" s="37"/>
      <c r="AP196" s="41" t="str">
        <f aca="false">IF(AM196="","",AM196+90)</f>
        <v/>
      </c>
      <c r="AQ196" s="39" t="str">
        <f aca="true">IF(C196="","",IF(AM196="","NOT REVIEWED",IF(TODAY()&gt;AP196,"OVERDUE",IF(AP196-TODAY()&lt;=14,"Due Soon","Current"))))</f>
        <v/>
      </c>
      <c r="AR196" s="36"/>
    </row>
    <row r="197" customFormat="false" ht="15" hidden="false" customHeight="false" outlineLevel="0" collapsed="false">
      <c r="A197" s="36"/>
      <c r="B197" s="36"/>
      <c r="C197" s="36"/>
      <c r="D197" s="36"/>
      <c r="E197" s="37"/>
      <c r="F197" s="37"/>
      <c r="G197" s="37"/>
      <c r="H197" s="38"/>
      <c r="I197" s="38"/>
      <c r="J197" s="38"/>
      <c r="K197" s="37"/>
      <c r="L197" s="36"/>
      <c r="M197" s="36"/>
      <c r="N197" s="37"/>
      <c r="O197" s="37"/>
      <c r="P197" s="36"/>
      <c r="Q197" s="39" t="str">
        <f aca="true">IF(J197="","",TODAY()-J197)</f>
        <v/>
      </c>
      <c r="R197" s="37"/>
      <c r="S197" s="40" t="str">
        <f aca="false">IFERROR(INDEX('Azure Resource Map'!$D$2:$D$2001,MATCH($C197,'Azure Resource Map'!$A$2:$A$2001,0)),"")</f>
        <v/>
      </c>
      <c r="T197" s="39" t="str">
        <f aca="false">IFERROR(INDEX('Azure Resource Map'!$E$2:$E$2001,MATCH($C197,'Azure Resource Map'!$A$2:$A$2001,0)),"")</f>
        <v/>
      </c>
      <c r="U197" s="39" t="str">
        <f aca="false">IFERROR(INDEX('Azure Resource Map'!$F$2:$F$2001,MATCH($C197,'Azure Resource Map'!$A$2:$A$2001,0)),"")</f>
        <v/>
      </c>
      <c r="V197" s="39" t="str">
        <f aca="false">IF($C197="","",IF(ISNUMBER(MATCH($C197,'CA Exclusion Map'!$A$2:$A$2001,0)),"Yes","No"))</f>
        <v/>
      </c>
      <c r="W197" s="39" t="str">
        <f aca="false">IFERROR(INDEX('CA Exclusion Map'!$D$2:$D$2001,MATCH($C197,'CA Exclusion Map'!$A$2:$A$2001,0)),"")</f>
        <v/>
      </c>
      <c r="X197" s="40" t="str">
        <f aca="false">IFERROR(INDEX('CA Exclusion Map'!$E$2:$E$2001,MATCH($C197,'CA Exclusion Map'!$A$2:$A$2001,0)),"")</f>
        <v/>
      </c>
      <c r="Y197" s="40" t="str">
        <f aca="false">IFERROR(INDEX('CA Exclusion Map'!$F$2:$F$2001,MATCH($C197,'CA Exclusion Map'!$A$2:$A$2001,0)),"")</f>
        <v/>
      </c>
      <c r="Z197" s="36"/>
      <c r="AA197" s="37"/>
      <c r="AB197" s="38"/>
      <c r="AC197" s="38"/>
      <c r="AD197" s="39" t="str">
        <f aca="true">IF(V197="","",IF(V197&lt;&gt;"Yes","N/A",IF(AC197="","NO EXPIRY SET",IF(TODAY()&gt;AC197,"EXPIRED",IF(AC197-TODAY()&lt;=30,"Expiring Soon","Active")))))</f>
        <v/>
      </c>
      <c r="AE197" s="36"/>
      <c r="AF197" s="36"/>
      <c r="AG197" s="37"/>
      <c r="AH197" s="36"/>
      <c r="AI197" s="37"/>
      <c r="AJ197" s="37"/>
      <c r="AK197" s="37"/>
      <c r="AL197" s="37"/>
      <c r="AM197" s="38"/>
      <c r="AN197" s="37"/>
      <c r="AO197" s="37"/>
      <c r="AP197" s="41" t="str">
        <f aca="false">IF(AM197="","",AM197+90)</f>
        <v/>
      </c>
      <c r="AQ197" s="39" t="str">
        <f aca="true">IF(C197="","",IF(AM197="","NOT REVIEWED",IF(TODAY()&gt;AP197,"OVERDUE",IF(AP197-TODAY()&lt;=14,"Due Soon","Current"))))</f>
        <v/>
      </c>
      <c r="AR197" s="36"/>
    </row>
    <row r="198" customFormat="false" ht="15" hidden="false" customHeight="false" outlineLevel="0" collapsed="false">
      <c r="A198" s="36"/>
      <c r="B198" s="36"/>
      <c r="C198" s="36"/>
      <c r="D198" s="36"/>
      <c r="E198" s="37"/>
      <c r="F198" s="37"/>
      <c r="G198" s="37"/>
      <c r="H198" s="38"/>
      <c r="I198" s="38"/>
      <c r="J198" s="38"/>
      <c r="K198" s="37"/>
      <c r="L198" s="36"/>
      <c r="M198" s="36"/>
      <c r="N198" s="37"/>
      <c r="O198" s="37"/>
      <c r="P198" s="36"/>
      <c r="Q198" s="39" t="str">
        <f aca="true">IF(J198="","",TODAY()-J198)</f>
        <v/>
      </c>
      <c r="R198" s="37"/>
      <c r="S198" s="40" t="str">
        <f aca="false">IFERROR(INDEX('Azure Resource Map'!$D$2:$D$2001,MATCH($C198,'Azure Resource Map'!$A$2:$A$2001,0)),"")</f>
        <v/>
      </c>
      <c r="T198" s="39" t="str">
        <f aca="false">IFERROR(INDEX('Azure Resource Map'!$E$2:$E$2001,MATCH($C198,'Azure Resource Map'!$A$2:$A$2001,0)),"")</f>
        <v/>
      </c>
      <c r="U198" s="39" t="str">
        <f aca="false">IFERROR(INDEX('Azure Resource Map'!$F$2:$F$2001,MATCH($C198,'Azure Resource Map'!$A$2:$A$2001,0)),"")</f>
        <v/>
      </c>
      <c r="V198" s="39" t="str">
        <f aca="false">IF($C198="","",IF(ISNUMBER(MATCH($C198,'CA Exclusion Map'!$A$2:$A$2001,0)),"Yes","No"))</f>
        <v/>
      </c>
      <c r="W198" s="39" t="str">
        <f aca="false">IFERROR(INDEX('CA Exclusion Map'!$D$2:$D$2001,MATCH($C198,'CA Exclusion Map'!$A$2:$A$2001,0)),"")</f>
        <v/>
      </c>
      <c r="X198" s="40" t="str">
        <f aca="false">IFERROR(INDEX('CA Exclusion Map'!$E$2:$E$2001,MATCH($C198,'CA Exclusion Map'!$A$2:$A$2001,0)),"")</f>
        <v/>
      </c>
      <c r="Y198" s="40" t="str">
        <f aca="false">IFERROR(INDEX('CA Exclusion Map'!$F$2:$F$2001,MATCH($C198,'CA Exclusion Map'!$A$2:$A$2001,0)),"")</f>
        <v/>
      </c>
      <c r="Z198" s="36"/>
      <c r="AA198" s="37"/>
      <c r="AB198" s="38"/>
      <c r="AC198" s="38"/>
      <c r="AD198" s="39" t="str">
        <f aca="true">IF(V198="","",IF(V198&lt;&gt;"Yes","N/A",IF(AC198="","NO EXPIRY SET",IF(TODAY()&gt;AC198,"EXPIRED",IF(AC198-TODAY()&lt;=30,"Expiring Soon","Active")))))</f>
        <v/>
      </c>
      <c r="AE198" s="36"/>
      <c r="AF198" s="36"/>
      <c r="AG198" s="37"/>
      <c r="AH198" s="36"/>
      <c r="AI198" s="37"/>
      <c r="AJ198" s="37"/>
      <c r="AK198" s="37"/>
      <c r="AL198" s="37"/>
      <c r="AM198" s="38"/>
      <c r="AN198" s="37"/>
      <c r="AO198" s="37"/>
      <c r="AP198" s="41" t="str">
        <f aca="false">IF(AM198="","",AM198+90)</f>
        <v/>
      </c>
      <c r="AQ198" s="39" t="str">
        <f aca="true">IF(C198="","",IF(AM198="","NOT REVIEWED",IF(TODAY()&gt;AP198,"OVERDUE",IF(AP198-TODAY()&lt;=14,"Due Soon","Current"))))</f>
        <v/>
      </c>
      <c r="AR198" s="36"/>
    </row>
    <row r="199" customFormat="false" ht="15" hidden="false" customHeight="false" outlineLevel="0" collapsed="false">
      <c r="A199" s="36"/>
      <c r="B199" s="36"/>
      <c r="C199" s="36"/>
      <c r="D199" s="36"/>
      <c r="E199" s="37"/>
      <c r="F199" s="37"/>
      <c r="G199" s="37"/>
      <c r="H199" s="38"/>
      <c r="I199" s="38"/>
      <c r="J199" s="38"/>
      <c r="K199" s="37"/>
      <c r="L199" s="36"/>
      <c r="M199" s="36"/>
      <c r="N199" s="37"/>
      <c r="O199" s="37"/>
      <c r="P199" s="36"/>
      <c r="Q199" s="39" t="str">
        <f aca="true">IF(J199="","",TODAY()-J199)</f>
        <v/>
      </c>
      <c r="R199" s="37"/>
      <c r="S199" s="40" t="str">
        <f aca="false">IFERROR(INDEX('Azure Resource Map'!$D$2:$D$2001,MATCH($C199,'Azure Resource Map'!$A$2:$A$2001,0)),"")</f>
        <v/>
      </c>
      <c r="T199" s="39" t="str">
        <f aca="false">IFERROR(INDEX('Azure Resource Map'!$E$2:$E$2001,MATCH($C199,'Azure Resource Map'!$A$2:$A$2001,0)),"")</f>
        <v/>
      </c>
      <c r="U199" s="39" t="str">
        <f aca="false">IFERROR(INDEX('Azure Resource Map'!$F$2:$F$2001,MATCH($C199,'Azure Resource Map'!$A$2:$A$2001,0)),"")</f>
        <v/>
      </c>
      <c r="V199" s="39" t="str">
        <f aca="false">IF($C199="","",IF(ISNUMBER(MATCH($C199,'CA Exclusion Map'!$A$2:$A$2001,0)),"Yes","No"))</f>
        <v/>
      </c>
      <c r="W199" s="39" t="str">
        <f aca="false">IFERROR(INDEX('CA Exclusion Map'!$D$2:$D$2001,MATCH($C199,'CA Exclusion Map'!$A$2:$A$2001,0)),"")</f>
        <v/>
      </c>
      <c r="X199" s="40" t="str">
        <f aca="false">IFERROR(INDEX('CA Exclusion Map'!$E$2:$E$2001,MATCH($C199,'CA Exclusion Map'!$A$2:$A$2001,0)),"")</f>
        <v/>
      </c>
      <c r="Y199" s="40" t="str">
        <f aca="false">IFERROR(INDEX('CA Exclusion Map'!$F$2:$F$2001,MATCH($C199,'CA Exclusion Map'!$A$2:$A$2001,0)),"")</f>
        <v/>
      </c>
      <c r="Z199" s="36"/>
      <c r="AA199" s="37"/>
      <c r="AB199" s="38"/>
      <c r="AC199" s="38"/>
      <c r="AD199" s="39" t="str">
        <f aca="true">IF(V199="","",IF(V199&lt;&gt;"Yes","N/A",IF(AC199="","NO EXPIRY SET",IF(TODAY()&gt;AC199,"EXPIRED",IF(AC199-TODAY()&lt;=30,"Expiring Soon","Active")))))</f>
        <v/>
      </c>
      <c r="AE199" s="36"/>
      <c r="AF199" s="36"/>
      <c r="AG199" s="37"/>
      <c r="AH199" s="36"/>
      <c r="AI199" s="37"/>
      <c r="AJ199" s="37"/>
      <c r="AK199" s="37"/>
      <c r="AL199" s="37"/>
      <c r="AM199" s="38"/>
      <c r="AN199" s="37"/>
      <c r="AO199" s="37"/>
      <c r="AP199" s="41" t="str">
        <f aca="false">IF(AM199="","",AM199+90)</f>
        <v/>
      </c>
      <c r="AQ199" s="39" t="str">
        <f aca="true">IF(C199="","",IF(AM199="","NOT REVIEWED",IF(TODAY()&gt;AP199,"OVERDUE",IF(AP199-TODAY()&lt;=14,"Due Soon","Current"))))</f>
        <v/>
      </c>
      <c r="AR199" s="36"/>
    </row>
    <row r="200" customFormat="false" ht="15" hidden="false" customHeight="false" outlineLevel="0" collapsed="false">
      <c r="A200" s="36"/>
      <c r="B200" s="36"/>
      <c r="C200" s="36"/>
      <c r="D200" s="36"/>
      <c r="E200" s="37"/>
      <c r="F200" s="37"/>
      <c r="G200" s="37"/>
      <c r="H200" s="38"/>
      <c r="I200" s="38"/>
      <c r="J200" s="38"/>
      <c r="K200" s="37"/>
      <c r="L200" s="36"/>
      <c r="M200" s="36"/>
      <c r="N200" s="37"/>
      <c r="O200" s="37"/>
      <c r="P200" s="36"/>
      <c r="Q200" s="39" t="str">
        <f aca="true">IF(J200="","",TODAY()-J200)</f>
        <v/>
      </c>
      <c r="R200" s="37"/>
      <c r="S200" s="40" t="str">
        <f aca="false">IFERROR(INDEX('Azure Resource Map'!$D$2:$D$2001,MATCH($C200,'Azure Resource Map'!$A$2:$A$2001,0)),"")</f>
        <v/>
      </c>
      <c r="T200" s="39" t="str">
        <f aca="false">IFERROR(INDEX('Azure Resource Map'!$E$2:$E$2001,MATCH($C200,'Azure Resource Map'!$A$2:$A$2001,0)),"")</f>
        <v/>
      </c>
      <c r="U200" s="39" t="str">
        <f aca="false">IFERROR(INDEX('Azure Resource Map'!$F$2:$F$2001,MATCH($C200,'Azure Resource Map'!$A$2:$A$2001,0)),"")</f>
        <v/>
      </c>
      <c r="V200" s="39" t="str">
        <f aca="false">IF($C200="","",IF(ISNUMBER(MATCH($C200,'CA Exclusion Map'!$A$2:$A$2001,0)),"Yes","No"))</f>
        <v/>
      </c>
      <c r="W200" s="39" t="str">
        <f aca="false">IFERROR(INDEX('CA Exclusion Map'!$D$2:$D$2001,MATCH($C200,'CA Exclusion Map'!$A$2:$A$2001,0)),"")</f>
        <v/>
      </c>
      <c r="X200" s="40" t="str">
        <f aca="false">IFERROR(INDEX('CA Exclusion Map'!$E$2:$E$2001,MATCH($C200,'CA Exclusion Map'!$A$2:$A$2001,0)),"")</f>
        <v/>
      </c>
      <c r="Y200" s="40" t="str">
        <f aca="false">IFERROR(INDEX('CA Exclusion Map'!$F$2:$F$2001,MATCH($C200,'CA Exclusion Map'!$A$2:$A$2001,0)),"")</f>
        <v/>
      </c>
      <c r="Z200" s="36"/>
      <c r="AA200" s="37"/>
      <c r="AB200" s="38"/>
      <c r="AC200" s="38"/>
      <c r="AD200" s="39" t="str">
        <f aca="true">IF(V200="","",IF(V200&lt;&gt;"Yes","N/A",IF(AC200="","NO EXPIRY SET",IF(TODAY()&gt;AC200,"EXPIRED",IF(AC200-TODAY()&lt;=30,"Expiring Soon","Active")))))</f>
        <v/>
      </c>
      <c r="AE200" s="36"/>
      <c r="AF200" s="36"/>
      <c r="AG200" s="37"/>
      <c r="AH200" s="36"/>
      <c r="AI200" s="37"/>
      <c r="AJ200" s="37"/>
      <c r="AK200" s="37"/>
      <c r="AL200" s="37"/>
      <c r="AM200" s="38"/>
      <c r="AN200" s="37"/>
      <c r="AO200" s="37"/>
      <c r="AP200" s="41" t="str">
        <f aca="false">IF(AM200="","",AM200+90)</f>
        <v/>
      </c>
      <c r="AQ200" s="39" t="str">
        <f aca="true">IF(C200="","",IF(AM200="","NOT REVIEWED",IF(TODAY()&gt;AP200,"OVERDUE",IF(AP200-TODAY()&lt;=14,"Due Soon","Current"))))</f>
        <v/>
      </c>
      <c r="AR200" s="36"/>
    </row>
    <row r="201" customFormat="false" ht="15" hidden="false" customHeight="false" outlineLevel="0" collapsed="false">
      <c r="A201" s="36"/>
      <c r="B201" s="36"/>
      <c r="C201" s="36"/>
      <c r="D201" s="36"/>
      <c r="E201" s="37"/>
      <c r="F201" s="37"/>
      <c r="G201" s="37"/>
      <c r="H201" s="38"/>
      <c r="I201" s="38"/>
      <c r="J201" s="38"/>
      <c r="K201" s="37"/>
      <c r="L201" s="36"/>
      <c r="M201" s="36"/>
      <c r="N201" s="37"/>
      <c r="O201" s="37"/>
      <c r="P201" s="36"/>
      <c r="Q201" s="39" t="str">
        <f aca="true">IF(J201="","",TODAY()-J201)</f>
        <v/>
      </c>
      <c r="R201" s="37"/>
      <c r="S201" s="40" t="str">
        <f aca="false">IFERROR(INDEX('Azure Resource Map'!$D$2:$D$2001,MATCH($C201,'Azure Resource Map'!$A$2:$A$2001,0)),"")</f>
        <v/>
      </c>
      <c r="T201" s="39" t="str">
        <f aca="false">IFERROR(INDEX('Azure Resource Map'!$E$2:$E$2001,MATCH($C201,'Azure Resource Map'!$A$2:$A$2001,0)),"")</f>
        <v/>
      </c>
      <c r="U201" s="39" t="str">
        <f aca="false">IFERROR(INDEX('Azure Resource Map'!$F$2:$F$2001,MATCH($C201,'Azure Resource Map'!$A$2:$A$2001,0)),"")</f>
        <v/>
      </c>
      <c r="V201" s="39" t="str">
        <f aca="false">IF($C201="","",IF(ISNUMBER(MATCH($C201,'CA Exclusion Map'!$A$2:$A$2001,0)),"Yes","No"))</f>
        <v/>
      </c>
      <c r="W201" s="39" t="str">
        <f aca="false">IFERROR(INDEX('CA Exclusion Map'!$D$2:$D$2001,MATCH($C201,'CA Exclusion Map'!$A$2:$A$2001,0)),"")</f>
        <v/>
      </c>
      <c r="X201" s="40" t="str">
        <f aca="false">IFERROR(INDEX('CA Exclusion Map'!$E$2:$E$2001,MATCH($C201,'CA Exclusion Map'!$A$2:$A$2001,0)),"")</f>
        <v/>
      </c>
      <c r="Y201" s="40" t="str">
        <f aca="false">IFERROR(INDEX('CA Exclusion Map'!$F$2:$F$2001,MATCH($C201,'CA Exclusion Map'!$A$2:$A$2001,0)),"")</f>
        <v/>
      </c>
      <c r="Z201" s="36"/>
      <c r="AA201" s="37"/>
      <c r="AB201" s="38"/>
      <c r="AC201" s="38"/>
      <c r="AD201" s="39" t="str">
        <f aca="true">IF(V201="","",IF(V201&lt;&gt;"Yes","N/A",IF(AC201="","NO EXPIRY SET",IF(TODAY()&gt;AC201,"EXPIRED",IF(AC201-TODAY()&lt;=30,"Expiring Soon","Active")))))</f>
        <v/>
      </c>
      <c r="AE201" s="36"/>
      <c r="AF201" s="36"/>
      <c r="AG201" s="37"/>
      <c r="AH201" s="36"/>
      <c r="AI201" s="37"/>
      <c r="AJ201" s="37"/>
      <c r="AK201" s="37"/>
      <c r="AL201" s="37"/>
      <c r="AM201" s="38"/>
      <c r="AN201" s="37"/>
      <c r="AO201" s="37"/>
      <c r="AP201" s="41" t="str">
        <f aca="false">IF(AM201="","",AM201+90)</f>
        <v/>
      </c>
      <c r="AQ201" s="39" t="str">
        <f aca="true">IF(C201="","",IF(AM201="","NOT REVIEWED",IF(TODAY()&gt;AP201,"OVERDUE",IF(AP201-TODAY()&lt;=14,"Due Soon","Current"))))</f>
        <v/>
      </c>
      <c r="AR201" s="36"/>
    </row>
  </sheetData>
  <autoFilter ref="A1:AR201"/>
  <conditionalFormatting sqref="AD2:AD201">
    <cfRule type="expression" priority="2" aboveAverage="0" equalAverage="0" bottom="0" percent="0" rank="0" text="" dxfId="14">
      <formula>OR(AD2="EXPIRED",AD2="NO EXPIRY SET")</formula>
    </cfRule>
    <cfRule type="expression" priority="3" aboveAverage="0" equalAverage="0" bottom="0" percent="0" rank="0" text="" dxfId="15">
      <formula>AD2="Expiring Soon"</formula>
    </cfRule>
    <cfRule type="expression" priority="4" aboveAverage="0" equalAverage="0" bottom="0" percent="0" rank="0" text="" dxfId="16">
      <formula>AD2="Active"</formula>
    </cfRule>
  </conditionalFormatting>
  <conditionalFormatting sqref="AQ2:AQ201">
    <cfRule type="expression" priority="5" aboveAverage="0" equalAverage="0" bottom="0" percent="0" rank="0" text="" dxfId="14">
      <formula>OR(AQ2="OVERDUE",AQ2="NOT REVIEWED")</formula>
    </cfRule>
    <cfRule type="expression" priority="6" aboveAverage="0" equalAverage="0" bottom="0" percent="0" rank="0" text="" dxfId="15">
      <formula>AQ2="Due Soon"</formula>
    </cfRule>
  </conditionalFormatting>
  <conditionalFormatting sqref="AF2:AF201">
    <cfRule type="expression" priority="7" aboveAverage="0" equalAverage="0" bottom="0" percent="0" rank="0" text="" dxfId="14">
      <formula>OR(AF2="UNASSIGNED - NEEDS OWNER",AND(AF2="",$C2&lt;&gt;""))</formula>
    </cfRule>
  </conditionalFormatting>
  <conditionalFormatting sqref="V2:V201">
    <cfRule type="expression" priority="8" aboveAverage="0" equalAverage="0" bottom="0" percent="0" rank="0" text="" dxfId="15">
      <formula>V2="Yes"</formula>
    </cfRule>
  </conditionalFormatting>
  <conditionalFormatting sqref="Q2:Q201">
    <cfRule type="expression" priority="9" aboveAverage="0" equalAverage="0" bottom="0" percent="0" rank="0" text="" dxfId="14">
      <formula>AND(Q2&lt;&gt;"",Q2&gt;90)</formula>
    </cfRule>
  </conditionalFormatting>
  <conditionalFormatting sqref="T2:T201">
    <cfRule type="expression" priority="10" aboveAverage="0" equalAverage="0" bottom="0" percent="0" rank="0" text="" dxfId="14">
      <formula>OR(T2="Owner",T2="User Access Administrator")</formula>
    </cfRule>
  </conditionalFormatting>
  <conditionalFormatting sqref="U2:U201">
    <cfRule type="expression" priority="11" aboveAverage="0" equalAverage="0" bottom="0" percent="0" rank="0" text="" dxfId="15">
      <formula>U2="Yes"</formula>
    </cfRule>
  </conditionalFormatting>
  <dataValidations count="5">
    <dataValidation allowBlank="true" error="Not in the Reference list. Pick an existing value or add yours to the Reference tab." errorStyle="warning" operator="between" showDropDown="false" showErrorMessage="false" showInputMessage="false" sqref="R2:R201" type="list">
      <formula1>Reference!$D$2:$D$5</formula1>
      <formula2>0</formula2>
    </dataValidation>
    <dataValidation allowBlank="true" error="Not in the Reference list. Pick an existing value or add yours to the Reference tab." errorStyle="warning" operator="between" showDropDown="false" showErrorMessage="false" showInputMessage="false" sqref="AF2:AF201" type="list">
      <formula1>Reference!$A$2:$A$14</formula1>
      <formula2>0</formula2>
    </dataValidation>
    <dataValidation allowBlank="true" error="Not in the Reference list. Pick an existing value or add yours to the Reference tab." errorStyle="warning" operator="between" showDropDown="false" showErrorMessage="false" showInputMessage="false" sqref="AK2:AK201" type="list">
      <formula1>Reference!$B$2:$B$7</formula1>
      <formula2>0</formula2>
    </dataValidation>
    <dataValidation allowBlank="true" error="Not in the Reference list. Pick an existing value or add yours to the Reference tab." errorStyle="warning" operator="between" showDropDown="false" showErrorMessage="false" showInputMessage="false" sqref="AL2:AL201" type="list">
      <formula1>Reference!$C$2:$C$6</formula1>
      <formula2>0</formula2>
    </dataValidation>
    <dataValidation allowBlank="true" error="Not in the Reference list. Pick an existing value or add yours to the Reference tab." errorStyle="warning" operator="between" showDropDown="false" showErrorMessage="false" showInputMessage="false" sqref="AO2:AO201" type="list">
      <formula1>Reference!$E$2:$E$8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U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8"/>
    <col collapsed="false" customWidth="true" hidden="false" outlineLevel="0" max="4" min="4" style="0" width="24"/>
    <col collapsed="false" customWidth="true" hidden="false" outlineLevel="0" max="5" min="5" style="0" width="20"/>
    <col collapsed="false" customWidth="true" hidden="false" outlineLevel="0" max="6" min="6" style="0" width="11"/>
    <col collapsed="false" customWidth="true" hidden="false" outlineLevel="0" max="8" min="7" style="0" width="14"/>
    <col collapsed="false" customWidth="true" hidden="false" outlineLevel="0" max="9" min="9" style="0" width="26"/>
    <col collapsed="false" customWidth="true" hidden="false" outlineLevel="0" max="10" min="10" style="0" width="16"/>
    <col collapsed="false" customWidth="true" hidden="false" outlineLevel="0" max="11" min="11" style="0" width="13"/>
    <col collapsed="false" customWidth="true" hidden="false" outlineLevel="0" max="12" min="12" style="0" width="32"/>
    <col collapsed="false" customWidth="true" hidden="false" outlineLevel="0" max="13" min="13" style="0" width="14"/>
    <col collapsed="false" customWidth="true" hidden="false" outlineLevel="0" max="14" min="14" style="0" width="13"/>
    <col collapsed="false" customWidth="true" hidden="false" outlineLevel="0" max="15" min="15" style="0" width="15"/>
    <col collapsed="false" customWidth="true" hidden="false" outlineLevel="0" max="16" min="16" style="0" width="24"/>
    <col collapsed="false" customWidth="true" hidden="false" outlineLevel="0" max="17" min="17" style="0" width="26"/>
    <col collapsed="false" customWidth="true" hidden="false" outlineLevel="0" max="18" min="18" style="0" width="15"/>
    <col collapsed="false" customWidth="true" hidden="false" outlineLevel="0" max="19" min="19" style="0" width="16"/>
    <col collapsed="false" customWidth="true" hidden="false" outlineLevel="0" max="20" min="20" style="0" width="22"/>
    <col collapsed="false" customWidth="true" hidden="false" outlineLevel="0" max="21" min="21" style="0" width="17"/>
    <col collapsed="false" customWidth="true" hidden="false" outlineLevel="0" max="22" min="22" style="0" width="34"/>
    <col collapsed="false" customWidth="true" hidden="false" outlineLevel="0" max="23" min="23" style="0" width="20"/>
    <col collapsed="false" customWidth="true" hidden="false" outlineLevel="0" max="24" min="24" style="0" width="15"/>
    <col collapsed="false" customWidth="true" hidden="false" outlineLevel="0" max="25" min="25" style="0" width="14"/>
    <col collapsed="false" customWidth="true" hidden="false" outlineLevel="0" max="26" min="26" style="0" width="22"/>
    <col collapsed="false" customWidth="true" hidden="false" outlineLevel="0" max="27" min="27" style="0" width="26"/>
    <col collapsed="false" customWidth="true" hidden="false" outlineLevel="0" max="29" min="28" style="0" width="34"/>
    <col collapsed="false" customWidth="true" hidden="false" outlineLevel="0" max="30" min="30" style="0" width="20"/>
    <col collapsed="false" customWidth="true" hidden="false" outlineLevel="0" max="33" min="31" style="0" width="16"/>
    <col collapsed="false" customWidth="true" hidden="false" outlineLevel="0" max="34" min="34" style="0" width="30"/>
    <col collapsed="false" customWidth="true" hidden="false" outlineLevel="0" max="35" min="35" style="0" width="26"/>
    <col collapsed="false" customWidth="true" hidden="false" outlineLevel="0" max="36" min="36" style="0" width="20"/>
    <col collapsed="false" customWidth="true" hidden="false" outlineLevel="0" max="37" min="37" style="0" width="26"/>
    <col collapsed="false" customWidth="true" hidden="false" outlineLevel="0" max="38" min="38" style="0" width="22"/>
    <col collapsed="false" customWidth="true" hidden="false" outlineLevel="0" max="39" min="39" style="0" width="16"/>
    <col collapsed="false" customWidth="true" hidden="false" outlineLevel="0" max="41" min="40" style="0" width="18"/>
    <col collapsed="false" customWidth="true" hidden="false" outlineLevel="0" max="42" min="42" style="0" width="14"/>
    <col collapsed="false" customWidth="true" hidden="false" outlineLevel="0" max="43" min="43" style="0" width="18"/>
    <col collapsed="false" customWidth="true" hidden="false" outlineLevel="0" max="44" min="44" style="0" width="24"/>
    <col collapsed="false" customWidth="true" hidden="false" outlineLevel="0" max="45" min="45" style="0" width="14"/>
    <col collapsed="false" customWidth="true" hidden="false" outlineLevel="0" max="46" min="46" style="0" width="16"/>
    <col collapsed="false" customWidth="true" hidden="false" outlineLevel="0" max="47" min="47" style="0" width="40"/>
  </cols>
  <sheetData>
    <row r="1" customFormat="false" ht="48" hidden="false" customHeight="true" outlineLevel="0" collapsed="false">
      <c r="A1" s="23" t="s">
        <v>182</v>
      </c>
      <c r="B1" s="23" t="s">
        <v>248</v>
      </c>
      <c r="C1" s="23" t="s">
        <v>249</v>
      </c>
      <c r="D1" s="23" t="s">
        <v>250</v>
      </c>
      <c r="E1" s="23" t="s">
        <v>251</v>
      </c>
      <c r="F1" s="23" t="s">
        <v>252</v>
      </c>
      <c r="G1" s="23" t="s">
        <v>189</v>
      </c>
      <c r="H1" s="23" t="s">
        <v>253</v>
      </c>
      <c r="I1" s="23" t="s">
        <v>254</v>
      </c>
      <c r="J1" s="23" t="s">
        <v>255</v>
      </c>
      <c r="K1" s="23" t="s">
        <v>256</v>
      </c>
      <c r="L1" s="23" t="s">
        <v>257</v>
      </c>
      <c r="M1" s="23" t="s">
        <v>258</v>
      </c>
      <c r="N1" s="23" t="s">
        <v>259</v>
      </c>
      <c r="O1" s="23" t="s">
        <v>260</v>
      </c>
      <c r="P1" s="23" t="s">
        <v>261</v>
      </c>
      <c r="Q1" s="23" t="s">
        <v>262</v>
      </c>
      <c r="R1" s="24" t="s">
        <v>198</v>
      </c>
      <c r="S1" s="24" t="s">
        <v>263</v>
      </c>
      <c r="T1" s="25" t="s">
        <v>264</v>
      </c>
      <c r="U1" s="25" t="s">
        <v>265</v>
      </c>
      <c r="V1" s="26" t="s">
        <v>200</v>
      </c>
      <c r="W1" s="26" t="s">
        <v>201</v>
      </c>
      <c r="X1" s="26" t="s">
        <v>202</v>
      </c>
      <c r="Y1" s="24" t="s">
        <v>203</v>
      </c>
      <c r="Z1" s="24" t="s">
        <v>204</v>
      </c>
      <c r="AA1" s="24" t="s">
        <v>205</v>
      </c>
      <c r="AB1" s="24" t="s">
        <v>206</v>
      </c>
      <c r="AC1" s="27" t="s">
        <v>207</v>
      </c>
      <c r="AD1" s="27" t="s">
        <v>208</v>
      </c>
      <c r="AE1" s="27" t="s">
        <v>209</v>
      </c>
      <c r="AF1" s="27" t="s">
        <v>210</v>
      </c>
      <c r="AG1" s="24" t="s">
        <v>211</v>
      </c>
      <c r="AH1" s="27" t="s">
        <v>212</v>
      </c>
      <c r="AI1" s="28" t="s">
        <v>213</v>
      </c>
      <c r="AJ1" s="28" t="s">
        <v>214</v>
      </c>
      <c r="AK1" s="28" t="s">
        <v>215</v>
      </c>
      <c r="AL1" s="28" t="s">
        <v>216</v>
      </c>
      <c r="AM1" s="28" t="s">
        <v>217</v>
      </c>
      <c r="AN1" s="28" t="s">
        <v>218</v>
      </c>
      <c r="AO1" s="28" t="s">
        <v>219</v>
      </c>
      <c r="AP1" s="25" t="s">
        <v>220</v>
      </c>
      <c r="AQ1" s="25" t="s">
        <v>221</v>
      </c>
      <c r="AR1" s="25" t="s">
        <v>222</v>
      </c>
      <c r="AS1" s="24" t="s">
        <v>223</v>
      </c>
      <c r="AT1" s="24" t="s">
        <v>224</v>
      </c>
      <c r="AU1" s="25" t="s">
        <v>225</v>
      </c>
    </row>
    <row r="2" customFormat="false" ht="23.85" hidden="false" customHeight="false" outlineLevel="0" collapsed="false">
      <c r="A2" s="29" t="s">
        <v>266</v>
      </c>
      <c r="B2" s="29" t="s">
        <v>267</v>
      </c>
      <c r="C2" s="29" t="s">
        <v>268</v>
      </c>
      <c r="D2" s="30" t="s">
        <v>269</v>
      </c>
      <c r="E2" s="30" t="s">
        <v>270</v>
      </c>
      <c r="F2" s="30" t="s">
        <v>232</v>
      </c>
      <c r="G2" s="31" t="n">
        <v>45506</v>
      </c>
      <c r="H2" s="31" t="n">
        <v>46237</v>
      </c>
      <c r="I2" s="29" t="s">
        <v>271</v>
      </c>
      <c r="J2" s="31" t="n">
        <v>46277</v>
      </c>
      <c r="K2" s="30" t="n">
        <v>2</v>
      </c>
      <c r="L2" s="29" t="s">
        <v>272</v>
      </c>
      <c r="M2" s="30" t="s">
        <v>273</v>
      </c>
      <c r="N2" s="30" t="n">
        <v>0</v>
      </c>
      <c r="O2" s="30" t="s">
        <v>232</v>
      </c>
      <c r="P2" s="30" t="s">
        <v>274</v>
      </c>
      <c r="Q2" s="29" t="s">
        <v>275</v>
      </c>
      <c r="R2" s="32" t="n">
        <f aca="true">IF(H2="","",TODAY()-H2)</f>
        <v>2</v>
      </c>
      <c r="S2" s="32" t="n">
        <f aca="true">IF(J2="","",J2-TODAY())</f>
        <v>38</v>
      </c>
      <c r="T2" s="30" t="s">
        <v>276</v>
      </c>
      <c r="U2" s="30" t="s">
        <v>232</v>
      </c>
      <c r="V2" s="33" t="str">
        <f aca="false">IFERROR(INDEX('Azure Resource Map'!$D$2:$D$2001,MATCH($C2,'Azure Resource Map'!$A$2:$A$2001,0)),"")</f>
        <v>Storage Blob Data Reader @ /subscriptions/.../rg-fin-prod-ause</v>
      </c>
      <c r="W2" s="34" t="str">
        <f aca="false">IFERROR(INDEX('Azure Resource Map'!$E$2:$E$2001,MATCH($C2,'Azure Resource Map'!$A$2:$A$2001,0)),"")</f>
        <v>Storage Blob Data Reader</v>
      </c>
      <c r="X2" s="34" t="str">
        <f aca="false">IFERROR(INDEX('Azure Resource Map'!$F$2:$F$2001,MATCH($C2,'Azure Resource Map'!$A$2:$A$2001,0)),"")</f>
        <v>No</v>
      </c>
      <c r="Y2" s="34" t="str">
        <f aca="false">IF($C2="","",IF(ISNUMBER(MATCH($C2,'CA Exclusion Map'!$A$2:$A$2001,0)),"Yes","No"))</f>
        <v>No</v>
      </c>
      <c r="Z2" s="34" t="str">
        <f aca="false">IFERROR(INDEX('CA Exclusion Map'!$D$2:$D$2001,MATCH($C2,'CA Exclusion Map'!$A$2:$A$2001,0)),"")</f>
        <v/>
      </c>
      <c r="AA2" s="33" t="str">
        <f aca="false">IFERROR(INDEX('CA Exclusion Map'!$E$2:$E$2001,MATCH($C2,'CA Exclusion Map'!$A$2:$A$2001,0)),"")</f>
        <v/>
      </c>
      <c r="AB2" s="33" t="str">
        <f aca="false">IFERROR(INDEX('CA Exclusion Map'!$F$2:$F$2001,MATCH($C2,'CA Exclusion Map'!$A$2:$A$2001,0)),"")</f>
        <v/>
      </c>
      <c r="AC2" s="29"/>
      <c r="AD2" s="30"/>
      <c r="AE2" s="31"/>
      <c r="AF2" s="31"/>
      <c r="AG2" s="34" t="str">
        <f aca="true">IF(Y2="","",IF(Y2&lt;&gt;"Yes","N/A",IF(AF2="","NO EXPIRY SET",IF(TODAY()&gt;AF2,"EXPIRED",IF(AF2-TODAY()&lt;=30,"Expiring Soon","Active")))))</f>
        <v>N/A</v>
      </c>
      <c r="AH2" s="29" t="s">
        <v>277</v>
      </c>
      <c r="AI2" s="29" t="s">
        <v>278</v>
      </c>
      <c r="AJ2" s="30" t="s">
        <v>274</v>
      </c>
      <c r="AK2" s="29" t="s">
        <v>275</v>
      </c>
      <c r="AL2" s="30" t="s">
        <v>279</v>
      </c>
      <c r="AM2" s="30" t="s">
        <v>280</v>
      </c>
      <c r="AN2" s="30" t="s">
        <v>9</v>
      </c>
      <c r="AO2" s="30" t="s">
        <v>273</v>
      </c>
      <c r="AP2" s="31" t="n">
        <v>46162</v>
      </c>
      <c r="AQ2" s="30" t="s">
        <v>281</v>
      </c>
      <c r="AR2" s="30" t="s">
        <v>282</v>
      </c>
      <c r="AS2" s="35" t="n">
        <f aca="false">IF(AP2="","",AP2+90)</f>
        <v>46252</v>
      </c>
      <c r="AT2" s="34" t="str">
        <f aca="true">IF(C2="","",IF(AP2="","NOT REVIEWED",IF(TODAY()&gt;AS2,"OVERDUE",IF(AS2-TODAY()&lt;=14,"Due Soon","Current"))))</f>
        <v>Due Soon</v>
      </c>
      <c r="AU2" s="29" t="s">
        <v>247</v>
      </c>
    </row>
    <row r="3" customFormat="false" ht="15" hidden="false" customHeight="false" outlineLevel="0" collapsed="false">
      <c r="A3" s="36"/>
      <c r="B3" s="36"/>
      <c r="C3" s="36"/>
      <c r="D3" s="37"/>
      <c r="E3" s="37"/>
      <c r="F3" s="37"/>
      <c r="G3" s="38"/>
      <c r="H3" s="38"/>
      <c r="I3" s="36"/>
      <c r="J3" s="38"/>
      <c r="K3" s="37"/>
      <c r="L3" s="36"/>
      <c r="M3" s="37"/>
      <c r="N3" s="37"/>
      <c r="O3" s="37"/>
      <c r="P3" s="37"/>
      <c r="Q3" s="36"/>
      <c r="R3" s="39" t="str">
        <f aca="true">IF(H3="","",TODAY()-H3)</f>
        <v/>
      </c>
      <c r="S3" s="39" t="str">
        <f aca="true">IF(J3="","",J3-TODAY())</f>
        <v/>
      </c>
      <c r="T3" s="37"/>
      <c r="U3" s="37"/>
      <c r="V3" s="40" t="str">
        <f aca="false">IFERROR(INDEX('Azure Resource Map'!$D$2:$D$2001,MATCH($C3,'Azure Resource Map'!$A$2:$A$2001,0)),"")</f>
        <v/>
      </c>
      <c r="W3" s="39" t="str">
        <f aca="false">IFERROR(INDEX('Azure Resource Map'!$E$2:$E$2001,MATCH($C3,'Azure Resource Map'!$A$2:$A$2001,0)),"")</f>
        <v/>
      </c>
      <c r="X3" s="39" t="str">
        <f aca="false">IFERROR(INDEX('Azure Resource Map'!$F$2:$F$2001,MATCH($C3,'Azure Resource Map'!$A$2:$A$2001,0)),"")</f>
        <v/>
      </c>
      <c r="Y3" s="39" t="str">
        <f aca="false">IF($C3="","",IF(ISNUMBER(MATCH($C3,'CA Exclusion Map'!$A$2:$A$2001,0)),"Yes","No"))</f>
        <v/>
      </c>
      <c r="Z3" s="39" t="str">
        <f aca="false">IFERROR(INDEX('CA Exclusion Map'!$D$2:$D$2001,MATCH($C3,'CA Exclusion Map'!$A$2:$A$2001,0)),"")</f>
        <v/>
      </c>
      <c r="AA3" s="40" t="str">
        <f aca="false">IFERROR(INDEX('CA Exclusion Map'!$E$2:$E$2001,MATCH($C3,'CA Exclusion Map'!$A$2:$A$2001,0)),"")</f>
        <v/>
      </c>
      <c r="AB3" s="40" t="str">
        <f aca="false">IFERROR(INDEX('CA Exclusion Map'!$F$2:$F$2001,MATCH($C3,'CA Exclusion Map'!$A$2:$A$2001,0)),"")</f>
        <v/>
      </c>
      <c r="AC3" s="36"/>
      <c r="AD3" s="37"/>
      <c r="AE3" s="38"/>
      <c r="AF3" s="38"/>
      <c r="AG3" s="39" t="str">
        <f aca="true">IF(Y3="","",IF(Y3&lt;&gt;"Yes","N/A",IF(AF3="","NO EXPIRY SET",IF(TODAY()&gt;AF3,"EXPIRED",IF(AF3-TODAY()&lt;=30,"Expiring Soon","Active")))))</f>
        <v/>
      </c>
      <c r="AH3" s="36"/>
      <c r="AI3" s="36"/>
      <c r="AJ3" s="37"/>
      <c r="AK3" s="36"/>
      <c r="AL3" s="37"/>
      <c r="AM3" s="37"/>
      <c r="AN3" s="37"/>
      <c r="AO3" s="37"/>
      <c r="AP3" s="38"/>
      <c r="AQ3" s="37"/>
      <c r="AR3" s="37"/>
      <c r="AS3" s="41" t="str">
        <f aca="false">IF(AP3="","",AP3+90)</f>
        <v/>
      </c>
      <c r="AT3" s="39" t="str">
        <f aca="true">IF(C3="","",IF(AP3="","NOT REVIEWED",IF(TODAY()&gt;AS3,"OVERDUE",IF(AS3-TODAY()&lt;=14,"Due Soon","Current"))))</f>
        <v/>
      </c>
      <c r="AU3" s="36"/>
    </row>
    <row r="4" customFormat="false" ht="15" hidden="false" customHeight="false" outlineLevel="0" collapsed="false">
      <c r="A4" s="36"/>
      <c r="B4" s="36"/>
      <c r="C4" s="36"/>
      <c r="D4" s="37"/>
      <c r="E4" s="37"/>
      <c r="F4" s="37"/>
      <c r="G4" s="38"/>
      <c r="H4" s="38"/>
      <c r="I4" s="36"/>
      <c r="J4" s="38"/>
      <c r="K4" s="37"/>
      <c r="L4" s="36"/>
      <c r="M4" s="37"/>
      <c r="N4" s="37"/>
      <c r="O4" s="37"/>
      <c r="P4" s="37"/>
      <c r="Q4" s="36"/>
      <c r="R4" s="39" t="str">
        <f aca="true">IF(H4="","",TODAY()-H4)</f>
        <v/>
      </c>
      <c r="S4" s="39" t="str">
        <f aca="true">IF(J4="","",J4-TODAY())</f>
        <v/>
      </c>
      <c r="T4" s="37"/>
      <c r="U4" s="37"/>
      <c r="V4" s="40" t="str">
        <f aca="false">IFERROR(INDEX('Azure Resource Map'!$D$2:$D$2001,MATCH($C4,'Azure Resource Map'!$A$2:$A$2001,0)),"")</f>
        <v/>
      </c>
      <c r="W4" s="39" t="str">
        <f aca="false">IFERROR(INDEX('Azure Resource Map'!$E$2:$E$2001,MATCH($C4,'Azure Resource Map'!$A$2:$A$2001,0)),"")</f>
        <v/>
      </c>
      <c r="X4" s="39" t="str">
        <f aca="false">IFERROR(INDEX('Azure Resource Map'!$F$2:$F$2001,MATCH($C4,'Azure Resource Map'!$A$2:$A$2001,0)),"")</f>
        <v/>
      </c>
      <c r="Y4" s="39" t="str">
        <f aca="false">IF($C4="","",IF(ISNUMBER(MATCH($C4,'CA Exclusion Map'!$A$2:$A$2001,0)),"Yes","No"))</f>
        <v/>
      </c>
      <c r="Z4" s="39" t="str">
        <f aca="false">IFERROR(INDEX('CA Exclusion Map'!$D$2:$D$2001,MATCH($C4,'CA Exclusion Map'!$A$2:$A$2001,0)),"")</f>
        <v/>
      </c>
      <c r="AA4" s="40" t="str">
        <f aca="false">IFERROR(INDEX('CA Exclusion Map'!$E$2:$E$2001,MATCH($C4,'CA Exclusion Map'!$A$2:$A$2001,0)),"")</f>
        <v/>
      </c>
      <c r="AB4" s="40" t="str">
        <f aca="false">IFERROR(INDEX('CA Exclusion Map'!$F$2:$F$2001,MATCH($C4,'CA Exclusion Map'!$A$2:$A$2001,0)),"")</f>
        <v/>
      </c>
      <c r="AC4" s="36"/>
      <c r="AD4" s="37"/>
      <c r="AE4" s="38"/>
      <c r="AF4" s="38"/>
      <c r="AG4" s="39" t="str">
        <f aca="true">IF(Y4="","",IF(Y4&lt;&gt;"Yes","N/A",IF(AF4="","NO EXPIRY SET",IF(TODAY()&gt;AF4,"EXPIRED",IF(AF4-TODAY()&lt;=30,"Expiring Soon","Active")))))</f>
        <v/>
      </c>
      <c r="AH4" s="36"/>
      <c r="AI4" s="36"/>
      <c r="AJ4" s="37"/>
      <c r="AK4" s="36"/>
      <c r="AL4" s="37"/>
      <c r="AM4" s="37"/>
      <c r="AN4" s="37"/>
      <c r="AO4" s="37"/>
      <c r="AP4" s="38"/>
      <c r="AQ4" s="37"/>
      <c r="AR4" s="37"/>
      <c r="AS4" s="41" t="str">
        <f aca="false">IF(AP4="","",AP4+90)</f>
        <v/>
      </c>
      <c r="AT4" s="39" t="str">
        <f aca="true">IF(C4="","",IF(AP4="","NOT REVIEWED",IF(TODAY()&gt;AS4,"OVERDUE",IF(AS4-TODAY()&lt;=14,"Due Soon","Current"))))</f>
        <v/>
      </c>
      <c r="AU4" s="36"/>
    </row>
    <row r="5" customFormat="false" ht="15" hidden="false" customHeight="false" outlineLevel="0" collapsed="false">
      <c r="A5" s="36"/>
      <c r="B5" s="36"/>
      <c r="C5" s="36"/>
      <c r="D5" s="37"/>
      <c r="E5" s="37"/>
      <c r="F5" s="37"/>
      <c r="G5" s="38"/>
      <c r="H5" s="38"/>
      <c r="I5" s="36"/>
      <c r="J5" s="38"/>
      <c r="K5" s="37"/>
      <c r="L5" s="36"/>
      <c r="M5" s="37"/>
      <c r="N5" s="37"/>
      <c r="O5" s="37"/>
      <c r="P5" s="37"/>
      <c r="Q5" s="36"/>
      <c r="R5" s="39" t="str">
        <f aca="true">IF(H5="","",TODAY()-H5)</f>
        <v/>
      </c>
      <c r="S5" s="39" t="str">
        <f aca="true">IF(J5="","",J5-TODAY())</f>
        <v/>
      </c>
      <c r="T5" s="37"/>
      <c r="U5" s="37"/>
      <c r="V5" s="40" t="str">
        <f aca="false">IFERROR(INDEX('Azure Resource Map'!$D$2:$D$2001,MATCH($C5,'Azure Resource Map'!$A$2:$A$2001,0)),"")</f>
        <v/>
      </c>
      <c r="W5" s="39" t="str">
        <f aca="false">IFERROR(INDEX('Azure Resource Map'!$E$2:$E$2001,MATCH($C5,'Azure Resource Map'!$A$2:$A$2001,0)),"")</f>
        <v/>
      </c>
      <c r="X5" s="39" t="str">
        <f aca="false">IFERROR(INDEX('Azure Resource Map'!$F$2:$F$2001,MATCH($C5,'Azure Resource Map'!$A$2:$A$2001,0)),"")</f>
        <v/>
      </c>
      <c r="Y5" s="39" t="str">
        <f aca="false">IF($C5="","",IF(ISNUMBER(MATCH($C5,'CA Exclusion Map'!$A$2:$A$2001,0)),"Yes","No"))</f>
        <v/>
      </c>
      <c r="Z5" s="39" t="str">
        <f aca="false">IFERROR(INDEX('CA Exclusion Map'!$D$2:$D$2001,MATCH($C5,'CA Exclusion Map'!$A$2:$A$2001,0)),"")</f>
        <v/>
      </c>
      <c r="AA5" s="40" t="str">
        <f aca="false">IFERROR(INDEX('CA Exclusion Map'!$E$2:$E$2001,MATCH($C5,'CA Exclusion Map'!$A$2:$A$2001,0)),"")</f>
        <v/>
      </c>
      <c r="AB5" s="40" t="str">
        <f aca="false">IFERROR(INDEX('CA Exclusion Map'!$F$2:$F$2001,MATCH($C5,'CA Exclusion Map'!$A$2:$A$2001,0)),"")</f>
        <v/>
      </c>
      <c r="AC5" s="36"/>
      <c r="AD5" s="37"/>
      <c r="AE5" s="38"/>
      <c r="AF5" s="38"/>
      <c r="AG5" s="39" t="str">
        <f aca="true">IF(Y5="","",IF(Y5&lt;&gt;"Yes","N/A",IF(AF5="","NO EXPIRY SET",IF(TODAY()&gt;AF5,"EXPIRED",IF(AF5-TODAY()&lt;=30,"Expiring Soon","Active")))))</f>
        <v/>
      </c>
      <c r="AH5" s="36"/>
      <c r="AI5" s="36"/>
      <c r="AJ5" s="37"/>
      <c r="AK5" s="36"/>
      <c r="AL5" s="37"/>
      <c r="AM5" s="37"/>
      <c r="AN5" s="37"/>
      <c r="AO5" s="37"/>
      <c r="AP5" s="38"/>
      <c r="AQ5" s="37"/>
      <c r="AR5" s="37"/>
      <c r="AS5" s="41" t="str">
        <f aca="false">IF(AP5="","",AP5+90)</f>
        <v/>
      </c>
      <c r="AT5" s="39" t="str">
        <f aca="true">IF(C5="","",IF(AP5="","NOT REVIEWED",IF(TODAY()&gt;AS5,"OVERDUE",IF(AS5-TODAY()&lt;=14,"Due Soon","Current"))))</f>
        <v/>
      </c>
      <c r="AU5" s="36"/>
    </row>
    <row r="6" customFormat="false" ht="15" hidden="false" customHeight="false" outlineLevel="0" collapsed="false">
      <c r="A6" s="36"/>
      <c r="B6" s="36"/>
      <c r="C6" s="36"/>
      <c r="D6" s="37"/>
      <c r="E6" s="37"/>
      <c r="F6" s="37"/>
      <c r="G6" s="38"/>
      <c r="H6" s="38"/>
      <c r="I6" s="36"/>
      <c r="J6" s="38"/>
      <c r="K6" s="37"/>
      <c r="L6" s="36"/>
      <c r="M6" s="37"/>
      <c r="N6" s="37"/>
      <c r="O6" s="37"/>
      <c r="P6" s="37"/>
      <c r="Q6" s="36"/>
      <c r="R6" s="39" t="str">
        <f aca="true">IF(H6="","",TODAY()-H6)</f>
        <v/>
      </c>
      <c r="S6" s="39" t="str">
        <f aca="true">IF(J6="","",J6-TODAY())</f>
        <v/>
      </c>
      <c r="T6" s="37"/>
      <c r="U6" s="37"/>
      <c r="V6" s="40" t="str">
        <f aca="false">IFERROR(INDEX('Azure Resource Map'!$D$2:$D$2001,MATCH($C6,'Azure Resource Map'!$A$2:$A$2001,0)),"")</f>
        <v/>
      </c>
      <c r="W6" s="39" t="str">
        <f aca="false">IFERROR(INDEX('Azure Resource Map'!$E$2:$E$2001,MATCH($C6,'Azure Resource Map'!$A$2:$A$2001,0)),"")</f>
        <v/>
      </c>
      <c r="X6" s="39" t="str">
        <f aca="false">IFERROR(INDEX('Azure Resource Map'!$F$2:$F$2001,MATCH($C6,'Azure Resource Map'!$A$2:$A$2001,0)),"")</f>
        <v/>
      </c>
      <c r="Y6" s="39" t="str">
        <f aca="false">IF($C6="","",IF(ISNUMBER(MATCH($C6,'CA Exclusion Map'!$A$2:$A$2001,0)),"Yes","No"))</f>
        <v/>
      </c>
      <c r="Z6" s="39" t="str">
        <f aca="false">IFERROR(INDEX('CA Exclusion Map'!$D$2:$D$2001,MATCH($C6,'CA Exclusion Map'!$A$2:$A$2001,0)),"")</f>
        <v/>
      </c>
      <c r="AA6" s="40" t="str">
        <f aca="false">IFERROR(INDEX('CA Exclusion Map'!$E$2:$E$2001,MATCH($C6,'CA Exclusion Map'!$A$2:$A$2001,0)),"")</f>
        <v/>
      </c>
      <c r="AB6" s="40" t="str">
        <f aca="false">IFERROR(INDEX('CA Exclusion Map'!$F$2:$F$2001,MATCH($C6,'CA Exclusion Map'!$A$2:$A$2001,0)),"")</f>
        <v/>
      </c>
      <c r="AC6" s="36"/>
      <c r="AD6" s="37"/>
      <c r="AE6" s="38"/>
      <c r="AF6" s="38"/>
      <c r="AG6" s="39" t="str">
        <f aca="true">IF(Y6="","",IF(Y6&lt;&gt;"Yes","N/A",IF(AF6="","NO EXPIRY SET",IF(TODAY()&gt;AF6,"EXPIRED",IF(AF6-TODAY()&lt;=30,"Expiring Soon","Active")))))</f>
        <v/>
      </c>
      <c r="AH6" s="36"/>
      <c r="AI6" s="36"/>
      <c r="AJ6" s="37"/>
      <c r="AK6" s="36"/>
      <c r="AL6" s="37"/>
      <c r="AM6" s="37"/>
      <c r="AN6" s="37"/>
      <c r="AO6" s="37"/>
      <c r="AP6" s="38"/>
      <c r="AQ6" s="37"/>
      <c r="AR6" s="37"/>
      <c r="AS6" s="41" t="str">
        <f aca="false">IF(AP6="","",AP6+90)</f>
        <v/>
      </c>
      <c r="AT6" s="39" t="str">
        <f aca="true">IF(C6="","",IF(AP6="","NOT REVIEWED",IF(TODAY()&gt;AS6,"OVERDUE",IF(AS6-TODAY()&lt;=14,"Due Soon","Current"))))</f>
        <v/>
      </c>
      <c r="AU6" s="36"/>
    </row>
    <row r="7" customFormat="false" ht="15" hidden="false" customHeight="false" outlineLevel="0" collapsed="false">
      <c r="A7" s="36"/>
      <c r="B7" s="36"/>
      <c r="C7" s="36"/>
      <c r="D7" s="37"/>
      <c r="E7" s="37"/>
      <c r="F7" s="37"/>
      <c r="G7" s="38"/>
      <c r="H7" s="38"/>
      <c r="I7" s="36"/>
      <c r="J7" s="38"/>
      <c r="K7" s="37"/>
      <c r="L7" s="36"/>
      <c r="M7" s="37"/>
      <c r="N7" s="37"/>
      <c r="O7" s="37"/>
      <c r="P7" s="37"/>
      <c r="Q7" s="36"/>
      <c r="R7" s="39" t="str">
        <f aca="true">IF(H7="","",TODAY()-H7)</f>
        <v/>
      </c>
      <c r="S7" s="39" t="str">
        <f aca="true">IF(J7="","",J7-TODAY())</f>
        <v/>
      </c>
      <c r="T7" s="37"/>
      <c r="U7" s="37"/>
      <c r="V7" s="40" t="str">
        <f aca="false">IFERROR(INDEX('Azure Resource Map'!$D$2:$D$2001,MATCH($C7,'Azure Resource Map'!$A$2:$A$2001,0)),"")</f>
        <v/>
      </c>
      <c r="W7" s="39" t="str">
        <f aca="false">IFERROR(INDEX('Azure Resource Map'!$E$2:$E$2001,MATCH($C7,'Azure Resource Map'!$A$2:$A$2001,0)),"")</f>
        <v/>
      </c>
      <c r="X7" s="39" t="str">
        <f aca="false">IFERROR(INDEX('Azure Resource Map'!$F$2:$F$2001,MATCH($C7,'Azure Resource Map'!$A$2:$A$2001,0)),"")</f>
        <v/>
      </c>
      <c r="Y7" s="39" t="str">
        <f aca="false">IF($C7="","",IF(ISNUMBER(MATCH($C7,'CA Exclusion Map'!$A$2:$A$2001,0)),"Yes","No"))</f>
        <v/>
      </c>
      <c r="Z7" s="39" t="str">
        <f aca="false">IFERROR(INDEX('CA Exclusion Map'!$D$2:$D$2001,MATCH($C7,'CA Exclusion Map'!$A$2:$A$2001,0)),"")</f>
        <v/>
      </c>
      <c r="AA7" s="40" t="str">
        <f aca="false">IFERROR(INDEX('CA Exclusion Map'!$E$2:$E$2001,MATCH($C7,'CA Exclusion Map'!$A$2:$A$2001,0)),"")</f>
        <v/>
      </c>
      <c r="AB7" s="40" t="str">
        <f aca="false">IFERROR(INDEX('CA Exclusion Map'!$F$2:$F$2001,MATCH($C7,'CA Exclusion Map'!$A$2:$A$2001,0)),"")</f>
        <v/>
      </c>
      <c r="AC7" s="36"/>
      <c r="AD7" s="37"/>
      <c r="AE7" s="38"/>
      <c r="AF7" s="38"/>
      <c r="AG7" s="39" t="str">
        <f aca="true">IF(Y7="","",IF(Y7&lt;&gt;"Yes","N/A",IF(AF7="","NO EXPIRY SET",IF(TODAY()&gt;AF7,"EXPIRED",IF(AF7-TODAY()&lt;=30,"Expiring Soon","Active")))))</f>
        <v/>
      </c>
      <c r="AH7" s="36"/>
      <c r="AI7" s="36"/>
      <c r="AJ7" s="37"/>
      <c r="AK7" s="36"/>
      <c r="AL7" s="37"/>
      <c r="AM7" s="37"/>
      <c r="AN7" s="37"/>
      <c r="AO7" s="37"/>
      <c r="AP7" s="38"/>
      <c r="AQ7" s="37"/>
      <c r="AR7" s="37"/>
      <c r="AS7" s="41" t="str">
        <f aca="false">IF(AP7="","",AP7+90)</f>
        <v/>
      </c>
      <c r="AT7" s="39" t="str">
        <f aca="true">IF(C7="","",IF(AP7="","NOT REVIEWED",IF(TODAY()&gt;AS7,"OVERDUE",IF(AS7-TODAY()&lt;=14,"Due Soon","Current"))))</f>
        <v/>
      </c>
      <c r="AU7" s="36"/>
    </row>
    <row r="8" customFormat="false" ht="15" hidden="false" customHeight="false" outlineLevel="0" collapsed="false">
      <c r="A8" s="36"/>
      <c r="B8" s="36"/>
      <c r="C8" s="36"/>
      <c r="D8" s="37"/>
      <c r="E8" s="37"/>
      <c r="F8" s="37"/>
      <c r="G8" s="38"/>
      <c r="H8" s="38"/>
      <c r="I8" s="36"/>
      <c r="J8" s="38"/>
      <c r="K8" s="37"/>
      <c r="L8" s="36"/>
      <c r="M8" s="37"/>
      <c r="N8" s="37"/>
      <c r="O8" s="37"/>
      <c r="P8" s="37"/>
      <c r="Q8" s="36"/>
      <c r="R8" s="39" t="str">
        <f aca="true">IF(H8="","",TODAY()-H8)</f>
        <v/>
      </c>
      <c r="S8" s="39" t="str">
        <f aca="true">IF(J8="","",J8-TODAY())</f>
        <v/>
      </c>
      <c r="T8" s="37"/>
      <c r="U8" s="37"/>
      <c r="V8" s="40" t="str">
        <f aca="false">IFERROR(INDEX('Azure Resource Map'!$D$2:$D$2001,MATCH($C8,'Azure Resource Map'!$A$2:$A$2001,0)),"")</f>
        <v/>
      </c>
      <c r="W8" s="39" t="str">
        <f aca="false">IFERROR(INDEX('Azure Resource Map'!$E$2:$E$2001,MATCH($C8,'Azure Resource Map'!$A$2:$A$2001,0)),"")</f>
        <v/>
      </c>
      <c r="X8" s="39" t="str">
        <f aca="false">IFERROR(INDEX('Azure Resource Map'!$F$2:$F$2001,MATCH($C8,'Azure Resource Map'!$A$2:$A$2001,0)),"")</f>
        <v/>
      </c>
      <c r="Y8" s="39" t="str">
        <f aca="false">IF($C8="","",IF(ISNUMBER(MATCH($C8,'CA Exclusion Map'!$A$2:$A$2001,0)),"Yes","No"))</f>
        <v/>
      </c>
      <c r="Z8" s="39" t="str">
        <f aca="false">IFERROR(INDEX('CA Exclusion Map'!$D$2:$D$2001,MATCH($C8,'CA Exclusion Map'!$A$2:$A$2001,0)),"")</f>
        <v/>
      </c>
      <c r="AA8" s="40" t="str">
        <f aca="false">IFERROR(INDEX('CA Exclusion Map'!$E$2:$E$2001,MATCH($C8,'CA Exclusion Map'!$A$2:$A$2001,0)),"")</f>
        <v/>
      </c>
      <c r="AB8" s="40" t="str">
        <f aca="false">IFERROR(INDEX('CA Exclusion Map'!$F$2:$F$2001,MATCH($C8,'CA Exclusion Map'!$A$2:$A$2001,0)),"")</f>
        <v/>
      </c>
      <c r="AC8" s="36"/>
      <c r="AD8" s="37"/>
      <c r="AE8" s="38"/>
      <c r="AF8" s="38"/>
      <c r="AG8" s="39" t="str">
        <f aca="true">IF(Y8="","",IF(Y8&lt;&gt;"Yes","N/A",IF(AF8="","NO EXPIRY SET",IF(TODAY()&gt;AF8,"EXPIRED",IF(AF8-TODAY()&lt;=30,"Expiring Soon","Active")))))</f>
        <v/>
      </c>
      <c r="AH8" s="36"/>
      <c r="AI8" s="36"/>
      <c r="AJ8" s="37"/>
      <c r="AK8" s="36"/>
      <c r="AL8" s="37"/>
      <c r="AM8" s="37"/>
      <c r="AN8" s="37"/>
      <c r="AO8" s="37"/>
      <c r="AP8" s="38"/>
      <c r="AQ8" s="37"/>
      <c r="AR8" s="37"/>
      <c r="AS8" s="41" t="str">
        <f aca="false">IF(AP8="","",AP8+90)</f>
        <v/>
      </c>
      <c r="AT8" s="39" t="str">
        <f aca="true">IF(C8="","",IF(AP8="","NOT REVIEWED",IF(TODAY()&gt;AS8,"OVERDUE",IF(AS8-TODAY()&lt;=14,"Due Soon","Current"))))</f>
        <v/>
      </c>
      <c r="AU8" s="36"/>
    </row>
    <row r="9" customFormat="false" ht="15" hidden="false" customHeight="false" outlineLevel="0" collapsed="false">
      <c r="A9" s="36"/>
      <c r="B9" s="36"/>
      <c r="C9" s="36"/>
      <c r="D9" s="37"/>
      <c r="E9" s="37"/>
      <c r="F9" s="37"/>
      <c r="G9" s="38"/>
      <c r="H9" s="38"/>
      <c r="I9" s="36"/>
      <c r="J9" s="38"/>
      <c r="K9" s="37"/>
      <c r="L9" s="36"/>
      <c r="M9" s="37"/>
      <c r="N9" s="37"/>
      <c r="O9" s="37"/>
      <c r="P9" s="37"/>
      <c r="Q9" s="36"/>
      <c r="R9" s="39" t="str">
        <f aca="true">IF(H9="","",TODAY()-H9)</f>
        <v/>
      </c>
      <c r="S9" s="39" t="str">
        <f aca="true">IF(J9="","",J9-TODAY())</f>
        <v/>
      </c>
      <c r="T9" s="37"/>
      <c r="U9" s="37"/>
      <c r="V9" s="40" t="str">
        <f aca="false">IFERROR(INDEX('Azure Resource Map'!$D$2:$D$2001,MATCH($C9,'Azure Resource Map'!$A$2:$A$2001,0)),"")</f>
        <v/>
      </c>
      <c r="W9" s="39" t="str">
        <f aca="false">IFERROR(INDEX('Azure Resource Map'!$E$2:$E$2001,MATCH($C9,'Azure Resource Map'!$A$2:$A$2001,0)),"")</f>
        <v/>
      </c>
      <c r="X9" s="39" t="str">
        <f aca="false">IFERROR(INDEX('Azure Resource Map'!$F$2:$F$2001,MATCH($C9,'Azure Resource Map'!$A$2:$A$2001,0)),"")</f>
        <v/>
      </c>
      <c r="Y9" s="39" t="str">
        <f aca="false">IF($C9="","",IF(ISNUMBER(MATCH($C9,'CA Exclusion Map'!$A$2:$A$2001,0)),"Yes","No"))</f>
        <v/>
      </c>
      <c r="Z9" s="39" t="str">
        <f aca="false">IFERROR(INDEX('CA Exclusion Map'!$D$2:$D$2001,MATCH($C9,'CA Exclusion Map'!$A$2:$A$2001,0)),"")</f>
        <v/>
      </c>
      <c r="AA9" s="40" t="str">
        <f aca="false">IFERROR(INDEX('CA Exclusion Map'!$E$2:$E$2001,MATCH($C9,'CA Exclusion Map'!$A$2:$A$2001,0)),"")</f>
        <v/>
      </c>
      <c r="AB9" s="40" t="str">
        <f aca="false">IFERROR(INDEX('CA Exclusion Map'!$F$2:$F$2001,MATCH($C9,'CA Exclusion Map'!$A$2:$A$2001,0)),"")</f>
        <v/>
      </c>
      <c r="AC9" s="36"/>
      <c r="AD9" s="37"/>
      <c r="AE9" s="38"/>
      <c r="AF9" s="38"/>
      <c r="AG9" s="39" t="str">
        <f aca="true">IF(Y9="","",IF(Y9&lt;&gt;"Yes","N/A",IF(AF9="","NO EXPIRY SET",IF(TODAY()&gt;AF9,"EXPIRED",IF(AF9-TODAY()&lt;=30,"Expiring Soon","Active")))))</f>
        <v/>
      </c>
      <c r="AH9" s="36"/>
      <c r="AI9" s="36"/>
      <c r="AJ9" s="37"/>
      <c r="AK9" s="36"/>
      <c r="AL9" s="37"/>
      <c r="AM9" s="37"/>
      <c r="AN9" s="37"/>
      <c r="AO9" s="37"/>
      <c r="AP9" s="38"/>
      <c r="AQ9" s="37"/>
      <c r="AR9" s="37"/>
      <c r="AS9" s="41" t="str">
        <f aca="false">IF(AP9="","",AP9+90)</f>
        <v/>
      </c>
      <c r="AT9" s="39" t="str">
        <f aca="true">IF(C9="","",IF(AP9="","NOT REVIEWED",IF(TODAY()&gt;AS9,"OVERDUE",IF(AS9-TODAY()&lt;=14,"Due Soon","Current"))))</f>
        <v/>
      </c>
      <c r="AU9" s="36"/>
    </row>
    <row r="10" customFormat="false" ht="15" hidden="false" customHeight="false" outlineLevel="0" collapsed="false">
      <c r="A10" s="36"/>
      <c r="B10" s="36"/>
      <c r="C10" s="36"/>
      <c r="D10" s="37"/>
      <c r="E10" s="37"/>
      <c r="F10" s="37"/>
      <c r="G10" s="38"/>
      <c r="H10" s="38"/>
      <c r="I10" s="36"/>
      <c r="J10" s="38"/>
      <c r="K10" s="37"/>
      <c r="L10" s="36"/>
      <c r="M10" s="37"/>
      <c r="N10" s="37"/>
      <c r="O10" s="37"/>
      <c r="P10" s="37"/>
      <c r="Q10" s="36"/>
      <c r="R10" s="39" t="str">
        <f aca="true">IF(H10="","",TODAY()-H10)</f>
        <v/>
      </c>
      <c r="S10" s="39" t="str">
        <f aca="true">IF(J10="","",J10-TODAY())</f>
        <v/>
      </c>
      <c r="T10" s="37"/>
      <c r="U10" s="37"/>
      <c r="V10" s="40" t="str">
        <f aca="false">IFERROR(INDEX('Azure Resource Map'!$D$2:$D$2001,MATCH($C10,'Azure Resource Map'!$A$2:$A$2001,0)),"")</f>
        <v/>
      </c>
      <c r="W10" s="39" t="str">
        <f aca="false">IFERROR(INDEX('Azure Resource Map'!$E$2:$E$2001,MATCH($C10,'Azure Resource Map'!$A$2:$A$2001,0)),"")</f>
        <v/>
      </c>
      <c r="X10" s="39" t="str">
        <f aca="false">IFERROR(INDEX('Azure Resource Map'!$F$2:$F$2001,MATCH($C10,'Azure Resource Map'!$A$2:$A$2001,0)),"")</f>
        <v/>
      </c>
      <c r="Y10" s="39" t="str">
        <f aca="false">IF($C10="","",IF(ISNUMBER(MATCH($C10,'CA Exclusion Map'!$A$2:$A$2001,0)),"Yes","No"))</f>
        <v/>
      </c>
      <c r="Z10" s="39" t="str">
        <f aca="false">IFERROR(INDEX('CA Exclusion Map'!$D$2:$D$2001,MATCH($C10,'CA Exclusion Map'!$A$2:$A$2001,0)),"")</f>
        <v/>
      </c>
      <c r="AA10" s="40" t="str">
        <f aca="false">IFERROR(INDEX('CA Exclusion Map'!$E$2:$E$2001,MATCH($C10,'CA Exclusion Map'!$A$2:$A$2001,0)),"")</f>
        <v/>
      </c>
      <c r="AB10" s="40" t="str">
        <f aca="false">IFERROR(INDEX('CA Exclusion Map'!$F$2:$F$2001,MATCH($C10,'CA Exclusion Map'!$A$2:$A$2001,0)),"")</f>
        <v/>
      </c>
      <c r="AC10" s="36"/>
      <c r="AD10" s="37"/>
      <c r="AE10" s="38"/>
      <c r="AF10" s="38"/>
      <c r="AG10" s="39" t="str">
        <f aca="true">IF(Y10="","",IF(Y10&lt;&gt;"Yes","N/A",IF(AF10="","NO EXPIRY SET",IF(TODAY()&gt;AF10,"EXPIRED",IF(AF10-TODAY()&lt;=30,"Expiring Soon","Active")))))</f>
        <v/>
      </c>
      <c r="AH10" s="36"/>
      <c r="AI10" s="36"/>
      <c r="AJ10" s="37"/>
      <c r="AK10" s="36"/>
      <c r="AL10" s="37"/>
      <c r="AM10" s="37"/>
      <c r="AN10" s="37"/>
      <c r="AO10" s="37"/>
      <c r="AP10" s="38"/>
      <c r="AQ10" s="37"/>
      <c r="AR10" s="37"/>
      <c r="AS10" s="41" t="str">
        <f aca="false">IF(AP10="","",AP10+90)</f>
        <v/>
      </c>
      <c r="AT10" s="39" t="str">
        <f aca="true">IF(C10="","",IF(AP10="","NOT REVIEWED",IF(TODAY()&gt;AS10,"OVERDUE",IF(AS10-TODAY()&lt;=14,"Due Soon","Current"))))</f>
        <v/>
      </c>
      <c r="AU10" s="36"/>
    </row>
    <row r="11" customFormat="false" ht="15" hidden="false" customHeight="false" outlineLevel="0" collapsed="false">
      <c r="A11" s="36"/>
      <c r="B11" s="36"/>
      <c r="C11" s="36"/>
      <c r="D11" s="37"/>
      <c r="E11" s="37"/>
      <c r="F11" s="37"/>
      <c r="G11" s="38"/>
      <c r="H11" s="38"/>
      <c r="I11" s="36"/>
      <c r="J11" s="38"/>
      <c r="K11" s="37"/>
      <c r="L11" s="36"/>
      <c r="M11" s="37"/>
      <c r="N11" s="37"/>
      <c r="O11" s="37"/>
      <c r="P11" s="37"/>
      <c r="Q11" s="36"/>
      <c r="R11" s="39" t="str">
        <f aca="true">IF(H11="","",TODAY()-H11)</f>
        <v/>
      </c>
      <c r="S11" s="39" t="str">
        <f aca="true">IF(J11="","",J11-TODAY())</f>
        <v/>
      </c>
      <c r="T11" s="37"/>
      <c r="U11" s="37"/>
      <c r="V11" s="40" t="str">
        <f aca="false">IFERROR(INDEX('Azure Resource Map'!$D$2:$D$2001,MATCH($C11,'Azure Resource Map'!$A$2:$A$2001,0)),"")</f>
        <v/>
      </c>
      <c r="W11" s="39" t="str">
        <f aca="false">IFERROR(INDEX('Azure Resource Map'!$E$2:$E$2001,MATCH($C11,'Azure Resource Map'!$A$2:$A$2001,0)),"")</f>
        <v/>
      </c>
      <c r="X11" s="39" t="str">
        <f aca="false">IFERROR(INDEX('Azure Resource Map'!$F$2:$F$2001,MATCH($C11,'Azure Resource Map'!$A$2:$A$2001,0)),"")</f>
        <v/>
      </c>
      <c r="Y11" s="39" t="str">
        <f aca="false">IF($C11="","",IF(ISNUMBER(MATCH($C11,'CA Exclusion Map'!$A$2:$A$2001,0)),"Yes","No"))</f>
        <v/>
      </c>
      <c r="Z11" s="39" t="str">
        <f aca="false">IFERROR(INDEX('CA Exclusion Map'!$D$2:$D$2001,MATCH($C11,'CA Exclusion Map'!$A$2:$A$2001,0)),"")</f>
        <v/>
      </c>
      <c r="AA11" s="40" t="str">
        <f aca="false">IFERROR(INDEX('CA Exclusion Map'!$E$2:$E$2001,MATCH($C11,'CA Exclusion Map'!$A$2:$A$2001,0)),"")</f>
        <v/>
      </c>
      <c r="AB11" s="40" t="str">
        <f aca="false">IFERROR(INDEX('CA Exclusion Map'!$F$2:$F$2001,MATCH($C11,'CA Exclusion Map'!$A$2:$A$2001,0)),"")</f>
        <v/>
      </c>
      <c r="AC11" s="36"/>
      <c r="AD11" s="37"/>
      <c r="AE11" s="38"/>
      <c r="AF11" s="38"/>
      <c r="AG11" s="39" t="str">
        <f aca="true">IF(Y11="","",IF(Y11&lt;&gt;"Yes","N/A",IF(AF11="","NO EXPIRY SET",IF(TODAY()&gt;AF11,"EXPIRED",IF(AF11-TODAY()&lt;=30,"Expiring Soon","Active")))))</f>
        <v/>
      </c>
      <c r="AH11" s="36"/>
      <c r="AI11" s="36"/>
      <c r="AJ11" s="37"/>
      <c r="AK11" s="36"/>
      <c r="AL11" s="37"/>
      <c r="AM11" s="37"/>
      <c r="AN11" s="37"/>
      <c r="AO11" s="37"/>
      <c r="AP11" s="38"/>
      <c r="AQ11" s="37"/>
      <c r="AR11" s="37"/>
      <c r="AS11" s="41" t="str">
        <f aca="false">IF(AP11="","",AP11+90)</f>
        <v/>
      </c>
      <c r="AT11" s="39" t="str">
        <f aca="true">IF(C11="","",IF(AP11="","NOT REVIEWED",IF(TODAY()&gt;AS11,"OVERDUE",IF(AS11-TODAY()&lt;=14,"Due Soon","Current"))))</f>
        <v/>
      </c>
      <c r="AU11" s="36"/>
    </row>
    <row r="12" customFormat="false" ht="15" hidden="false" customHeight="false" outlineLevel="0" collapsed="false">
      <c r="A12" s="36"/>
      <c r="B12" s="36"/>
      <c r="C12" s="36"/>
      <c r="D12" s="37"/>
      <c r="E12" s="37"/>
      <c r="F12" s="37"/>
      <c r="G12" s="38"/>
      <c r="H12" s="38"/>
      <c r="I12" s="36"/>
      <c r="J12" s="38"/>
      <c r="K12" s="37"/>
      <c r="L12" s="36"/>
      <c r="M12" s="37"/>
      <c r="N12" s="37"/>
      <c r="O12" s="37"/>
      <c r="P12" s="37"/>
      <c r="Q12" s="36"/>
      <c r="R12" s="39" t="str">
        <f aca="true">IF(H12="","",TODAY()-H12)</f>
        <v/>
      </c>
      <c r="S12" s="39" t="str">
        <f aca="true">IF(J12="","",J12-TODAY())</f>
        <v/>
      </c>
      <c r="T12" s="37"/>
      <c r="U12" s="37"/>
      <c r="V12" s="40" t="str">
        <f aca="false">IFERROR(INDEX('Azure Resource Map'!$D$2:$D$2001,MATCH($C12,'Azure Resource Map'!$A$2:$A$2001,0)),"")</f>
        <v/>
      </c>
      <c r="W12" s="39" t="str">
        <f aca="false">IFERROR(INDEX('Azure Resource Map'!$E$2:$E$2001,MATCH($C12,'Azure Resource Map'!$A$2:$A$2001,0)),"")</f>
        <v/>
      </c>
      <c r="X12" s="39" t="str">
        <f aca="false">IFERROR(INDEX('Azure Resource Map'!$F$2:$F$2001,MATCH($C12,'Azure Resource Map'!$A$2:$A$2001,0)),"")</f>
        <v/>
      </c>
      <c r="Y12" s="39" t="str">
        <f aca="false">IF($C12="","",IF(ISNUMBER(MATCH($C12,'CA Exclusion Map'!$A$2:$A$2001,0)),"Yes","No"))</f>
        <v/>
      </c>
      <c r="Z12" s="39" t="str">
        <f aca="false">IFERROR(INDEX('CA Exclusion Map'!$D$2:$D$2001,MATCH($C12,'CA Exclusion Map'!$A$2:$A$2001,0)),"")</f>
        <v/>
      </c>
      <c r="AA12" s="40" t="str">
        <f aca="false">IFERROR(INDEX('CA Exclusion Map'!$E$2:$E$2001,MATCH($C12,'CA Exclusion Map'!$A$2:$A$2001,0)),"")</f>
        <v/>
      </c>
      <c r="AB12" s="40" t="str">
        <f aca="false">IFERROR(INDEX('CA Exclusion Map'!$F$2:$F$2001,MATCH($C12,'CA Exclusion Map'!$A$2:$A$2001,0)),"")</f>
        <v/>
      </c>
      <c r="AC12" s="36"/>
      <c r="AD12" s="37"/>
      <c r="AE12" s="38"/>
      <c r="AF12" s="38"/>
      <c r="AG12" s="39" t="str">
        <f aca="true">IF(Y12="","",IF(Y12&lt;&gt;"Yes","N/A",IF(AF12="","NO EXPIRY SET",IF(TODAY()&gt;AF12,"EXPIRED",IF(AF12-TODAY()&lt;=30,"Expiring Soon","Active")))))</f>
        <v/>
      </c>
      <c r="AH12" s="36"/>
      <c r="AI12" s="36"/>
      <c r="AJ12" s="37"/>
      <c r="AK12" s="36"/>
      <c r="AL12" s="37"/>
      <c r="AM12" s="37"/>
      <c r="AN12" s="37"/>
      <c r="AO12" s="37"/>
      <c r="AP12" s="38"/>
      <c r="AQ12" s="37"/>
      <c r="AR12" s="37"/>
      <c r="AS12" s="41" t="str">
        <f aca="false">IF(AP12="","",AP12+90)</f>
        <v/>
      </c>
      <c r="AT12" s="39" t="str">
        <f aca="true">IF(C12="","",IF(AP12="","NOT REVIEWED",IF(TODAY()&gt;AS12,"OVERDUE",IF(AS12-TODAY()&lt;=14,"Due Soon","Current"))))</f>
        <v/>
      </c>
      <c r="AU12" s="36"/>
    </row>
    <row r="13" customFormat="false" ht="15" hidden="false" customHeight="false" outlineLevel="0" collapsed="false">
      <c r="A13" s="36"/>
      <c r="B13" s="36"/>
      <c r="C13" s="36"/>
      <c r="D13" s="37"/>
      <c r="E13" s="37"/>
      <c r="F13" s="37"/>
      <c r="G13" s="38"/>
      <c r="H13" s="38"/>
      <c r="I13" s="36"/>
      <c r="J13" s="38"/>
      <c r="K13" s="37"/>
      <c r="L13" s="36"/>
      <c r="M13" s="37"/>
      <c r="N13" s="37"/>
      <c r="O13" s="37"/>
      <c r="P13" s="37"/>
      <c r="Q13" s="36"/>
      <c r="R13" s="39" t="str">
        <f aca="true">IF(H13="","",TODAY()-H13)</f>
        <v/>
      </c>
      <c r="S13" s="39" t="str">
        <f aca="true">IF(J13="","",J13-TODAY())</f>
        <v/>
      </c>
      <c r="T13" s="37"/>
      <c r="U13" s="37"/>
      <c r="V13" s="40" t="str">
        <f aca="false">IFERROR(INDEX('Azure Resource Map'!$D$2:$D$2001,MATCH($C13,'Azure Resource Map'!$A$2:$A$2001,0)),"")</f>
        <v/>
      </c>
      <c r="W13" s="39" t="str">
        <f aca="false">IFERROR(INDEX('Azure Resource Map'!$E$2:$E$2001,MATCH($C13,'Azure Resource Map'!$A$2:$A$2001,0)),"")</f>
        <v/>
      </c>
      <c r="X13" s="39" t="str">
        <f aca="false">IFERROR(INDEX('Azure Resource Map'!$F$2:$F$2001,MATCH($C13,'Azure Resource Map'!$A$2:$A$2001,0)),"")</f>
        <v/>
      </c>
      <c r="Y13" s="39" t="str">
        <f aca="false">IF($C13="","",IF(ISNUMBER(MATCH($C13,'CA Exclusion Map'!$A$2:$A$2001,0)),"Yes","No"))</f>
        <v/>
      </c>
      <c r="Z13" s="39" t="str">
        <f aca="false">IFERROR(INDEX('CA Exclusion Map'!$D$2:$D$2001,MATCH($C13,'CA Exclusion Map'!$A$2:$A$2001,0)),"")</f>
        <v/>
      </c>
      <c r="AA13" s="40" t="str">
        <f aca="false">IFERROR(INDEX('CA Exclusion Map'!$E$2:$E$2001,MATCH($C13,'CA Exclusion Map'!$A$2:$A$2001,0)),"")</f>
        <v/>
      </c>
      <c r="AB13" s="40" t="str">
        <f aca="false">IFERROR(INDEX('CA Exclusion Map'!$F$2:$F$2001,MATCH($C13,'CA Exclusion Map'!$A$2:$A$2001,0)),"")</f>
        <v/>
      </c>
      <c r="AC13" s="36"/>
      <c r="AD13" s="37"/>
      <c r="AE13" s="38"/>
      <c r="AF13" s="38"/>
      <c r="AG13" s="39" t="str">
        <f aca="true">IF(Y13="","",IF(Y13&lt;&gt;"Yes","N/A",IF(AF13="","NO EXPIRY SET",IF(TODAY()&gt;AF13,"EXPIRED",IF(AF13-TODAY()&lt;=30,"Expiring Soon","Active")))))</f>
        <v/>
      </c>
      <c r="AH13" s="36"/>
      <c r="AI13" s="36"/>
      <c r="AJ13" s="37"/>
      <c r="AK13" s="36"/>
      <c r="AL13" s="37"/>
      <c r="AM13" s="37"/>
      <c r="AN13" s="37"/>
      <c r="AO13" s="37"/>
      <c r="AP13" s="38"/>
      <c r="AQ13" s="37"/>
      <c r="AR13" s="37"/>
      <c r="AS13" s="41" t="str">
        <f aca="false">IF(AP13="","",AP13+90)</f>
        <v/>
      </c>
      <c r="AT13" s="39" t="str">
        <f aca="true">IF(C13="","",IF(AP13="","NOT REVIEWED",IF(TODAY()&gt;AS13,"OVERDUE",IF(AS13-TODAY()&lt;=14,"Due Soon","Current"))))</f>
        <v/>
      </c>
      <c r="AU13" s="36"/>
    </row>
    <row r="14" customFormat="false" ht="15" hidden="false" customHeight="false" outlineLevel="0" collapsed="false">
      <c r="A14" s="36"/>
      <c r="B14" s="36"/>
      <c r="C14" s="36"/>
      <c r="D14" s="37"/>
      <c r="E14" s="37"/>
      <c r="F14" s="37"/>
      <c r="G14" s="38"/>
      <c r="H14" s="38"/>
      <c r="I14" s="36"/>
      <c r="J14" s="38"/>
      <c r="K14" s="37"/>
      <c r="L14" s="36"/>
      <c r="M14" s="37"/>
      <c r="N14" s="37"/>
      <c r="O14" s="37"/>
      <c r="P14" s="37"/>
      <c r="Q14" s="36"/>
      <c r="R14" s="39" t="str">
        <f aca="true">IF(H14="","",TODAY()-H14)</f>
        <v/>
      </c>
      <c r="S14" s="39" t="str">
        <f aca="true">IF(J14="","",J14-TODAY())</f>
        <v/>
      </c>
      <c r="T14" s="37"/>
      <c r="U14" s="37"/>
      <c r="V14" s="40" t="str">
        <f aca="false">IFERROR(INDEX('Azure Resource Map'!$D$2:$D$2001,MATCH($C14,'Azure Resource Map'!$A$2:$A$2001,0)),"")</f>
        <v/>
      </c>
      <c r="W14" s="39" t="str">
        <f aca="false">IFERROR(INDEX('Azure Resource Map'!$E$2:$E$2001,MATCH($C14,'Azure Resource Map'!$A$2:$A$2001,0)),"")</f>
        <v/>
      </c>
      <c r="X14" s="39" t="str">
        <f aca="false">IFERROR(INDEX('Azure Resource Map'!$F$2:$F$2001,MATCH($C14,'Azure Resource Map'!$A$2:$A$2001,0)),"")</f>
        <v/>
      </c>
      <c r="Y14" s="39" t="str">
        <f aca="false">IF($C14="","",IF(ISNUMBER(MATCH($C14,'CA Exclusion Map'!$A$2:$A$2001,0)),"Yes","No"))</f>
        <v/>
      </c>
      <c r="Z14" s="39" t="str">
        <f aca="false">IFERROR(INDEX('CA Exclusion Map'!$D$2:$D$2001,MATCH($C14,'CA Exclusion Map'!$A$2:$A$2001,0)),"")</f>
        <v/>
      </c>
      <c r="AA14" s="40" t="str">
        <f aca="false">IFERROR(INDEX('CA Exclusion Map'!$E$2:$E$2001,MATCH($C14,'CA Exclusion Map'!$A$2:$A$2001,0)),"")</f>
        <v/>
      </c>
      <c r="AB14" s="40" t="str">
        <f aca="false">IFERROR(INDEX('CA Exclusion Map'!$F$2:$F$2001,MATCH($C14,'CA Exclusion Map'!$A$2:$A$2001,0)),"")</f>
        <v/>
      </c>
      <c r="AC14" s="36"/>
      <c r="AD14" s="37"/>
      <c r="AE14" s="38"/>
      <c r="AF14" s="38"/>
      <c r="AG14" s="39" t="str">
        <f aca="true">IF(Y14="","",IF(Y14&lt;&gt;"Yes","N/A",IF(AF14="","NO EXPIRY SET",IF(TODAY()&gt;AF14,"EXPIRED",IF(AF14-TODAY()&lt;=30,"Expiring Soon","Active")))))</f>
        <v/>
      </c>
      <c r="AH14" s="36"/>
      <c r="AI14" s="36"/>
      <c r="AJ14" s="37"/>
      <c r="AK14" s="36"/>
      <c r="AL14" s="37"/>
      <c r="AM14" s="37"/>
      <c r="AN14" s="37"/>
      <c r="AO14" s="37"/>
      <c r="AP14" s="38"/>
      <c r="AQ14" s="37"/>
      <c r="AR14" s="37"/>
      <c r="AS14" s="41" t="str">
        <f aca="false">IF(AP14="","",AP14+90)</f>
        <v/>
      </c>
      <c r="AT14" s="39" t="str">
        <f aca="true">IF(C14="","",IF(AP14="","NOT REVIEWED",IF(TODAY()&gt;AS14,"OVERDUE",IF(AS14-TODAY()&lt;=14,"Due Soon","Current"))))</f>
        <v/>
      </c>
      <c r="AU14" s="36"/>
    </row>
    <row r="15" customFormat="false" ht="15" hidden="false" customHeight="false" outlineLevel="0" collapsed="false">
      <c r="A15" s="36"/>
      <c r="B15" s="36"/>
      <c r="C15" s="36"/>
      <c r="D15" s="37"/>
      <c r="E15" s="37"/>
      <c r="F15" s="37"/>
      <c r="G15" s="38"/>
      <c r="H15" s="38"/>
      <c r="I15" s="36"/>
      <c r="J15" s="38"/>
      <c r="K15" s="37"/>
      <c r="L15" s="36"/>
      <c r="M15" s="37"/>
      <c r="N15" s="37"/>
      <c r="O15" s="37"/>
      <c r="P15" s="37"/>
      <c r="Q15" s="36"/>
      <c r="R15" s="39" t="str">
        <f aca="true">IF(H15="","",TODAY()-H15)</f>
        <v/>
      </c>
      <c r="S15" s="39" t="str">
        <f aca="true">IF(J15="","",J15-TODAY())</f>
        <v/>
      </c>
      <c r="T15" s="37"/>
      <c r="U15" s="37"/>
      <c r="V15" s="40" t="str">
        <f aca="false">IFERROR(INDEX('Azure Resource Map'!$D$2:$D$2001,MATCH($C15,'Azure Resource Map'!$A$2:$A$2001,0)),"")</f>
        <v/>
      </c>
      <c r="W15" s="39" t="str">
        <f aca="false">IFERROR(INDEX('Azure Resource Map'!$E$2:$E$2001,MATCH($C15,'Azure Resource Map'!$A$2:$A$2001,0)),"")</f>
        <v/>
      </c>
      <c r="X15" s="39" t="str">
        <f aca="false">IFERROR(INDEX('Azure Resource Map'!$F$2:$F$2001,MATCH($C15,'Azure Resource Map'!$A$2:$A$2001,0)),"")</f>
        <v/>
      </c>
      <c r="Y15" s="39" t="str">
        <f aca="false">IF($C15="","",IF(ISNUMBER(MATCH($C15,'CA Exclusion Map'!$A$2:$A$2001,0)),"Yes","No"))</f>
        <v/>
      </c>
      <c r="Z15" s="39" t="str">
        <f aca="false">IFERROR(INDEX('CA Exclusion Map'!$D$2:$D$2001,MATCH($C15,'CA Exclusion Map'!$A$2:$A$2001,0)),"")</f>
        <v/>
      </c>
      <c r="AA15" s="40" t="str">
        <f aca="false">IFERROR(INDEX('CA Exclusion Map'!$E$2:$E$2001,MATCH($C15,'CA Exclusion Map'!$A$2:$A$2001,0)),"")</f>
        <v/>
      </c>
      <c r="AB15" s="40" t="str">
        <f aca="false">IFERROR(INDEX('CA Exclusion Map'!$F$2:$F$2001,MATCH($C15,'CA Exclusion Map'!$A$2:$A$2001,0)),"")</f>
        <v/>
      </c>
      <c r="AC15" s="36"/>
      <c r="AD15" s="37"/>
      <c r="AE15" s="38"/>
      <c r="AF15" s="38"/>
      <c r="AG15" s="39" t="str">
        <f aca="true">IF(Y15="","",IF(Y15&lt;&gt;"Yes","N/A",IF(AF15="","NO EXPIRY SET",IF(TODAY()&gt;AF15,"EXPIRED",IF(AF15-TODAY()&lt;=30,"Expiring Soon","Active")))))</f>
        <v/>
      </c>
      <c r="AH15" s="36"/>
      <c r="AI15" s="36"/>
      <c r="AJ15" s="37"/>
      <c r="AK15" s="36"/>
      <c r="AL15" s="37"/>
      <c r="AM15" s="37"/>
      <c r="AN15" s="37"/>
      <c r="AO15" s="37"/>
      <c r="AP15" s="38"/>
      <c r="AQ15" s="37"/>
      <c r="AR15" s="37"/>
      <c r="AS15" s="41" t="str">
        <f aca="false">IF(AP15="","",AP15+90)</f>
        <v/>
      </c>
      <c r="AT15" s="39" t="str">
        <f aca="true">IF(C15="","",IF(AP15="","NOT REVIEWED",IF(TODAY()&gt;AS15,"OVERDUE",IF(AS15-TODAY()&lt;=14,"Due Soon","Current"))))</f>
        <v/>
      </c>
      <c r="AU15" s="36"/>
    </row>
    <row r="16" customFormat="false" ht="15" hidden="false" customHeight="false" outlineLevel="0" collapsed="false">
      <c r="A16" s="36"/>
      <c r="B16" s="36"/>
      <c r="C16" s="36"/>
      <c r="D16" s="37"/>
      <c r="E16" s="37"/>
      <c r="F16" s="37"/>
      <c r="G16" s="38"/>
      <c r="H16" s="38"/>
      <c r="I16" s="36"/>
      <c r="J16" s="38"/>
      <c r="K16" s="37"/>
      <c r="L16" s="36"/>
      <c r="M16" s="37"/>
      <c r="N16" s="37"/>
      <c r="O16" s="37"/>
      <c r="P16" s="37"/>
      <c r="Q16" s="36"/>
      <c r="R16" s="39" t="str">
        <f aca="true">IF(H16="","",TODAY()-H16)</f>
        <v/>
      </c>
      <c r="S16" s="39" t="str">
        <f aca="true">IF(J16="","",J16-TODAY())</f>
        <v/>
      </c>
      <c r="T16" s="37"/>
      <c r="U16" s="37"/>
      <c r="V16" s="40" t="str">
        <f aca="false">IFERROR(INDEX('Azure Resource Map'!$D$2:$D$2001,MATCH($C16,'Azure Resource Map'!$A$2:$A$2001,0)),"")</f>
        <v/>
      </c>
      <c r="W16" s="39" t="str">
        <f aca="false">IFERROR(INDEX('Azure Resource Map'!$E$2:$E$2001,MATCH($C16,'Azure Resource Map'!$A$2:$A$2001,0)),"")</f>
        <v/>
      </c>
      <c r="X16" s="39" t="str">
        <f aca="false">IFERROR(INDEX('Azure Resource Map'!$F$2:$F$2001,MATCH($C16,'Azure Resource Map'!$A$2:$A$2001,0)),"")</f>
        <v/>
      </c>
      <c r="Y16" s="39" t="str">
        <f aca="false">IF($C16="","",IF(ISNUMBER(MATCH($C16,'CA Exclusion Map'!$A$2:$A$2001,0)),"Yes","No"))</f>
        <v/>
      </c>
      <c r="Z16" s="39" t="str">
        <f aca="false">IFERROR(INDEX('CA Exclusion Map'!$D$2:$D$2001,MATCH($C16,'CA Exclusion Map'!$A$2:$A$2001,0)),"")</f>
        <v/>
      </c>
      <c r="AA16" s="40" t="str">
        <f aca="false">IFERROR(INDEX('CA Exclusion Map'!$E$2:$E$2001,MATCH($C16,'CA Exclusion Map'!$A$2:$A$2001,0)),"")</f>
        <v/>
      </c>
      <c r="AB16" s="40" t="str">
        <f aca="false">IFERROR(INDEX('CA Exclusion Map'!$F$2:$F$2001,MATCH($C16,'CA Exclusion Map'!$A$2:$A$2001,0)),"")</f>
        <v/>
      </c>
      <c r="AC16" s="36"/>
      <c r="AD16" s="37"/>
      <c r="AE16" s="38"/>
      <c r="AF16" s="38"/>
      <c r="AG16" s="39" t="str">
        <f aca="true">IF(Y16="","",IF(Y16&lt;&gt;"Yes","N/A",IF(AF16="","NO EXPIRY SET",IF(TODAY()&gt;AF16,"EXPIRED",IF(AF16-TODAY()&lt;=30,"Expiring Soon","Active")))))</f>
        <v/>
      </c>
      <c r="AH16" s="36"/>
      <c r="AI16" s="36"/>
      <c r="AJ16" s="37"/>
      <c r="AK16" s="36"/>
      <c r="AL16" s="37"/>
      <c r="AM16" s="37"/>
      <c r="AN16" s="37"/>
      <c r="AO16" s="37"/>
      <c r="AP16" s="38"/>
      <c r="AQ16" s="37"/>
      <c r="AR16" s="37"/>
      <c r="AS16" s="41" t="str">
        <f aca="false">IF(AP16="","",AP16+90)</f>
        <v/>
      </c>
      <c r="AT16" s="39" t="str">
        <f aca="true">IF(C16="","",IF(AP16="","NOT REVIEWED",IF(TODAY()&gt;AS16,"OVERDUE",IF(AS16-TODAY()&lt;=14,"Due Soon","Current"))))</f>
        <v/>
      </c>
      <c r="AU16" s="36"/>
    </row>
    <row r="17" customFormat="false" ht="15" hidden="false" customHeight="false" outlineLevel="0" collapsed="false">
      <c r="A17" s="36"/>
      <c r="B17" s="36"/>
      <c r="C17" s="36"/>
      <c r="D17" s="37"/>
      <c r="E17" s="37"/>
      <c r="F17" s="37"/>
      <c r="G17" s="38"/>
      <c r="H17" s="38"/>
      <c r="I17" s="36"/>
      <c r="J17" s="38"/>
      <c r="K17" s="37"/>
      <c r="L17" s="36"/>
      <c r="M17" s="37"/>
      <c r="N17" s="37"/>
      <c r="O17" s="37"/>
      <c r="P17" s="37"/>
      <c r="Q17" s="36"/>
      <c r="R17" s="39" t="str">
        <f aca="true">IF(H17="","",TODAY()-H17)</f>
        <v/>
      </c>
      <c r="S17" s="39" t="str">
        <f aca="true">IF(J17="","",J17-TODAY())</f>
        <v/>
      </c>
      <c r="T17" s="37"/>
      <c r="U17" s="37"/>
      <c r="V17" s="40" t="str">
        <f aca="false">IFERROR(INDEX('Azure Resource Map'!$D$2:$D$2001,MATCH($C17,'Azure Resource Map'!$A$2:$A$2001,0)),"")</f>
        <v/>
      </c>
      <c r="W17" s="39" t="str">
        <f aca="false">IFERROR(INDEX('Azure Resource Map'!$E$2:$E$2001,MATCH($C17,'Azure Resource Map'!$A$2:$A$2001,0)),"")</f>
        <v/>
      </c>
      <c r="X17" s="39" t="str">
        <f aca="false">IFERROR(INDEX('Azure Resource Map'!$F$2:$F$2001,MATCH($C17,'Azure Resource Map'!$A$2:$A$2001,0)),"")</f>
        <v/>
      </c>
      <c r="Y17" s="39" t="str">
        <f aca="false">IF($C17="","",IF(ISNUMBER(MATCH($C17,'CA Exclusion Map'!$A$2:$A$2001,0)),"Yes","No"))</f>
        <v/>
      </c>
      <c r="Z17" s="39" t="str">
        <f aca="false">IFERROR(INDEX('CA Exclusion Map'!$D$2:$D$2001,MATCH($C17,'CA Exclusion Map'!$A$2:$A$2001,0)),"")</f>
        <v/>
      </c>
      <c r="AA17" s="40" t="str">
        <f aca="false">IFERROR(INDEX('CA Exclusion Map'!$E$2:$E$2001,MATCH($C17,'CA Exclusion Map'!$A$2:$A$2001,0)),"")</f>
        <v/>
      </c>
      <c r="AB17" s="40" t="str">
        <f aca="false">IFERROR(INDEX('CA Exclusion Map'!$F$2:$F$2001,MATCH($C17,'CA Exclusion Map'!$A$2:$A$2001,0)),"")</f>
        <v/>
      </c>
      <c r="AC17" s="36"/>
      <c r="AD17" s="37"/>
      <c r="AE17" s="38"/>
      <c r="AF17" s="38"/>
      <c r="AG17" s="39" t="str">
        <f aca="true">IF(Y17="","",IF(Y17&lt;&gt;"Yes","N/A",IF(AF17="","NO EXPIRY SET",IF(TODAY()&gt;AF17,"EXPIRED",IF(AF17-TODAY()&lt;=30,"Expiring Soon","Active")))))</f>
        <v/>
      </c>
      <c r="AH17" s="36"/>
      <c r="AI17" s="36"/>
      <c r="AJ17" s="37"/>
      <c r="AK17" s="36"/>
      <c r="AL17" s="37"/>
      <c r="AM17" s="37"/>
      <c r="AN17" s="37"/>
      <c r="AO17" s="37"/>
      <c r="AP17" s="38"/>
      <c r="AQ17" s="37"/>
      <c r="AR17" s="37"/>
      <c r="AS17" s="41" t="str">
        <f aca="false">IF(AP17="","",AP17+90)</f>
        <v/>
      </c>
      <c r="AT17" s="39" t="str">
        <f aca="true">IF(C17="","",IF(AP17="","NOT REVIEWED",IF(TODAY()&gt;AS17,"OVERDUE",IF(AS17-TODAY()&lt;=14,"Due Soon","Current"))))</f>
        <v/>
      </c>
      <c r="AU17" s="36"/>
    </row>
    <row r="18" customFormat="false" ht="15" hidden="false" customHeight="false" outlineLevel="0" collapsed="false">
      <c r="A18" s="36"/>
      <c r="B18" s="36"/>
      <c r="C18" s="36"/>
      <c r="D18" s="37"/>
      <c r="E18" s="37"/>
      <c r="F18" s="37"/>
      <c r="G18" s="38"/>
      <c r="H18" s="38"/>
      <c r="I18" s="36"/>
      <c r="J18" s="38"/>
      <c r="K18" s="37"/>
      <c r="L18" s="36"/>
      <c r="M18" s="37"/>
      <c r="N18" s="37"/>
      <c r="O18" s="37"/>
      <c r="P18" s="37"/>
      <c r="Q18" s="36"/>
      <c r="R18" s="39" t="str">
        <f aca="true">IF(H18="","",TODAY()-H18)</f>
        <v/>
      </c>
      <c r="S18" s="39" t="str">
        <f aca="true">IF(J18="","",J18-TODAY())</f>
        <v/>
      </c>
      <c r="T18" s="37"/>
      <c r="U18" s="37"/>
      <c r="V18" s="40" t="str">
        <f aca="false">IFERROR(INDEX('Azure Resource Map'!$D$2:$D$2001,MATCH($C18,'Azure Resource Map'!$A$2:$A$2001,0)),"")</f>
        <v/>
      </c>
      <c r="W18" s="39" t="str">
        <f aca="false">IFERROR(INDEX('Azure Resource Map'!$E$2:$E$2001,MATCH($C18,'Azure Resource Map'!$A$2:$A$2001,0)),"")</f>
        <v/>
      </c>
      <c r="X18" s="39" t="str">
        <f aca="false">IFERROR(INDEX('Azure Resource Map'!$F$2:$F$2001,MATCH($C18,'Azure Resource Map'!$A$2:$A$2001,0)),"")</f>
        <v/>
      </c>
      <c r="Y18" s="39" t="str">
        <f aca="false">IF($C18="","",IF(ISNUMBER(MATCH($C18,'CA Exclusion Map'!$A$2:$A$2001,0)),"Yes","No"))</f>
        <v/>
      </c>
      <c r="Z18" s="39" t="str">
        <f aca="false">IFERROR(INDEX('CA Exclusion Map'!$D$2:$D$2001,MATCH($C18,'CA Exclusion Map'!$A$2:$A$2001,0)),"")</f>
        <v/>
      </c>
      <c r="AA18" s="40" t="str">
        <f aca="false">IFERROR(INDEX('CA Exclusion Map'!$E$2:$E$2001,MATCH($C18,'CA Exclusion Map'!$A$2:$A$2001,0)),"")</f>
        <v/>
      </c>
      <c r="AB18" s="40" t="str">
        <f aca="false">IFERROR(INDEX('CA Exclusion Map'!$F$2:$F$2001,MATCH($C18,'CA Exclusion Map'!$A$2:$A$2001,0)),"")</f>
        <v/>
      </c>
      <c r="AC18" s="36"/>
      <c r="AD18" s="37"/>
      <c r="AE18" s="38"/>
      <c r="AF18" s="38"/>
      <c r="AG18" s="39" t="str">
        <f aca="true">IF(Y18="","",IF(Y18&lt;&gt;"Yes","N/A",IF(AF18="","NO EXPIRY SET",IF(TODAY()&gt;AF18,"EXPIRED",IF(AF18-TODAY()&lt;=30,"Expiring Soon","Active")))))</f>
        <v/>
      </c>
      <c r="AH18" s="36"/>
      <c r="AI18" s="36"/>
      <c r="AJ18" s="37"/>
      <c r="AK18" s="36"/>
      <c r="AL18" s="37"/>
      <c r="AM18" s="37"/>
      <c r="AN18" s="37"/>
      <c r="AO18" s="37"/>
      <c r="AP18" s="38"/>
      <c r="AQ18" s="37"/>
      <c r="AR18" s="37"/>
      <c r="AS18" s="41" t="str">
        <f aca="false">IF(AP18="","",AP18+90)</f>
        <v/>
      </c>
      <c r="AT18" s="39" t="str">
        <f aca="true">IF(C18="","",IF(AP18="","NOT REVIEWED",IF(TODAY()&gt;AS18,"OVERDUE",IF(AS18-TODAY()&lt;=14,"Due Soon","Current"))))</f>
        <v/>
      </c>
      <c r="AU18" s="36"/>
    </row>
    <row r="19" customFormat="false" ht="15" hidden="false" customHeight="false" outlineLevel="0" collapsed="false">
      <c r="A19" s="36"/>
      <c r="B19" s="36"/>
      <c r="C19" s="36"/>
      <c r="D19" s="37"/>
      <c r="E19" s="37"/>
      <c r="F19" s="37"/>
      <c r="G19" s="38"/>
      <c r="H19" s="38"/>
      <c r="I19" s="36"/>
      <c r="J19" s="38"/>
      <c r="K19" s="37"/>
      <c r="L19" s="36"/>
      <c r="M19" s="37"/>
      <c r="N19" s="37"/>
      <c r="O19" s="37"/>
      <c r="P19" s="37"/>
      <c r="Q19" s="36"/>
      <c r="R19" s="39" t="str">
        <f aca="true">IF(H19="","",TODAY()-H19)</f>
        <v/>
      </c>
      <c r="S19" s="39" t="str">
        <f aca="true">IF(J19="","",J19-TODAY())</f>
        <v/>
      </c>
      <c r="T19" s="37"/>
      <c r="U19" s="37"/>
      <c r="V19" s="40" t="str">
        <f aca="false">IFERROR(INDEX('Azure Resource Map'!$D$2:$D$2001,MATCH($C19,'Azure Resource Map'!$A$2:$A$2001,0)),"")</f>
        <v/>
      </c>
      <c r="W19" s="39" t="str">
        <f aca="false">IFERROR(INDEX('Azure Resource Map'!$E$2:$E$2001,MATCH($C19,'Azure Resource Map'!$A$2:$A$2001,0)),"")</f>
        <v/>
      </c>
      <c r="X19" s="39" t="str">
        <f aca="false">IFERROR(INDEX('Azure Resource Map'!$F$2:$F$2001,MATCH($C19,'Azure Resource Map'!$A$2:$A$2001,0)),"")</f>
        <v/>
      </c>
      <c r="Y19" s="39" t="str">
        <f aca="false">IF($C19="","",IF(ISNUMBER(MATCH($C19,'CA Exclusion Map'!$A$2:$A$2001,0)),"Yes","No"))</f>
        <v/>
      </c>
      <c r="Z19" s="39" t="str">
        <f aca="false">IFERROR(INDEX('CA Exclusion Map'!$D$2:$D$2001,MATCH($C19,'CA Exclusion Map'!$A$2:$A$2001,0)),"")</f>
        <v/>
      </c>
      <c r="AA19" s="40" t="str">
        <f aca="false">IFERROR(INDEX('CA Exclusion Map'!$E$2:$E$2001,MATCH($C19,'CA Exclusion Map'!$A$2:$A$2001,0)),"")</f>
        <v/>
      </c>
      <c r="AB19" s="40" t="str">
        <f aca="false">IFERROR(INDEX('CA Exclusion Map'!$F$2:$F$2001,MATCH($C19,'CA Exclusion Map'!$A$2:$A$2001,0)),"")</f>
        <v/>
      </c>
      <c r="AC19" s="36"/>
      <c r="AD19" s="37"/>
      <c r="AE19" s="38"/>
      <c r="AF19" s="38"/>
      <c r="AG19" s="39" t="str">
        <f aca="true">IF(Y19="","",IF(Y19&lt;&gt;"Yes","N/A",IF(AF19="","NO EXPIRY SET",IF(TODAY()&gt;AF19,"EXPIRED",IF(AF19-TODAY()&lt;=30,"Expiring Soon","Active")))))</f>
        <v/>
      </c>
      <c r="AH19" s="36"/>
      <c r="AI19" s="36"/>
      <c r="AJ19" s="37"/>
      <c r="AK19" s="36"/>
      <c r="AL19" s="37"/>
      <c r="AM19" s="37"/>
      <c r="AN19" s="37"/>
      <c r="AO19" s="37"/>
      <c r="AP19" s="38"/>
      <c r="AQ19" s="37"/>
      <c r="AR19" s="37"/>
      <c r="AS19" s="41" t="str">
        <f aca="false">IF(AP19="","",AP19+90)</f>
        <v/>
      </c>
      <c r="AT19" s="39" t="str">
        <f aca="true">IF(C19="","",IF(AP19="","NOT REVIEWED",IF(TODAY()&gt;AS19,"OVERDUE",IF(AS19-TODAY()&lt;=14,"Due Soon","Current"))))</f>
        <v/>
      </c>
      <c r="AU19" s="36"/>
    </row>
    <row r="20" customFormat="false" ht="15" hidden="false" customHeight="false" outlineLevel="0" collapsed="false">
      <c r="A20" s="36"/>
      <c r="B20" s="36"/>
      <c r="C20" s="36"/>
      <c r="D20" s="37"/>
      <c r="E20" s="37"/>
      <c r="F20" s="37"/>
      <c r="G20" s="38"/>
      <c r="H20" s="38"/>
      <c r="I20" s="36"/>
      <c r="J20" s="38"/>
      <c r="K20" s="37"/>
      <c r="L20" s="36"/>
      <c r="M20" s="37"/>
      <c r="N20" s="37"/>
      <c r="O20" s="37"/>
      <c r="P20" s="37"/>
      <c r="Q20" s="36"/>
      <c r="R20" s="39" t="str">
        <f aca="true">IF(H20="","",TODAY()-H20)</f>
        <v/>
      </c>
      <c r="S20" s="39" t="str">
        <f aca="true">IF(J20="","",J20-TODAY())</f>
        <v/>
      </c>
      <c r="T20" s="37"/>
      <c r="U20" s="37"/>
      <c r="V20" s="40" t="str">
        <f aca="false">IFERROR(INDEX('Azure Resource Map'!$D$2:$D$2001,MATCH($C20,'Azure Resource Map'!$A$2:$A$2001,0)),"")</f>
        <v/>
      </c>
      <c r="W20" s="39" t="str">
        <f aca="false">IFERROR(INDEX('Azure Resource Map'!$E$2:$E$2001,MATCH($C20,'Azure Resource Map'!$A$2:$A$2001,0)),"")</f>
        <v/>
      </c>
      <c r="X20" s="39" t="str">
        <f aca="false">IFERROR(INDEX('Azure Resource Map'!$F$2:$F$2001,MATCH($C20,'Azure Resource Map'!$A$2:$A$2001,0)),"")</f>
        <v/>
      </c>
      <c r="Y20" s="39" t="str">
        <f aca="false">IF($C20="","",IF(ISNUMBER(MATCH($C20,'CA Exclusion Map'!$A$2:$A$2001,0)),"Yes","No"))</f>
        <v/>
      </c>
      <c r="Z20" s="39" t="str">
        <f aca="false">IFERROR(INDEX('CA Exclusion Map'!$D$2:$D$2001,MATCH($C20,'CA Exclusion Map'!$A$2:$A$2001,0)),"")</f>
        <v/>
      </c>
      <c r="AA20" s="40" t="str">
        <f aca="false">IFERROR(INDEX('CA Exclusion Map'!$E$2:$E$2001,MATCH($C20,'CA Exclusion Map'!$A$2:$A$2001,0)),"")</f>
        <v/>
      </c>
      <c r="AB20" s="40" t="str">
        <f aca="false">IFERROR(INDEX('CA Exclusion Map'!$F$2:$F$2001,MATCH($C20,'CA Exclusion Map'!$A$2:$A$2001,0)),"")</f>
        <v/>
      </c>
      <c r="AC20" s="36"/>
      <c r="AD20" s="37"/>
      <c r="AE20" s="38"/>
      <c r="AF20" s="38"/>
      <c r="AG20" s="39" t="str">
        <f aca="true">IF(Y20="","",IF(Y20&lt;&gt;"Yes","N/A",IF(AF20="","NO EXPIRY SET",IF(TODAY()&gt;AF20,"EXPIRED",IF(AF20-TODAY()&lt;=30,"Expiring Soon","Active")))))</f>
        <v/>
      </c>
      <c r="AH20" s="36"/>
      <c r="AI20" s="36"/>
      <c r="AJ20" s="37"/>
      <c r="AK20" s="36"/>
      <c r="AL20" s="37"/>
      <c r="AM20" s="37"/>
      <c r="AN20" s="37"/>
      <c r="AO20" s="37"/>
      <c r="AP20" s="38"/>
      <c r="AQ20" s="37"/>
      <c r="AR20" s="37"/>
      <c r="AS20" s="41" t="str">
        <f aca="false">IF(AP20="","",AP20+90)</f>
        <v/>
      </c>
      <c r="AT20" s="39" t="str">
        <f aca="true">IF(C20="","",IF(AP20="","NOT REVIEWED",IF(TODAY()&gt;AS20,"OVERDUE",IF(AS20-TODAY()&lt;=14,"Due Soon","Current"))))</f>
        <v/>
      </c>
      <c r="AU20" s="36"/>
    </row>
    <row r="21" customFormat="false" ht="15" hidden="false" customHeight="false" outlineLevel="0" collapsed="false">
      <c r="A21" s="36"/>
      <c r="B21" s="36"/>
      <c r="C21" s="36"/>
      <c r="D21" s="37"/>
      <c r="E21" s="37"/>
      <c r="F21" s="37"/>
      <c r="G21" s="38"/>
      <c r="H21" s="38"/>
      <c r="I21" s="36"/>
      <c r="J21" s="38"/>
      <c r="K21" s="37"/>
      <c r="L21" s="36"/>
      <c r="M21" s="37"/>
      <c r="N21" s="37"/>
      <c r="O21" s="37"/>
      <c r="P21" s="37"/>
      <c r="Q21" s="36"/>
      <c r="R21" s="39" t="str">
        <f aca="true">IF(H21="","",TODAY()-H21)</f>
        <v/>
      </c>
      <c r="S21" s="39" t="str">
        <f aca="true">IF(J21="","",J21-TODAY())</f>
        <v/>
      </c>
      <c r="T21" s="37"/>
      <c r="U21" s="37"/>
      <c r="V21" s="40" t="str">
        <f aca="false">IFERROR(INDEX('Azure Resource Map'!$D$2:$D$2001,MATCH($C21,'Azure Resource Map'!$A$2:$A$2001,0)),"")</f>
        <v/>
      </c>
      <c r="W21" s="39" t="str">
        <f aca="false">IFERROR(INDEX('Azure Resource Map'!$E$2:$E$2001,MATCH($C21,'Azure Resource Map'!$A$2:$A$2001,0)),"")</f>
        <v/>
      </c>
      <c r="X21" s="39" t="str">
        <f aca="false">IFERROR(INDEX('Azure Resource Map'!$F$2:$F$2001,MATCH($C21,'Azure Resource Map'!$A$2:$A$2001,0)),"")</f>
        <v/>
      </c>
      <c r="Y21" s="39" t="str">
        <f aca="false">IF($C21="","",IF(ISNUMBER(MATCH($C21,'CA Exclusion Map'!$A$2:$A$2001,0)),"Yes","No"))</f>
        <v/>
      </c>
      <c r="Z21" s="39" t="str">
        <f aca="false">IFERROR(INDEX('CA Exclusion Map'!$D$2:$D$2001,MATCH($C21,'CA Exclusion Map'!$A$2:$A$2001,0)),"")</f>
        <v/>
      </c>
      <c r="AA21" s="40" t="str">
        <f aca="false">IFERROR(INDEX('CA Exclusion Map'!$E$2:$E$2001,MATCH($C21,'CA Exclusion Map'!$A$2:$A$2001,0)),"")</f>
        <v/>
      </c>
      <c r="AB21" s="40" t="str">
        <f aca="false">IFERROR(INDEX('CA Exclusion Map'!$F$2:$F$2001,MATCH($C21,'CA Exclusion Map'!$A$2:$A$2001,0)),"")</f>
        <v/>
      </c>
      <c r="AC21" s="36"/>
      <c r="AD21" s="37"/>
      <c r="AE21" s="38"/>
      <c r="AF21" s="38"/>
      <c r="AG21" s="39" t="str">
        <f aca="true">IF(Y21="","",IF(Y21&lt;&gt;"Yes","N/A",IF(AF21="","NO EXPIRY SET",IF(TODAY()&gt;AF21,"EXPIRED",IF(AF21-TODAY()&lt;=30,"Expiring Soon","Active")))))</f>
        <v/>
      </c>
      <c r="AH21" s="36"/>
      <c r="AI21" s="36"/>
      <c r="AJ21" s="37"/>
      <c r="AK21" s="36"/>
      <c r="AL21" s="37"/>
      <c r="AM21" s="37"/>
      <c r="AN21" s="37"/>
      <c r="AO21" s="37"/>
      <c r="AP21" s="38"/>
      <c r="AQ21" s="37"/>
      <c r="AR21" s="37"/>
      <c r="AS21" s="41" t="str">
        <f aca="false">IF(AP21="","",AP21+90)</f>
        <v/>
      </c>
      <c r="AT21" s="39" t="str">
        <f aca="true">IF(C21="","",IF(AP21="","NOT REVIEWED",IF(TODAY()&gt;AS21,"OVERDUE",IF(AS21-TODAY()&lt;=14,"Due Soon","Current"))))</f>
        <v/>
      </c>
      <c r="AU21" s="36"/>
    </row>
    <row r="22" customFormat="false" ht="15" hidden="false" customHeight="false" outlineLevel="0" collapsed="false">
      <c r="A22" s="36"/>
      <c r="B22" s="36"/>
      <c r="C22" s="36"/>
      <c r="D22" s="37"/>
      <c r="E22" s="37"/>
      <c r="F22" s="37"/>
      <c r="G22" s="38"/>
      <c r="H22" s="38"/>
      <c r="I22" s="36"/>
      <c r="J22" s="38"/>
      <c r="K22" s="37"/>
      <c r="L22" s="36"/>
      <c r="M22" s="37"/>
      <c r="N22" s="37"/>
      <c r="O22" s="37"/>
      <c r="P22" s="37"/>
      <c r="Q22" s="36"/>
      <c r="R22" s="39" t="str">
        <f aca="true">IF(H22="","",TODAY()-H22)</f>
        <v/>
      </c>
      <c r="S22" s="39" t="str">
        <f aca="true">IF(J22="","",J22-TODAY())</f>
        <v/>
      </c>
      <c r="T22" s="37"/>
      <c r="U22" s="37"/>
      <c r="V22" s="40" t="str">
        <f aca="false">IFERROR(INDEX('Azure Resource Map'!$D$2:$D$2001,MATCH($C22,'Azure Resource Map'!$A$2:$A$2001,0)),"")</f>
        <v/>
      </c>
      <c r="W22" s="39" t="str">
        <f aca="false">IFERROR(INDEX('Azure Resource Map'!$E$2:$E$2001,MATCH($C22,'Azure Resource Map'!$A$2:$A$2001,0)),"")</f>
        <v/>
      </c>
      <c r="X22" s="39" t="str">
        <f aca="false">IFERROR(INDEX('Azure Resource Map'!$F$2:$F$2001,MATCH($C22,'Azure Resource Map'!$A$2:$A$2001,0)),"")</f>
        <v/>
      </c>
      <c r="Y22" s="39" t="str">
        <f aca="false">IF($C22="","",IF(ISNUMBER(MATCH($C22,'CA Exclusion Map'!$A$2:$A$2001,0)),"Yes","No"))</f>
        <v/>
      </c>
      <c r="Z22" s="39" t="str">
        <f aca="false">IFERROR(INDEX('CA Exclusion Map'!$D$2:$D$2001,MATCH($C22,'CA Exclusion Map'!$A$2:$A$2001,0)),"")</f>
        <v/>
      </c>
      <c r="AA22" s="40" t="str">
        <f aca="false">IFERROR(INDEX('CA Exclusion Map'!$E$2:$E$2001,MATCH($C22,'CA Exclusion Map'!$A$2:$A$2001,0)),"")</f>
        <v/>
      </c>
      <c r="AB22" s="40" t="str">
        <f aca="false">IFERROR(INDEX('CA Exclusion Map'!$F$2:$F$2001,MATCH($C22,'CA Exclusion Map'!$A$2:$A$2001,0)),"")</f>
        <v/>
      </c>
      <c r="AC22" s="36"/>
      <c r="AD22" s="37"/>
      <c r="AE22" s="38"/>
      <c r="AF22" s="38"/>
      <c r="AG22" s="39" t="str">
        <f aca="true">IF(Y22="","",IF(Y22&lt;&gt;"Yes","N/A",IF(AF22="","NO EXPIRY SET",IF(TODAY()&gt;AF22,"EXPIRED",IF(AF22-TODAY()&lt;=30,"Expiring Soon","Active")))))</f>
        <v/>
      </c>
      <c r="AH22" s="36"/>
      <c r="AI22" s="36"/>
      <c r="AJ22" s="37"/>
      <c r="AK22" s="36"/>
      <c r="AL22" s="37"/>
      <c r="AM22" s="37"/>
      <c r="AN22" s="37"/>
      <c r="AO22" s="37"/>
      <c r="AP22" s="38"/>
      <c r="AQ22" s="37"/>
      <c r="AR22" s="37"/>
      <c r="AS22" s="41" t="str">
        <f aca="false">IF(AP22="","",AP22+90)</f>
        <v/>
      </c>
      <c r="AT22" s="39" t="str">
        <f aca="true">IF(C22="","",IF(AP22="","NOT REVIEWED",IF(TODAY()&gt;AS22,"OVERDUE",IF(AS22-TODAY()&lt;=14,"Due Soon","Current"))))</f>
        <v/>
      </c>
      <c r="AU22" s="36"/>
    </row>
    <row r="23" customFormat="false" ht="15" hidden="false" customHeight="false" outlineLevel="0" collapsed="false">
      <c r="A23" s="36"/>
      <c r="B23" s="36"/>
      <c r="C23" s="36"/>
      <c r="D23" s="37"/>
      <c r="E23" s="37"/>
      <c r="F23" s="37"/>
      <c r="G23" s="38"/>
      <c r="H23" s="38"/>
      <c r="I23" s="36"/>
      <c r="J23" s="38"/>
      <c r="K23" s="37"/>
      <c r="L23" s="36"/>
      <c r="M23" s="37"/>
      <c r="N23" s="37"/>
      <c r="O23" s="37"/>
      <c r="P23" s="37"/>
      <c r="Q23" s="36"/>
      <c r="R23" s="39" t="str">
        <f aca="true">IF(H23="","",TODAY()-H23)</f>
        <v/>
      </c>
      <c r="S23" s="39" t="str">
        <f aca="true">IF(J23="","",J23-TODAY())</f>
        <v/>
      </c>
      <c r="T23" s="37"/>
      <c r="U23" s="37"/>
      <c r="V23" s="40" t="str">
        <f aca="false">IFERROR(INDEX('Azure Resource Map'!$D$2:$D$2001,MATCH($C23,'Azure Resource Map'!$A$2:$A$2001,0)),"")</f>
        <v/>
      </c>
      <c r="W23" s="39" t="str">
        <f aca="false">IFERROR(INDEX('Azure Resource Map'!$E$2:$E$2001,MATCH($C23,'Azure Resource Map'!$A$2:$A$2001,0)),"")</f>
        <v/>
      </c>
      <c r="X23" s="39" t="str">
        <f aca="false">IFERROR(INDEX('Azure Resource Map'!$F$2:$F$2001,MATCH($C23,'Azure Resource Map'!$A$2:$A$2001,0)),"")</f>
        <v/>
      </c>
      <c r="Y23" s="39" t="str">
        <f aca="false">IF($C23="","",IF(ISNUMBER(MATCH($C23,'CA Exclusion Map'!$A$2:$A$2001,0)),"Yes","No"))</f>
        <v/>
      </c>
      <c r="Z23" s="39" t="str">
        <f aca="false">IFERROR(INDEX('CA Exclusion Map'!$D$2:$D$2001,MATCH($C23,'CA Exclusion Map'!$A$2:$A$2001,0)),"")</f>
        <v/>
      </c>
      <c r="AA23" s="40" t="str">
        <f aca="false">IFERROR(INDEX('CA Exclusion Map'!$E$2:$E$2001,MATCH($C23,'CA Exclusion Map'!$A$2:$A$2001,0)),"")</f>
        <v/>
      </c>
      <c r="AB23" s="40" t="str">
        <f aca="false">IFERROR(INDEX('CA Exclusion Map'!$F$2:$F$2001,MATCH($C23,'CA Exclusion Map'!$A$2:$A$2001,0)),"")</f>
        <v/>
      </c>
      <c r="AC23" s="36"/>
      <c r="AD23" s="37"/>
      <c r="AE23" s="38"/>
      <c r="AF23" s="38"/>
      <c r="AG23" s="39" t="str">
        <f aca="true">IF(Y23="","",IF(Y23&lt;&gt;"Yes","N/A",IF(AF23="","NO EXPIRY SET",IF(TODAY()&gt;AF23,"EXPIRED",IF(AF23-TODAY()&lt;=30,"Expiring Soon","Active")))))</f>
        <v/>
      </c>
      <c r="AH23" s="36"/>
      <c r="AI23" s="36"/>
      <c r="AJ23" s="37"/>
      <c r="AK23" s="36"/>
      <c r="AL23" s="37"/>
      <c r="AM23" s="37"/>
      <c r="AN23" s="37"/>
      <c r="AO23" s="37"/>
      <c r="AP23" s="38"/>
      <c r="AQ23" s="37"/>
      <c r="AR23" s="37"/>
      <c r="AS23" s="41" t="str">
        <f aca="false">IF(AP23="","",AP23+90)</f>
        <v/>
      </c>
      <c r="AT23" s="39" t="str">
        <f aca="true">IF(C23="","",IF(AP23="","NOT REVIEWED",IF(TODAY()&gt;AS23,"OVERDUE",IF(AS23-TODAY()&lt;=14,"Due Soon","Current"))))</f>
        <v/>
      </c>
      <c r="AU23" s="36"/>
    </row>
    <row r="24" customFormat="false" ht="15" hidden="false" customHeight="false" outlineLevel="0" collapsed="false">
      <c r="A24" s="36"/>
      <c r="B24" s="36"/>
      <c r="C24" s="36"/>
      <c r="D24" s="37"/>
      <c r="E24" s="37"/>
      <c r="F24" s="37"/>
      <c r="G24" s="38"/>
      <c r="H24" s="38"/>
      <c r="I24" s="36"/>
      <c r="J24" s="38"/>
      <c r="K24" s="37"/>
      <c r="L24" s="36"/>
      <c r="M24" s="37"/>
      <c r="N24" s="37"/>
      <c r="O24" s="37"/>
      <c r="P24" s="37"/>
      <c r="Q24" s="36"/>
      <c r="R24" s="39" t="str">
        <f aca="true">IF(H24="","",TODAY()-H24)</f>
        <v/>
      </c>
      <c r="S24" s="39" t="str">
        <f aca="true">IF(J24="","",J24-TODAY())</f>
        <v/>
      </c>
      <c r="T24" s="37"/>
      <c r="U24" s="37"/>
      <c r="V24" s="40" t="str">
        <f aca="false">IFERROR(INDEX('Azure Resource Map'!$D$2:$D$2001,MATCH($C24,'Azure Resource Map'!$A$2:$A$2001,0)),"")</f>
        <v/>
      </c>
      <c r="W24" s="39" t="str">
        <f aca="false">IFERROR(INDEX('Azure Resource Map'!$E$2:$E$2001,MATCH($C24,'Azure Resource Map'!$A$2:$A$2001,0)),"")</f>
        <v/>
      </c>
      <c r="X24" s="39" t="str">
        <f aca="false">IFERROR(INDEX('Azure Resource Map'!$F$2:$F$2001,MATCH($C24,'Azure Resource Map'!$A$2:$A$2001,0)),"")</f>
        <v/>
      </c>
      <c r="Y24" s="39" t="str">
        <f aca="false">IF($C24="","",IF(ISNUMBER(MATCH($C24,'CA Exclusion Map'!$A$2:$A$2001,0)),"Yes","No"))</f>
        <v/>
      </c>
      <c r="Z24" s="39" t="str">
        <f aca="false">IFERROR(INDEX('CA Exclusion Map'!$D$2:$D$2001,MATCH($C24,'CA Exclusion Map'!$A$2:$A$2001,0)),"")</f>
        <v/>
      </c>
      <c r="AA24" s="40" t="str">
        <f aca="false">IFERROR(INDEX('CA Exclusion Map'!$E$2:$E$2001,MATCH($C24,'CA Exclusion Map'!$A$2:$A$2001,0)),"")</f>
        <v/>
      </c>
      <c r="AB24" s="40" t="str">
        <f aca="false">IFERROR(INDEX('CA Exclusion Map'!$F$2:$F$2001,MATCH($C24,'CA Exclusion Map'!$A$2:$A$2001,0)),"")</f>
        <v/>
      </c>
      <c r="AC24" s="36"/>
      <c r="AD24" s="37"/>
      <c r="AE24" s="38"/>
      <c r="AF24" s="38"/>
      <c r="AG24" s="39" t="str">
        <f aca="true">IF(Y24="","",IF(Y24&lt;&gt;"Yes","N/A",IF(AF24="","NO EXPIRY SET",IF(TODAY()&gt;AF24,"EXPIRED",IF(AF24-TODAY()&lt;=30,"Expiring Soon","Active")))))</f>
        <v/>
      </c>
      <c r="AH24" s="36"/>
      <c r="AI24" s="36"/>
      <c r="AJ24" s="37"/>
      <c r="AK24" s="36"/>
      <c r="AL24" s="37"/>
      <c r="AM24" s="37"/>
      <c r="AN24" s="37"/>
      <c r="AO24" s="37"/>
      <c r="AP24" s="38"/>
      <c r="AQ24" s="37"/>
      <c r="AR24" s="37"/>
      <c r="AS24" s="41" t="str">
        <f aca="false">IF(AP24="","",AP24+90)</f>
        <v/>
      </c>
      <c r="AT24" s="39" t="str">
        <f aca="true">IF(C24="","",IF(AP24="","NOT REVIEWED",IF(TODAY()&gt;AS24,"OVERDUE",IF(AS24-TODAY()&lt;=14,"Due Soon","Current"))))</f>
        <v/>
      </c>
      <c r="AU24" s="36"/>
    </row>
    <row r="25" customFormat="false" ht="15" hidden="false" customHeight="false" outlineLevel="0" collapsed="false">
      <c r="A25" s="36"/>
      <c r="B25" s="36"/>
      <c r="C25" s="36"/>
      <c r="D25" s="37"/>
      <c r="E25" s="37"/>
      <c r="F25" s="37"/>
      <c r="G25" s="38"/>
      <c r="H25" s="38"/>
      <c r="I25" s="36"/>
      <c r="J25" s="38"/>
      <c r="K25" s="37"/>
      <c r="L25" s="36"/>
      <c r="M25" s="37"/>
      <c r="N25" s="37"/>
      <c r="O25" s="37"/>
      <c r="P25" s="37"/>
      <c r="Q25" s="36"/>
      <c r="R25" s="39" t="str">
        <f aca="true">IF(H25="","",TODAY()-H25)</f>
        <v/>
      </c>
      <c r="S25" s="39" t="str">
        <f aca="true">IF(J25="","",J25-TODAY())</f>
        <v/>
      </c>
      <c r="T25" s="37"/>
      <c r="U25" s="37"/>
      <c r="V25" s="40" t="str">
        <f aca="false">IFERROR(INDEX('Azure Resource Map'!$D$2:$D$2001,MATCH($C25,'Azure Resource Map'!$A$2:$A$2001,0)),"")</f>
        <v/>
      </c>
      <c r="W25" s="39" t="str">
        <f aca="false">IFERROR(INDEX('Azure Resource Map'!$E$2:$E$2001,MATCH($C25,'Azure Resource Map'!$A$2:$A$2001,0)),"")</f>
        <v/>
      </c>
      <c r="X25" s="39" t="str">
        <f aca="false">IFERROR(INDEX('Azure Resource Map'!$F$2:$F$2001,MATCH($C25,'Azure Resource Map'!$A$2:$A$2001,0)),"")</f>
        <v/>
      </c>
      <c r="Y25" s="39" t="str">
        <f aca="false">IF($C25="","",IF(ISNUMBER(MATCH($C25,'CA Exclusion Map'!$A$2:$A$2001,0)),"Yes","No"))</f>
        <v/>
      </c>
      <c r="Z25" s="39" t="str">
        <f aca="false">IFERROR(INDEX('CA Exclusion Map'!$D$2:$D$2001,MATCH($C25,'CA Exclusion Map'!$A$2:$A$2001,0)),"")</f>
        <v/>
      </c>
      <c r="AA25" s="40" t="str">
        <f aca="false">IFERROR(INDEX('CA Exclusion Map'!$E$2:$E$2001,MATCH($C25,'CA Exclusion Map'!$A$2:$A$2001,0)),"")</f>
        <v/>
      </c>
      <c r="AB25" s="40" t="str">
        <f aca="false">IFERROR(INDEX('CA Exclusion Map'!$F$2:$F$2001,MATCH($C25,'CA Exclusion Map'!$A$2:$A$2001,0)),"")</f>
        <v/>
      </c>
      <c r="AC25" s="36"/>
      <c r="AD25" s="37"/>
      <c r="AE25" s="38"/>
      <c r="AF25" s="38"/>
      <c r="AG25" s="39" t="str">
        <f aca="true">IF(Y25="","",IF(Y25&lt;&gt;"Yes","N/A",IF(AF25="","NO EXPIRY SET",IF(TODAY()&gt;AF25,"EXPIRED",IF(AF25-TODAY()&lt;=30,"Expiring Soon","Active")))))</f>
        <v/>
      </c>
      <c r="AH25" s="36"/>
      <c r="AI25" s="36"/>
      <c r="AJ25" s="37"/>
      <c r="AK25" s="36"/>
      <c r="AL25" s="37"/>
      <c r="AM25" s="37"/>
      <c r="AN25" s="37"/>
      <c r="AO25" s="37"/>
      <c r="AP25" s="38"/>
      <c r="AQ25" s="37"/>
      <c r="AR25" s="37"/>
      <c r="AS25" s="41" t="str">
        <f aca="false">IF(AP25="","",AP25+90)</f>
        <v/>
      </c>
      <c r="AT25" s="39" t="str">
        <f aca="true">IF(C25="","",IF(AP25="","NOT REVIEWED",IF(TODAY()&gt;AS25,"OVERDUE",IF(AS25-TODAY()&lt;=14,"Due Soon","Current"))))</f>
        <v/>
      </c>
      <c r="AU25" s="36"/>
    </row>
    <row r="26" customFormat="false" ht="15" hidden="false" customHeight="false" outlineLevel="0" collapsed="false">
      <c r="A26" s="36"/>
      <c r="B26" s="36"/>
      <c r="C26" s="36"/>
      <c r="D26" s="37"/>
      <c r="E26" s="37"/>
      <c r="F26" s="37"/>
      <c r="G26" s="38"/>
      <c r="H26" s="38"/>
      <c r="I26" s="36"/>
      <c r="J26" s="38"/>
      <c r="K26" s="37"/>
      <c r="L26" s="36"/>
      <c r="M26" s="37"/>
      <c r="N26" s="37"/>
      <c r="O26" s="37"/>
      <c r="P26" s="37"/>
      <c r="Q26" s="36"/>
      <c r="R26" s="39" t="str">
        <f aca="true">IF(H26="","",TODAY()-H26)</f>
        <v/>
      </c>
      <c r="S26" s="39" t="str">
        <f aca="true">IF(J26="","",J26-TODAY())</f>
        <v/>
      </c>
      <c r="T26" s="37"/>
      <c r="U26" s="37"/>
      <c r="V26" s="40" t="str">
        <f aca="false">IFERROR(INDEX('Azure Resource Map'!$D$2:$D$2001,MATCH($C26,'Azure Resource Map'!$A$2:$A$2001,0)),"")</f>
        <v/>
      </c>
      <c r="W26" s="39" t="str">
        <f aca="false">IFERROR(INDEX('Azure Resource Map'!$E$2:$E$2001,MATCH($C26,'Azure Resource Map'!$A$2:$A$2001,0)),"")</f>
        <v/>
      </c>
      <c r="X26" s="39" t="str">
        <f aca="false">IFERROR(INDEX('Azure Resource Map'!$F$2:$F$2001,MATCH($C26,'Azure Resource Map'!$A$2:$A$2001,0)),"")</f>
        <v/>
      </c>
      <c r="Y26" s="39" t="str">
        <f aca="false">IF($C26="","",IF(ISNUMBER(MATCH($C26,'CA Exclusion Map'!$A$2:$A$2001,0)),"Yes","No"))</f>
        <v/>
      </c>
      <c r="Z26" s="39" t="str">
        <f aca="false">IFERROR(INDEX('CA Exclusion Map'!$D$2:$D$2001,MATCH($C26,'CA Exclusion Map'!$A$2:$A$2001,0)),"")</f>
        <v/>
      </c>
      <c r="AA26" s="40" t="str">
        <f aca="false">IFERROR(INDEX('CA Exclusion Map'!$E$2:$E$2001,MATCH($C26,'CA Exclusion Map'!$A$2:$A$2001,0)),"")</f>
        <v/>
      </c>
      <c r="AB26" s="40" t="str">
        <f aca="false">IFERROR(INDEX('CA Exclusion Map'!$F$2:$F$2001,MATCH($C26,'CA Exclusion Map'!$A$2:$A$2001,0)),"")</f>
        <v/>
      </c>
      <c r="AC26" s="36"/>
      <c r="AD26" s="37"/>
      <c r="AE26" s="38"/>
      <c r="AF26" s="38"/>
      <c r="AG26" s="39" t="str">
        <f aca="true">IF(Y26="","",IF(Y26&lt;&gt;"Yes","N/A",IF(AF26="","NO EXPIRY SET",IF(TODAY()&gt;AF26,"EXPIRED",IF(AF26-TODAY()&lt;=30,"Expiring Soon","Active")))))</f>
        <v/>
      </c>
      <c r="AH26" s="36"/>
      <c r="AI26" s="36"/>
      <c r="AJ26" s="37"/>
      <c r="AK26" s="36"/>
      <c r="AL26" s="37"/>
      <c r="AM26" s="37"/>
      <c r="AN26" s="37"/>
      <c r="AO26" s="37"/>
      <c r="AP26" s="38"/>
      <c r="AQ26" s="37"/>
      <c r="AR26" s="37"/>
      <c r="AS26" s="41" t="str">
        <f aca="false">IF(AP26="","",AP26+90)</f>
        <v/>
      </c>
      <c r="AT26" s="39" t="str">
        <f aca="true">IF(C26="","",IF(AP26="","NOT REVIEWED",IF(TODAY()&gt;AS26,"OVERDUE",IF(AS26-TODAY()&lt;=14,"Due Soon","Current"))))</f>
        <v/>
      </c>
      <c r="AU26" s="36"/>
    </row>
    <row r="27" customFormat="false" ht="15" hidden="false" customHeight="false" outlineLevel="0" collapsed="false">
      <c r="A27" s="36"/>
      <c r="B27" s="36"/>
      <c r="C27" s="36"/>
      <c r="D27" s="37"/>
      <c r="E27" s="37"/>
      <c r="F27" s="37"/>
      <c r="G27" s="38"/>
      <c r="H27" s="38"/>
      <c r="I27" s="36"/>
      <c r="J27" s="38"/>
      <c r="K27" s="37"/>
      <c r="L27" s="36"/>
      <c r="M27" s="37"/>
      <c r="N27" s="37"/>
      <c r="O27" s="37"/>
      <c r="P27" s="37"/>
      <c r="Q27" s="36"/>
      <c r="R27" s="39" t="str">
        <f aca="true">IF(H27="","",TODAY()-H27)</f>
        <v/>
      </c>
      <c r="S27" s="39" t="str">
        <f aca="true">IF(J27="","",J27-TODAY())</f>
        <v/>
      </c>
      <c r="T27" s="37"/>
      <c r="U27" s="37"/>
      <c r="V27" s="40" t="str">
        <f aca="false">IFERROR(INDEX('Azure Resource Map'!$D$2:$D$2001,MATCH($C27,'Azure Resource Map'!$A$2:$A$2001,0)),"")</f>
        <v/>
      </c>
      <c r="W27" s="39" t="str">
        <f aca="false">IFERROR(INDEX('Azure Resource Map'!$E$2:$E$2001,MATCH($C27,'Azure Resource Map'!$A$2:$A$2001,0)),"")</f>
        <v/>
      </c>
      <c r="X27" s="39" t="str">
        <f aca="false">IFERROR(INDEX('Azure Resource Map'!$F$2:$F$2001,MATCH($C27,'Azure Resource Map'!$A$2:$A$2001,0)),"")</f>
        <v/>
      </c>
      <c r="Y27" s="39" t="str">
        <f aca="false">IF($C27="","",IF(ISNUMBER(MATCH($C27,'CA Exclusion Map'!$A$2:$A$2001,0)),"Yes","No"))</f>
        <v/>
      </c>
      <c r="Z27" s="39" t="str">
        <f aca="false">IFERROR(INDEX('CA Exclusion Map'!$D$2:$D$2001,MATCH($C27,'CA Exclusion Map'!$A$2:$A$2001,0)),"")</f>
        <v/>
      </c>
      <c r="AA27" s="40" t="str">
        <f aca="false">IFERROR(INDEX('CA Exclusion Map'!$E$2:$E$2001,MATCH($C27,'CA Exclusion Map'!$A$2:$A$2001,0)),"")</f>
        <v/>
      </c>
      <c r="AB27" s="40" t="str">
        <f aca="false">IFERROR(INDEX('CA Exclusion Map'!$F$2:$F$2001,MATCH($C27,'CA Exclusion Map'!$A$2:$A$2001,0)),"")</f>
        <v/>
      </c>
      <c r="AC27" s="36"/>
      <c r="AD27" s="37"/>
      <c r="AE27" s="38"/>
      <c r="AF27" s="38"/>
      <c r="AG27" s="39" t="str">
        <f aca="true">IF(Y27="","",IF(Y27&lt;&gt;"Yes","N/A",IF(AF27="","NO EXPIRY SET",IF(TODAY()&gt;AF27,"EXPIRED",IF(AF27-TODAY()&lt;=30,"Expiring Soon","Active")))))</f>
        <v/>
      </c>
      <c r="AH27" s="36"/>
      <c r="AI27" s="36"/>
      <c r="AJ27" s="37"/>
      <c r="AK27" s="36"/>
      <c r="AL27" s="37"/>
      <c r="AM27" s="37"/>
      <c r="AN27" s="37"/>
      <c r="AO27" s="37"/>
      <c r="AP27" s="38"/>
      <c r="AQ27" s="37"/>
      <c r="AR27" s="37"/>
      <c r="AS27" s="41" t="str">
        <f aca="false">IF(AP27="","",AP27+90)</f>
        <v/>
      </c>
      <c r="AT27" s="39" t="str">
        <f aca="true">IF(C27="","",IF(AP27="","NOT REVIEWED",IF(TODAY()&gt;AS27,"OVERDUE",IF(AS27-TODAY()&lt;=14,"Due Soon","Current"))))</f>
        <v/>
      </c>
      <c r="AU27" s="36"/>
    </row>
    <row r="28" customFormat="false" ht="15" hidden="false" customHeight="false" outlineLevel="0" collapsed="false">
      <c r="A28" s="36"/>
      <c r="B28" s="36"/>
      <c r="C28" s="36"/>
      <c r="D28" s="37"/>
      <c r="E28" s="37"/>
      <c r="F28" s="37"/>
      <c r="G28" s="38"/>
      <c r="H28" s="38"/>
      <c r="I28" s="36"/>
      <c r="J28" s="38"/>
      <c r="K28" s="37"/>
      <c r="L28" s="36"/>
      <c r="M28" s="37"/>
      <c r="N28" s="37"/>
      <c r="O28" s="37"/>
      <c r="P28" s="37"/>
      <c r="Q28" s="36"/>
      <c r="R28" s="39" t="str">
        <f aca="true">IF(H28="","",TODAY()-H28)</f>
        <v/>
      </c>
      <c r="S28" s="39" t="str">
        <f aca="true">IF(J28="","",J28-TODAY())</f>
        <v/>
      </c>
      <c r="T28" s="37"/>
      <c r="U28" s="37"/>
      <c r="V28" s="40" t="str">
        <f aca="false">IFERROR(INDEX('Azure Resource Map'!$D$2:$D$2001,MATCH($C28,'Azure Resource Map'!$A$2:$A$2001,0)),"")</f>
        <v/>
      </c>
      <c r="W28" s="39" t="str">
        <f aca="false">IFERROR(INDEX('Azure Resource Map'!$E$2:$E$2001,MATCH($C28,'Azure Resource Map'!$A$2:$A$2001,0)),"")</f>
        <v/>
      </c>
      <c r="X28" s="39" t="str">
        <f aca="false">IFERROR(INDEX('Azure Resource Map'!$F$2:$F$2001,MATCH($C28,'Azure Resource Map'!$A$2:$A$2001,0)),"")</f>
        <v/>
      </c>
      <c r="Y28" s="39" t="str">
        <f aca="false">IF($C28="","",IF(ISNUMBER(MATCH($C28,'CA Exclusion Map'!$A$2:$A$2001,0)),"Yes","No"))</f>
        <v/>
      </c>
      <c r="Z28" s="39" t="str">
        <f aca="false">IFERROR(INDEX('CA Exclusion Map'!$D$2:$D$2001,MATCH($C28,'CA Exclusion Map'!$A$2:$A$2001,0)),"")</f>
        <v/>
      </c>
      <c r="AA28" s="40" t="str">
        <f aca="false">IFERROR(INDEX('CA Exclusion Map'!$E$2:$E$2001,MATCH($C28,'CA Exclusion Map'!$A$2:$A$2001,0)),"")</f>
        <v/>
      </c>
      <c r="AB28" s="40" t="str">
        <f aca="false">IFERROR(INDEX('CA Exclusion Map'!$F$2:$F$2001,MATCH($C28,'CA Exclusion Map'!$A$2:$A$2001,0)),"")</f>
        <v/>
      </c>
      <c r="AC28" s="36"/>
      <c r="AD28" s="37"/>
      <c r="AE28" s="38"/>
      <c r="AF28" s="38"/>
      <c r="AG28" s="39" t="str">
        <f aca="true">IF(Y28="","",IF(Y28&lt;&gt;"Yes","N/A",IF(AF28="","NO EXPIRY SET",IF(TODAY()&gt;AF28,"EXPIRED",IF(AF28-TODAY()&lt;=30,"Expiring Soon","Active")))))</f>
        <v/>
      </c>
      <c r="AH28" s="36"/>
      <c r="AI28" s="36"/>
      <c r="AJ28" s="37"/>
      <c r="AK28" s="36"/>
      <c r="AL28" s="37"/>
      <c r="AM28" s="37"/>
      <c r="AN28" s="37"/>
      <c r="AO28" s="37"/>
      <c r="AP28" s="38"/>
      <c r="AQ28" s="37"/>
      <c r="AR28" s="37"/>
      <c r="AS28" s="41" t="str">
        <f aca="false">IF(AP28="","",AP28+90)</f>
        <v/>
      </c>
      <c r="AT28" s="39" t="str">
        <f aca="true">IF(C28="","",IF(AP28="","NOT REVIEWED",IF(TODAY()&gt;AS28,"OVERDUE",IF(AS28-TODAY()&lt;=14,"Due Soon","Current"))))</f>
        <v/>
      </c>
      <c r="AU28" s="36"/>
    </row>
    <row r="29" customFormat="false" ht="15" hidden="false" customHeight="false" outlineLevel="0" collapsed="false">
      <c r="A29" s="36"/>
      <c r="B29" s="36"/>
      <c r="C29" s="36"/>
      <c r="D29" s="37"/>
      <c r="E29" s="37"/>
      <c r="F29" s="37"/>
      <c r="G29" s="38"/>
      <c r="H29" s="38"/>
      <c r="I29" s="36"/>
      <c r="J29" s="38"/>
      <c r="K29" s="37"/>
      <c r="L29" s="36"/>
      <c r="M29" s="37"/>
      <c r="N29" s="37"/>
      <c r="O29" s="37"/>
      <c r="P29" s="37"/>
      <c r="Q29" s="36"/>
      <c r="R29" s="39" t="str">
        <f aca="true">IF(H29="","",TODAY()-H29)</f>
        <v/>
      </c>
      <c r="S29" s="39" t="str">
        <f aca="true">IF(J29="","",J29-TODAY())</f>
        <v/>
      </c>
      <c r="T29" s="37"/>
      <c r="U29" s="37"/>
      <c r="V29" s="40" t="str">
        <f aca="false">IFERROR(INDEX('Azure Resource Map'!$D$2:$D$2001,MATCH($C29,'Azure Resource Map'!$A$2:$A$2001,0)),"")</f>
        <v/>
      </c>
      <c r="W29" s="39" t="str">
        <f aca="false">IFERROR(INDEX('Azure Resource Map'!$E$2:$E$2001,MATCH($C29,'Azure Resource Map'!$A$2:$A$2001,0)),"")</f>
        <v/>
      </c>
      <c r="X29" s="39" t="str">
        <f aca="false">IFERROR(INDEX('Azure Resource Map'!$F$2:$F$2001,MATCH($C29,'Azure Resource Map'!$A$2:$A$2001,0)),"")</f>
        <v/>
      </c>
      <c r="Y29" s="39" t="str">
        <f aca="false">IF($C29="","",IF(ISNUMBER(MATCH($C29,'CA Exclusion Map'!$A$2:$A$2001,0)),"Yes","No"))</f>
        <v/>
      </c>
      <c r="Z29" s="39" t="str">
        <f aca="false">IFERROR(INDEX('CA Exclusion Map'!$D$2:$D$2001,MATCH($C29,'CA Exclusion Map'!$A$2:$A$2001,0)),"")</f>
        <v/>
      </c>
      <c r="AA29" s="40" t="str">
        <f aca="false">IFERROR(INDEX('CA Exclusion Map'!$E$2:$E$2001,MATCH($C29,'CA Exclusion Map'!$A$2:$A$2001,0)),"")</f>
        <v/>
      </c>
      <c r="AB29" s="40" t="str">
        <f aca="false">IFERROR(INDEX('CA Exclusion Map'!$F$2:$F$2001,MATCH($C29,'CA Exclusion Map'!$A$2:$A$2001,0)),"")</f>
        <v/>
      </c>
      <c r="AC29" s="36"/>
      <c r="AD29" s="37"/>
      <c r="AE29" s="38"/>
      <c r="AF29" s="38"/>
      <c r="AG29" s="39" t="str">
        <f aca="true">IF(Y29="","",IF(Y29&lt;&gt;"Yes","N/A",IF(AF29="","NO EXPIRY SET",IF(TODAY()&gt;AF29,"EXPIRED",IF(AF29-TODAY()&lt;=30,"Expiring Soon","Active")))))</f>
        <v/>
      </c>
      <c r="AH29" s="36"/>
      <c r="AI29" s="36"/>
      <c r="AJ29" s="37"/>
      <c r="AK29" s="36"/>
      <c r="AL29" s="37"/>
      <c r="AM29" s="37"/>
      <c r="AN29" s="37"/>
      <c r="AO29" s="37"/>
      <c r="AP29" s="38"/>
      <c r="AQ29" s="37"/>
      <c r="AR29" s="37"/>
      <c r="AS29" s="41" t="str">
        <f aca="false">IF(AP29="","",AP29+90)</f>
        <v/>
      </c>
      <c r="AT29" s="39" t="str">
        <f aca="true">IF(C29="","",IF(AP29="","NOT REVIEWED",IF(TODAY()&gt;AS29,"OVERDUE",IF(AS29-TODAY()&lt;=14,"Due Soon","Current"))))</f>
        <v/>
      </c>
      <c r="AU29" s="36"/>
    </row>
    <row r="30" customFormat="false" ht="15" hidden="false" customHeight="false" outlineLevel="0" collapsed="false">
      <c r="A30" s="36"/>
      <c r="B30" s="36"/>
      <c r="C30" s="36"/>
      <c r="D30" s="37"/>
      <c r="E30" s="37"/>
      <c r="F30" s="37"/>
      <c r="G30" s="38"/>
      <c r="H30" s="38"/>
      <c r="I30" s="36"/>
      <c r="J30" s="38"/>
      <c r="K30" s="37"/>
      <c r="L30" s="36"/>
      <c r="M30" s="37"/>
      <c r="N30" s="37"/>
      <c r="O30" s="37"/>
      <c r="P30" s="37"/>
      <c r="Q30" s="36"/>
      <c r="R30" s="39" t="str">
        <f aca="true">IF(H30="","",TODAY()-H30)</f>
        <v/>
      </c>
      <c r="S30" s="39" t="str">
        <f aca="true">IF(J30="","",J30-TODAY())</f>
        <v/>
      </c>
      <c r="T30" s="37"/>
      <c r="U30" s="37"/>
      <c r="V30" s="40" t="str">
        <f aca="false">IFERROR(INDEX('Azure Resource Map'!$D$2:$D$2001,MATCH($C30,'Azure Resource Map'!$A$2:$A$2001,0)),"")</f>
        <v/>
      </c>
      <c r="W30" s="39" t="str">
        <f aca="false">IFERROR(INDEX('Azure Resource Map'!$E$2:$E$2001,MATCH($C30,'Azure Resource Map'!$A$2:$A$2001,0)),"")</f>
        <v/>
      </c>
      <c r="X30" s="39" t="str">
        <f aca="false">IFERROR(INDEX('Azure Resource Map'!$F$2:$F$2001,MATCH($C30,'Azure Resource Map'!$A$2:$A$2001,0)),"")</f>
        <v/>
      </c>
      <c r="Y30" s="39" t="str">
        <f aca="false">IF($C30="","",IF(ISNUMBER(MATCH($C30,'CA Exclusion Map'!$A$2:$A$2001,0)),"Yes","No"))</f>
        <v/>
      </c>
      <c r="Z30" s="39" t="str">
        <f aca="false">IFERROR(INDEX('CA Exclusion Map'!$D$2:$D$2001,MATCH($C30,'CA Exclusion Map'!$A$2:$A$2001,0)),"")</f>
        <v/>
      </c>
      <c r="AA30" s="40" t="str">
        <f aca="false">IFERROR(INDEX('CA Exclusion Map'!$E$2:$E$2001,MATCH($C30,'CA Exclusion Map'!$A$2:$A$2001,0)),"")</f>
        <v/>
      </c>
      <c r="AB30" s="40" t="str">
        <f aca="false">IFERROR(INDEX('CA Exclusion Map'!$F$2:$F$2001,MATCH($C30,'CA Exclusion Map'!$A$2:$A$2001,0)),"")</f>
        <v/>
      </c>
      <c r="AC30" s="36"/>
      <c r="AD30" s="37"/>
      <c r="AE30" s="38"/>
      <c r="AF30" s="38"/>
      <c r="AG30" s="39" t="str">
        <f aca="true">IF(Y30="","",IF(Y30&lt;&gt;"Yes","N/A",IF(AF30="","NO EXPIRY SET",IF(TODAY()&gt;AF30,"EXPIRED",IF(AF30-TODAY()&lt;=30,"Expiring Soon","Active")))))</f>
        <v/>
      </c>
      <c r="AH30" s="36"/>
      <c r="AI30" s="36"/>
      <c r="AJ30" s="37"/>
      <c r="AK30" s="36"/>
      <c r="AL30" s="37"/>
      <c r="AM30" s="37"/>
      <c r="AN30" s="37"/>
      <c r="AO30" s="37"/>
      <c r="AP30" s="38"/>
      <c r="AQ30" s="37"/>
      <c r="AR30" s="37"/>
      <c r="AS30" s="41" t="str">
        <f aca="false">IF(AP30="","",AP30+90)</f>
        <v/>
      </c>
      <c r="AT30" s="39" t="str">
        <f aca="true">IF(C30="","",IF(AP30="","NOT REVIEWED",IF(TODAY()&gt;AS30,"OVERDUE",IF(AS30-TODAY()&lt;=14,"Due Soon","Current"))))</f>
        <v/>
      </c>
      <c r="AU30" s="36"/>
    </row>
    <row r="31" customFormat="false" ht="15" hidden="false" customHeight="false" outlineLevel="0" collapsed="false">
      <c r="A31" s="36"/>
      <c r="B31" s="36"/>
      <c r="C31" s="36"/>
      <c r="D31" s="37"/>
      <c r="E31" s="37"/>
      <c r="F31" s="37"/>
      <c r="G31" s="38"/>
      <c r="H31" s="38"/>
      <c r="I31" s="36"/>
      <c r="J31" s="38"/>
      <c r="K31" s="37"/>
      <c r="L31" s="36"/>
      <c r="M31" s="37"/>
      <c r="N31" s="37"/>
      <c r="O31" s="37"/>
      <c r="P31" s="37"/>
      <c r="Q31" s="36"/>
      <c r="R31" s="39" t="str">
        <f aca="true">IF(H31="","",TODAY()-H31)</f>
        <v/>
      </c>
      <c r="S31" s="39" t="str">
        <f aca="true">IF(J31="","",J31-TODAY())</f>
        <v/>
      </c>
      <c r="T31" s="37"/>
      <c r="U31" s="37"/>
      <c r="V31" s="40" t="str">
        <f aca="false">IFERROR(INDEX('Azure Resource Map'!$D$2:$D$2001,MATCH($C31,'Azure Resource Map'!$A$2:$A$2001,0)),"")</f>
        <v/>
      </c>
      <c r="W31" s="39" t="str">
        <f aca="false">IFERROR(INDEX('Azure Resource Map'!$E$2:$E$2001,MATCH($C31,'Azure Resource Map'!$A$2:$A$2001,0)),"")</f>
        <v/>
      </c>
      <c r="X31" s="39" t="str">
        <f aca="false">IFERROR(INDEX('Azure Resource Map'!$F$2:$F$2001,MATCH($C31,'Azure Resource Map'!$A$2:$A$2001,0)),"")</f>
        <v/>
      </c>
      <c r="Y31" s="39" t="str">
        <f aca="false">IF($C31="","",IF(ISNUMBER(MATCH($C31,'CA Exclusion Map'!$A$2:$A$2001,0)),"Yes","No"))</f>
        <v/>
      </c>
      <c r="Z31" s="39" t="str">
        <f aca="false">IFERROR(INDEX('CA Exclusion Map'!$D$2:$D$2001,MATCH($C31,'CA Exclusion Map'!$A$2:$A$2001,0)),"")</f>
        <v/>
      </c>
      <c r="AA31" s="40" t="str">
        <f aca="false">IFERROR(INDEX('CA Exclusion Map'!$E$2:$E$2001,MATCH($C31,'CA Exclusion Map'!$A$2:$A$2001,0)),"")</f>
        <v/>
      </c>
      <c r="AB31" s="40" t="str">
        <f aca="false">IFERROR(INDEX('CA Exclusion Map'!$F$2:$F$2001,MATCH($C31,'CA Exclusion Map'!$A$2:$A$2001,0)),"")</f>
        <v/>
      </c>
      <c r="AC31" s="36"/>
      <c r="AD31" s="37"/>
      <c r="AE31" s="38"/>
      <c r="AF31" s="38"/>
      <c r="AG31" s="39" t="str">
        <f aca="true">IF(Y31="","",IF(Y31&lt;&gt;"Yes","N/A",IF(AF31="","NO EXPIRY SET",IF(TODAY()&gt;AF31,"EXPIRED",IF(AF31-TODAY()&lt;=30,"Expiring Soon","Active")))))</f>
        <v/>
      </c>
      <c r="AH31" s="36"/>
      <c r="AI31" s="36"/>
      <c r="AJ31" s="37"/>
      <c r="AK31" s="36"/>
      <c r="AL31" s="37"/>
      <c r="AM31" s="37"/>
      <c r="AN31" s="37"/>
      <c r="AO31" s="37"/>
      <c r="AP31" s="38"/>
      <c r="AQ31" s="37"/>
      <c r="AR31" s="37"/>
      <c r="AS31" s="41" t="str">
        <f aca="false">IF(AP31="","",AP31+90)</f>
        <v/>
      </c>
      <c r="AT31" s="39" t="str">
        <f aca="true">IF(C31="","",IF(AP31="","NOT REVIEWED",IF(TODAY()&gt;AS31,"OVERDUE",IF(AS31-TODAY()&lt;=14,"Due Soon","Current"))))</f>
        <v/>
      </c>
      <c r="AU31" s="36"/>
    </row>
    <row r="32" customFormat="false" ht="15" hidden="false" customHeight="false" outlineLevel="0" collapsed="false">
      <c r="A32" s="36"/>
      <c r="B32" s="36"/>
      <c r="C32" s="36"/>
      <c r="D32" s="37"/>
      <c r="E32" s="37"/>
      <c r="F32" s="37"/>
      <c r="G32" s="38"/>
      <c r="H32" s="38"/>
      <c r="I32" s="36"/>
      <c r="J32" s="38"/>
      <c r="K32" s="37"/>
      <c r="L32" s="36"/>
      <c r="M32" s="37"/>
      <c r="N32" s="37"/>
      <c r="O32" s="37"/>
      <c r="P32" s="37"/>
      <c r="Q32" s="36"/>
      <c r="R32" s="39" t="str">
        <f aca="true">IF(H32="","",TODAY()-H32)</f>
        <v/>
      </c>
      <c r="S32" s="39" t="str">
        <f aca="true">IF(J32="","",J32-TODAY())</f>
        <v/>
      </c>
      <c r="T32" s="37"/>
      <c r="U32" s="37"/>
      <c r="V32" s="40" t="str">
        <f aca="false">IFERROR(INDEX('Azure Resource Map'!$D$2:$D$2001,MATCH($C32,'Azure Resource Map'!$A$2:$A$2001,0)),"")</f>
        <v/>
      </c>
      <c r="W32" s="39" t="str">
        <f aca="false">IFERROR(INDEX('Azure Resource Map'!$E$2:$E$2001,MATCH($C32,'Azure Resource Map'!$A$2:$A$2001,0)),"")</f>
        <v/>
      </c>
      <c r="X32" s="39" t="str">
        <f aca="false">IFERROR(INDEX('Azure Resource Map'!$F$2:$F$2001,MATCH($C32,'Azure Resource Map'!$A$2:$A$2001,0)),"")</f>
        <v/>
      </c>
      <c r="Y32" s="39" t="str">
        <f aca="false">IF($C32="","",IF(ISNUMBER(MATCH($C32,'CA Exclusion Map'!$A$2:$A$2001,0)),"Yes","No"))</f>
        <v/>
      </c>
      <c r="Z32" s="39" t="str">
        <f aca="false">IFERROR(INDEX('CA Exclusion Map'!$D$2:$D$2001,MATCH($C32,'CA Exclusion Map'!$A$2:$A$2001,0)),"")</f>
        <v/>
      </c>
      <c r="AA32" s="40" t="str">
        <f aca="false">IFERROR(INDEX('CA Exclusion Map'!$E$2:$E$2001,MATCH($C32,'CA Exclusion Map'!$A$2:$A$2001,0)),"")</f>
        <v/>
      </c>
      <c r="AB32" s="40" t="str">
        <f aca="false">IFERROR(INDEX('CA Exclusion Map'!$F$2:$F$2001,MATCH($C32,'CA Exclusion Map'!$A$2:$A$2001,0)),"")</f>
        <v/>
      </c>
      <c r="AC32" s="36"/>
      <c r="AD32" s="37"/>
      <c r="AE32" s="38"/>
      <c r="AF32" s="38"/>
      <c r="AG32" s="39" t="str">
        <f aca="true">IF(Y32="","",IF(Y32&lt;&gt;"Yes","N/A",IF(AF32="","NO EXPIRY SET",IF(TODAY()&gt;AF32,"EXPIRED",IF(AF32-TODAY()&lt;=30,"Expiring Soon","Active")))))</f>
        <v/>
      </c>
      <c r="AH32" s="36"/>
      <c r="AI32" s="36"/>
      <c r="AJ32" s="37"/>
      <c r="AK32" s="36"/>
      <c r="AL32" s="37"/>
      <c r="AM32" s="37"/>
      <c r="AN32" s="37"/>
      <c r="AO32" s="37"/>
      <c r="AP32" s="38"/>
      <c r="AQ32" s="37"/>
      <c r="AR32" s="37"/>
      <c r="AS32" s="41" t="str">
        <f aca="false">IF(AP32="","",AP32+90)</f>
        <v/>
      </c>
      <c r="AT32" s="39" t="str">
        <f aca="true">IF(C32="","",IF(AP32="","NOT REVIEWED",IF(TODAY()&gt;AS32,"OVERDUE",IF(AS32-TODAY()&lt;=14,"Due Soon","Current"))))</f>
        <v/>
      </c>
      <c r="AU32" s="36"/>
    </row>
    <row r="33" customFormat="false" ht="15" hidden="false" customHeight="false" outlineLevel="0" collapsed="false">
      <c r="A33" s="36"/>
      <c r="B33" s="36"/>
      <c r="C33" s="36"/>
      <c r="D33" s="37"/>
      <c r="E33" s="37"/>
      <c r="F33" s="37"/>
      <c r="G33" s="38"/>
      <c r="H33" s="38"/>
      <c r="I33" s="36"/>
      <c r="J33" s="38"/>
      <c r="K33" s="37"/>
      <c r="L33" s="36"/>
      <c r="M33" s="37"/>
      <c r="N33" s="37"/>
      <c r="O33" s="37"/>
      <c r="P33" s="37"/>
      <c r="Q33" s="36"/>
      <c r="R33" s="39" t="str">
        <f aca="true">IF(H33="","",TODAY()-H33)</f>
        <v/>
      </c>
      <c r="S33" s="39" t="str">
        <f aca="true">IF(J33="","",J33-TODAY())</f>
        <v/>
      </c>
      <c r="T33" s="37"/>
      <c r="U33" s="37"/>
      <c r="V33" s="40" t="str">
        <f aca="false">IFERROR(INDEX('Azure Resource Map'!$D$2:$D$2001,MATCH($C33,'Azure Resource Map'!$A$2:$A$2001,0)),"")</f>
        <v/>
      </c>
      <c r="W33" s="39" t="str">
        <f aca="false">IFERROR(INDEX('Azure Resource Map'!$E$2:$E$2001,MATCH($C33,'Azure Resource Map'!$A$2:$A$2001,0)),"")</f>
        <v/>
      </c>
      <c r="X33" s="39" t="str">
        <f aca="false">IFERROR(INDEX('Azure Resource Map'!$F$2:$F$2001,MATCH($C33,'Azure Resource Map'!$A$2:$A$2001,0)),"")</f>
        <v/>
      </c>
      <c r="Y33" s="39" t="str">
        <f aca="false">IF($C33="","",IF(ISNUMBER(MATCH($C33,'CA Exclusion Map'!$A$2:$A$2001,0)),"Yes","No"))</f>
        <v/>
      </c>
      <c r="Z33" s="39" t="str">
        <f aca="false">IFERROR(INDEX('CA Exclusion Map'!$D$2:$D$2001,MATCH($C33,'CA Exclusion Map'!$A$2:$A$2001,0)),"")</f>
        <v/>
      </c>
      <c r="AA33" s="40" t="str">
        <f aca="false">IFERROR(INDEX('CA Exclusion Map'!$E$2:$E$2001,MATCH($C33,'CA Exclusion Map'!$A$2:$A$2001,0)),"")</f>
        <v/>
      </c>
      <c r="AB33" s="40" t="str">
        <f aca="false">IFERROR(INDEX('CA Exclusion Map'!$F$2:$F$2001,MATCH($C33,'CA Exclusion Map'!$A$2:$A$2001,0)),"")</f>
        <v/>
      </c>
      <c r="AC33" s="36"/>
      <c r="AD33" s="37"/>
      <c r="AE33" s="38"/>
      <c r="AF33" s="38"/>
      <c r="AG33" s="39" t="str">
        <f aca="true">IF(Y33="","",IF(Y33&lt;&gt;"Yes","N/A",IF(AF33="","NO EXPIRY SET",IF(TODAY()&gt;AF33,"EXPIRED",IF(AF33-TODAY()&lt;=30,"Expiring Soon","Active")))))</f>
        <v/>
      </c>
      <c r="AH33" s="36"/>
      <c r="AI33" s="36"/>
      <c r="AJ33" s="37"/>
      <c r="AK33" s="36"/>
      <c r="AL33" s="37"/>
      <c r="AM33" s="37"/>
      <c r="AN33" s="37"/>
      <c r="AO33" s="37"/>
      <c r="AP33" s="38"/>
      <c r="AQ33" s="37"/>
      <c r="AR33" s="37"/>
      <c r="AS33" s="41" t="str">
        <f aca="false">IF(AP33="","",AP33+90)</f>
        <v/>
      </c>
      <c r="AT33" s="39" t="str">
        <f aca="true">IF(C33="","",IF(AP33="","NOT REVIEWED",IF(TODAY()&gt;AS33,"OVERDUE",IF(AS33-TODAY()&lt;=14,"Due Soon","Current"))))</f>
        <v/>
      </c>
      <c r="AU33" s="36"/>
    </row>
    <row r="34" customFormat="false" ht="15" hidden="false" customHeight="false" outlineLevel="0" collapsed="false">
      <c r="A34" s="36"/>
      <c r="B34" s="36"/>
      <c r="C34" s="36"/>
      <c r="D34" s="37"/>
      <c r="E34" s="37"/>
      <c r="F34" s="37"/>
      <c r="G34" s="38"/>
      <c r="H34" s="38"/>
      <c r="I34" s="36"/>
      <c r="J34" s="38"/>
      <c r="K34" s="37"/>
      <c r="L34" s="36"/>
      <c r="M34" s="37"/>
      <c r="N34" s="37"/>
      <c r="O34" s="37"/>
      <c r="P34" s="37"/>
      <c r="Q34" s="36"/>
      <c r="R34" s="39" t="str">
        <f aca="true">IF(H34="","",TODAY()-H34)</f>
        <v/>
      </c>
      <c r="S34" s="39" t="str">
        <f aca="true">IF(J34="","",J34-TODAY())</f>
        <v/>
      </c>
      <c r="T34" s="37"/>
      <c r="U34" s="37"/>
      <c r="V34" s="40" t="str">
        <f aca="false">IFERROR(INDEX('Azure Resource Map'!$D$2:$D$2001,MATCH($C34,'Azure Resource Map'!$A$2:$A$2001,0)),"")</f>
        <v/>
      </c>
      <c r="W34" s="39" t="str">
        <f aca="false">IFERROR(INDEX('Azure Resource Map'!$E$2:$E$2001,MATCH($C34,'Azure Resource Map'!$A$2:$A$2001,0)),"")</f>
        <v/>
      </c>
      <c r="X34" s="39" t="str">
        <f aca="false">IFERROR(INDEX('Azure Resource Map'!$F$2:$F$2001,MATCH($C34,'Azure Resource Map'!$A$2:$A$2001,0)),"")</f>
        <v/>
      </c>
      <c r="Y34" s="39" t="str">
        <f aca="false">IF($C34="","",IF(ISNUMBER(MATCH($C34,'CA Exclusion Map'!$A$2:$A$2001,0)),"Yes","No"))</f>
        <v/>
      </c>
      <c r="Z34" s="39" t="str">
        <f aca="false">IFERROR(INDEX('CA Exclusion Map'!$D$2:$D$2001,MATCH($C34,'CA Exclusion Map'!$A$2:$A$2001,0)),"")</f>
        <v/>
      </c>
      <c r="AA34" s="40" t="str">
        <f aca="false">IFERROR(INDEX('CA Exclusion Map'!$E$2:$E$2001,MATCH($C34,'CA Exclusion Map'!$A$2:$A$2001,0)),"")</f>
        <v/>
      </c>
      <c r="AB34" s="40" t="str">
        <f aca="false">IFERROR(INDEX('CA Exclusion Map'!$F$2:$F$2001,MATCH($C34,'CA Exclusion Map'!$A$2:$A$2001,0)),"")</f>
        <v/>
      </c>
      <c r="AC34" s="36"/>
      <c r="AD34" s="37"/>
      <c r="AE34" s="38"/>
      <c r="AF34" s="38"/>
      <c r="AG34" s="39" t="str">
        <f aca="true">IF(Y34="","",IF(Y34&lt;&gt;"Yes","N/A",IF(AF34="","NO EXPIRY SET",IF(TODAY()&gt;AF34,"EXPIRED",IF(AF34-TODAY()&lt;=30,"Expiring Soon","Active")))))</f>
        <v/>
      </c>
      <c r="AH34" s="36"/>
      <c r="AI34" s="36"/>
      <c r="AJ34" s="37"/>
      <c r="AK34" s="36"/>
      <c r="AL34" s="37"/>
      <c r="AM34" s="37"/>
      <c r="AN34" s="37"/>
      <c r="AO34" s="37"/>
      <c r="AP34" s="38"/>
      <c r="AQ34" s="37"/>
      <c r="AR34" s="37"/>
      <c r="AS34" s="41" t="str">
        <f aca="false">IF(AP34="","",AP34+90)</f>
        <v/>
      </c>
      <c r="AT34" s="39" t="str">
        <f aca="true">IF(C34="","",IF(AP34="","NOT REVIEWED",IF(TODAY()&gt;AS34,"OVERDUE",IF(AS34-TODAY()&lt;=14,"Due Soon","Current"))))</f>
        <v/>
      </c>
      <c r="AU34" s="36"/>
    </row>
    <row r="35" customFormat="false" ht="15" hidden="false" customHeight="false" outlineLevel="0" collapsed="false">
      <c r="A35" s="36"/>
      <c r="B35" s="36"/>
      <c r="C35" s="36"/>
      <c r="D35" s="37"/>
      <c r="E35" s="37"/>
      <c r="F35" s="37"/>
      <c r="G35" s="38"/>
      <c r="H35" s="38"/>
      <c r="I35" s="36"/>
      <c r="J35" s="38"/>
      <c r="K35" s="37"/>
      <c r="L35" s="36"/>
      <c r="M35" s="37"/>
      <c r="N35" s="37"/>
      <c r="O35" s="37"/>
      <c r="P35" s="37"/>
      <c r="Q35" s="36"/>
      <c r="R35" s="39" t="str">
        <f aca="true">IF(H35="","",TODAY()-H35)</f>
        <v/>
      </c>
      <c r="S35" s="39" t="str">
        <f aca="true">IF(J35="","",J35-TODAY())</f>
        <v/>
      </c>
      <c r="T35" s="37"/>
      <c r="U35" s="37"/>
      <c r="V35" s="40" t="str">
        <f aca="false">IFERROR(INDEX('Azure Resource Map'!$D$2:$D$2001,MATCH($C35,'Azure Resource Map'!$A$2:$A$2001,0)),"")</f>
        <v/>
      </c>
      <c r="W35" s="39" t="str">
        <f aca="false">IFERROR(INDEX('Azure Resource Map'!$E$2:$E$2001,MATCH($C35,'Azure Resource Map'!$A$2:$A$2001,0)),"")</f>
        <v/>
      </c>
      <c r="X35" s="39" t="str">
        <f aca="false">IFERROR(INDEX('Azure Resource Map'!$F$2:$F$2001,MATCH($C35,'Azure Resource Map'!$A$2:$A$2001,0)),"")</f>
        <v/>
      </c>
      <c r="Y35" s="39" t="str">
        <f aca="false">IF($C35="","",IF(ISNUMBER(MATCH($C35,'CA Exclusion Map'!$A$2:$A$2001,0)),"Yes","No"))</f>
        <v/>
      </c>
      <c r="Z35" s="39" t="str">
        <f aca="false">IFERROR(INDEX('CA Exclusion Map'!$D$2:$D$2001,MATCH($C35,'CA Exclusion Map'!$A$2:$A$2001,0)),"")</f>
        <v/>
      </c>
      <c r="AA35" s="40" t="str">
        <f aca="false">IFERROR(INDEX('CA Exclusion Map'!$E$2:$E$2001,MATCH($C35,'CA Exclusion Map'!$A$2:$A$2001,0)),"")</f>
        <v/>
      </c>
      <c r="AB35" s="40" t="str">
        <f aca="false">IFERROR(INDEX('CA Exclusion Map'!$F$2:$F$2001,MATCH($C35,'CA Exclusion Map'!$A$2:$A$2001,0)),"")</f>
        <v/>
      </c>
      <c r="AC35" s="36"/>
      <c r="AD35" s="37"/>
      <c r="AE35" s="38"/>
      <c r="AF35" s="38"/>
      <c r="AG35" s="39" t="str">
        <f aca="true">IF(Y35="","",IF(Y35&lt;&gt;"Yes","N/A",IF(AF35="","NO EXPIRY SET",IF(TODAY()&gt;AF35,"EXPIRED",IF(AF35-TODAY()&lt;=30,"Expiring Soon","Active")))))</f>
        <v/>
      </c>
      <c r="AH35" s="36"/>
      <c r="AI35" s="36"/>
      <c r="AJ35" s="37"/>
      <c r="AK35" s="36"/>
      <c r="AL35" s="37"/>
      <c r="AM35" s="37"/>
      <c r="AN35" s="37"/>
      <c r="AO35" s="37"/>
      <c r="AP35" s="38"/>
      <c r="AQ35" s="37"/>
      <c r="AR35" s="37"/>
      <c r="AS35" s="41" t="str">
        <f aca="false">IF(AP35="","",AP35+90)</f>
        <v/>
      </c>
      <c r="AT35" s="39" t="str">
        <f aca="true">IF(C35="","",IF(AP35="","NOT REVIEWED",IF(TODAY()&gt;AS35,"OVERDUE",IF(AS35-TODAY()&lt;=14,"Due Soon","Current"))))</f>
        <v/>
      </c>
      <c r="AU35" s="36"/>
    </row>
    <row r="36" customFormat="false" ht="15" hidden="false" customHeight="false" outlineLevel="0" collapsed="false">
      <c r="A36" s="36"/>
      <c r="B36" s="36"/>
      <c r="C36" s="36"/>
      <c r="D36" s="37"/>
      <c r="E36" s="37"/>
      <c r="F36" s="37"/>
      <c r="G36" s="38"/>
      <c r="H36" s="38"/>
      <c r="I36" s="36"/>
      <c r="J36" s="38"/>
      <c r="K36" s="37"/>
      <c r="L36" s="36"/>
      <c r="M36" s="37"/>
      <c r="N36" s="37"/>
      <c r="O36" s="37"/>
      <c r="P36" s="37"/>
      <c r="Q36" s="36"/>
      <c r="R36" s="39" t="str">
        <f aca="true">IF(H36="","",TODAY()-H36)</f>
        <v/>
      </c>
      <c r="S36" s="39" t="str">
        <f aca="true">IF(J36="","",J36-TODAY())</f>
        <v/>
      </c>
      <c r="T36" s="37"/>
      <c r="U36" s="37"/>
      <c r="V36" s="40" t="str">
        <f aca="false">IFERROR(INDEX('Azure Resource Map'!$D$2:$D$2001,MATCH($C36,'Azure Resource Map'!$A$2:$A$2001,0)),"")</f>
        <v/>
      </c>
      <c r="W36" s="39" t="str">
        <f aca="false">IFERROR(INDEX('Azure Resource Map'!$E$2:$E$2001,MATCH($C36,'Azure Resource Map'!$A$2:$A$2001,0)),"")</f>
        <v/>
      </c>
      <c r="X36" s="39" t="str">
        <f aca="false">IFERROR(INDEX('Azure Resource Map'!$F$2:$F$2001,MATCH($C36,'Azure Resource Map'!$A$2:$A$2001,0)),"")</f>
        <v/>
      </c>
      <c r="Y36" s="39" t="str">
        <f aca="false">IF($C36="","",IF(ISNUMBER(MATCH($C36,'CA Exclusion Map'!$A$2:$A$2001,0)),"Yes","No"))</f>
        <v/>
      </c>
      <c r="Z36" s="39" t="str">
        <f aca="false">IFERROR(INDEX('CA Exclusion Map'!$D$2:$D$2001,MATCH($C36,'CA Exclusion Map'!$A$2:$A$2001,0)),"")</f>
        <v/>
      </c>
      <c r="AA36" s="40" t="str">
        <f aca="false">IFERROR(INDEX('CA Exclusion Map'!$E$2:$E$2001,MATCH($C36,'CA Exclusion Map'!$A$2:$A$2001,0)),"")</f>
        <v/>
      </c>
      <c r="AB36" s="40" t="str">
        <f aca="false">IFERROR(INDEX('CA Exclusion Map'!$F$2:$F$2001,MATCH($C36,'CA Exclusion Map'!$A$2:$A$2001,0)),"")</f>
        <v/>
      </c>
      <c r="AC36" s="36"/>
      <c r="AD36" s="37"/>
      <c r="AE36" s="38"/>
      <c r="AF36" s="38"/>
      <c r="AG36" s="39" t="str">
        <f aca="true">IF(Y36="","",IF(Y36&lt;&gt;"Yes","N/A",IF(AF36="","NO EXPIRY SET",IF(TODAY()&gt;AF36,"EXPIRED",IF(AF36-TODAY()&lt;=30,"Expiring Soon","Active")))))</f>
        <v/>
      </c>
      <c r="AH36" s="36"/>
      <c r="AI36" s="36"/>
      <c r="AJ36" s="37"/>
      <c r="AK36" s="36"/>
      <c r="AL36" s="37"/>
      <c r="AM36" s="37"/>
      <c r="AN36" s="37"/>
      <c r="AO36" s="37"/>
      <c r="AP36" s="38"/>
      <c r="AQ36" s="37"/>
      <c r="AR36" s="37"/>
      <c r="AS36" s="41" t="str">
        <f aca="false">IF(AP36="","",AP36+90)</f>
        <v/>
      </c>
      <c r="AT36" s="39" t="str">
        <f aca="true">IF(C36="","",IF(AP36="","NOT REVIEWED",IF(TODAY()&gt;AS36,"OVERDUE",IF(AS36-TODAY()&lt;=14,"Due Soon","Current"))))</f>
        <v/>
      </c>
      <c r="AU36" s="36"/>
    </row>
    <row r="37" customFormat="false" ht="15" hidden="false" customHeight="false" outlineLevel="0" collapsed="false">
      <c r="A37" s="36"/>
      <c r="B37" s="36"/>
      <c r="C37" s="36"/>
      <c r="D37" s="37"/>
      <c r="E37" s="37"/>
      <c r="F37" s="37"/>
      <c r="G37" s="38"/>
      <c r="H37" s="38"/>
      <c r="I37" s="36"/>
      <c r="J37" s="38"/>
      <c r="K37" s="37"/>
      <c r="L37" s="36"/>
      <c r="M37" s="37"/>
      <c r="N37" s="37"/>
      <c r="O37" s="37"/>
      <c r="P37" s="37"/>
      <c r="Q37" s="36"/>
      <c r="R37" s="39" t="str">
        <f aca="true">IF(H37="","",TODAY()-H37)</f>
        <v/>
      </c>
      <c r="S37" s="39" t="str">
        <f aca="true">IF(J37="","",J37-TODAY())</f>
        <v/>
      </c>
      <c r="T37" s="37"/>
      <c r="U37" s="37"/>
      <c r="V37" s="40" t="str">
        <f aca="false">IFERROR(INDEX('Azure Resource Map'!$D$2:$D$2001,MATCH($C37,'Azure Resource Map'!$A$2:$A$2001,0)),"")</f>
        <v/>
      </c>
      <c r="W37" s="39" t="str">
        <f aca="false">IFERROR(INDEX('Azure Resource Map'!$E$2:$E$2001,MATCH($C37,'Azure Resource Map'!$A$2:$A$2001,0)),"")</f>
        <v/>
      </c>
      <c r="X37" s="39" t="str">
        <f aca="false">IFERROR(INDEX('Azure Resource Map'!$F$2:$F$2001,MATCH($C37,'Azure Resource Map'!$A$2:$A$2001,0)),"")</f>
        <v/>
      </c>
      <c r="Y37" s="39" t="str">
        <f aca="false">IF($C37="","",IF(ISNUMBER(MATCH($C37,'CA Exclusion Map'!$A$2:$A$2001,0)),"Yes","No"))</f>
        <v/>
      </c>
      <c r="Z37" s="39" t="str">
        <f aca="false">IFERROR(INDEX('CA Exclusion Map'!$D$2:$D$2001,MATCH($C37,'CA Exclusion Map'!$A$2:$A$2001,0)),"")</f>
        <v/>
      </c>
      <c r="AA37" s="40" t="str">
        <f aca="false">IFERROR(INDEX('CA Exclusion Map'!$E$2:$E$2001,MATCH($C37,'CA Exclusion Map'!$A$2:$A$2001,0)),"")</f>
        <v/>
      </c>
      <c r="AB37" s="40" t="str">
        <f aca="false">IFERROR(INDEX('CA Exclusion Map'!$F$2:$F$2001,MATCH($C37,'CA Exclusion Map'!$A$2:$A$2001,0)),"")</f>
        <v/>
      </c>
      <c r="AC37" s="36"/>
      <c r="AD37" s="37"/>
      <c r="AE37" s="38"/>
      <c r="AF37" s="38"/>
      <c r="AG37" s="39" t="str">
        <f aca="true">IF(Y37="","",IF(Y37&lt;&gt;"Yes","N/A",IF(AF37="","NO EXPIRY SET",IF(TODAY()&gt;AF37,"EXPIRED",IF(AF37-TODAY()&lt;=30,"Expiring Soon","Active")))))</f>
        <v/>
      </c>
      <c r="AH37" s="36"/>
      <c r="AI37" s="36"/>
      <c r="AJ37" s="37"/>
      <c r="AK37" s="36"/>
      <c r="AL37" s="37"/>
      <c r="AM37" s="37"/>
      <c r="AN37" s="37"/>
      <c r="AO37" s="37"/>
      <c r="AP37" s="38"/>
      <c r="AQ37" s="37"/>
      <c r="AR37" s="37"/>
      <c r="AS37" s="41" t="str">
        <f aca="false">IF(AP37="","",AP37+90)</f>
        <v/>
      </c>
      <c r="AT37" s="39" t="str">
        <f aca="true">IF(C37="","",IF(AP37="","NOT REVIEWED",IF(TODAY()&gt;AS37,"OVERDUE",IF(AS37-TODAY()&lt;=14,"Due Soon","Current"))))</f>
        <v/>
      </c>
      <c r="AU37" s="36"/>
    </row>
    <row r="38" customFormat="false" ht="15" hidden="false" customHeight="false" outlineLevel="0" collapsed="false">
      <c r="A38" s="36"/>
      <c r="B38" s="36"/>
      <c r="C38" s="36"/>
      <c r="D38" s="37"/>
      <c r="E38" s="37"/>
      <c r="F38" s="37"/>
      <c r="G38" s="38"/>
      <c r="H38" s="38"/>
      <c r="I38" s="36"/>
      <c r="J38" s="38"/>
      <c r="K38" s="37"/>
      <c r="L38" s="36"/>
      <c r="M38" s="37"/>
      <c r="N38" s="37"/>
      <c r="O38" s="37"/>
      <c r="P38" s="37"/>
      <c r="Q38" s="36"/>
      <c r="R38" s="39" t="str">
        <f aca="true">IF(H38="","",TODAY()-H38)</f>
        <v/>
      </c>
      <c r="S38" s="39" t="str">
        <f aca="true">IF(J38="","",J38-TODAY())</f>
        <v/>
      </c>
      <c r="T38" s="37"/>
      <c r="U38" s="37"/>
      <c r="V38" s="40" t="str">
        <f aca="false">IFERROR(INDEX('Azure Resource Map'!$D$2:$D$2001,MATCH($C38,'Azure Resource Map'!$A$2:$A$2001,0)),"")</f>
        <v/>
      </c>
      <c r="W38" s="39" t="str">
        <f aca="false">IFERROR(INDEX('Azure Resource Map'!$E$2:$E$2001,MATCH($C38,'Azure Resource Map'!$A$2:$A$2001,0)),"")</f>
        <v/>
      </c>
      <c r="X38" s="39" t="str">
        <f aca="false">IFERROR(INDEX('Azure Resource Map'!$F$2:$F$2001,MATCH($C38,'Azure Resource Map'!$A$2:$A$2001,0)),"")</f>
        <v/>
      </c>
      <c r="Y38" s="39" t="str">
        <f aca="false">IF($C38="","",IF(ISNUMBER(MATCH($C38,'CA Exclusion Map'!$A$2:$A$2001,0)),"Yes","No"))</f>
        <v/>
      </c>
      <c r="Z38" s="39" t="str">
        <f aca="false">IFERROR(INDEX('CA Exclusion Map'!$D$2:$D$2001,MATCH($C38,'CA Exclusion Map'!$A$2:$A$2001,0)),"")</f>
        <v/>
      </c>
      <c r="AA38" s="40" t="str">
        <f aca="false">IFERROR(INDEX('CA Exclusion Map'!$E$2:$E$2001,MATCH($C38,'CA Exclusion Map'!$A$2:$A$2001,0)),"")</f>
        <v/>
      </c>
      <c r="AB38" s="40" t="str">
        <f aca="false">IFERROR(INDEX('CA Exclusion Map'!$F$2:$F$2001,MATCH($C38,'CA Exclusion Map'!$A$2:$A$2001,0)),"")</f>
        <v/>
      </c>
      <c r="AC38" s="36"/>
      <c r="AD38" s="37"/>
      <c r="AE38" s="38"/>
      <c r="AF38" s="38"/>
      <c r="AG38" s="39" t="str">
        <f aca="true">IF(Y38="","",IF(Y38&lt;&gt;"Yes","N/A",IF(AF38="","NO EXPIRY SET",IF(TODAY()&gt;AF38,"EXPIRED",IF(AF38-TODAY()&lt;=30,"Expiring Soon","Active")))))</f>
        <v/>
      </c>
      <c r="AH38" s="36"/>
      <c r="AI38" s="36"/>
      <c r="AJ38" s="37"/>
      <c r="AK38" s="36"/>
      <c r="AL38" s="37"/>
      <c r="AM38" s="37"/>
      <c r="AN38" s="37"/>
      <c r="AO38" s="37"/>
      <c r="AP38" s="38"/>
      <c r="AQ38" s="37"/>
      <c r="AR38" s="37"/>
      <c r="AS38" s="41" t="str">
        <f aca="false">IF(AP38="","",AP38+90)</f>
        <v/>
      </c>
      <c r="AT38" s="39" t="str">
        <f aca="true">IF(C38="","",IF(AP38="","NOT REVIEWED",IF(TODAY()&gt;AS38,"OVERDUE",IF(AS38-TODAY()&lt;=14,"Due Soon","Current"))))</f>
        <v/>
      </c>
      <c r="AU38" s="36"/>
    </row>
    <row r="39" customFormat="false" ht="15" hidden="false" customHeight="false" outlineLevel="0" collapsed="false">
      <c r="A39" s="36"/>
      <c r="B39" s="36"/>
      <c r="C39" s="36"/>
      <c r="D39" s="37"/>
      <c r="E39" s="37"/>
      <c r="F39" s="37"/>
      <c r="G39" s="38"/>
      <c r="H39" s="38"/>
      <c r="I39" s="36"/>
      <c r="J39" s="38"/>
      <c r="K39" s="37"/>
      <c r="L39" s="36"/>
      <c r="M39" s="37"/>
      <c r="N39" s="37"/>
      <c r="O39" s="37"/>
      <c r="P39" s="37"/>
      <c r="Q39" s="36"/>
      <c r="R39" s="39" t="str">
        <f aca="true">IF(H39="","",TODAY()-H39)</f>
        <v/>
      </c>
      <c r="S39" s="39" t="str">
        <f aca="true">IF(J39="","",J39-TODAY())</f>
        <v/>
      </c>
      <c r="T39" s="37"/>
      <c r="U39" s="37"/>
      <c r="V39" s="40" t="str">
        <f aca="false">IFERROR(INDEX('Azure Resource Map'!$D$2:$D$2001,MATCH($C39,'Azure Resource Map'!$A$2:$A$2001,0)),"")</f>
        <v/>
      </c>
      <c r="W39" s="39" t="str">
        <f aca="false">IFERROR(INDEX('Azure Resource Map'!$E$2:$E$2001,MATCH($C39,'Azure Resource Map'!$A$2:$A$2001,0)),"")</f>
        <v/>
      </c>
      <c r="X39" s="39" t="str">
        <f aca="false">IFERROR(INDEX('Azure Resource Map'!$F$2:$F$2001,MATCH($C39,'Azure Resource Map'!$A$2:$A$2001,0)),"")</f>
        <v/>
      </c>
      <c r="Y39" s="39" t="str">
        <f aca="false">IF($C39="","",IF(ISNUMBER(MATCH($C39,'CA Exclusion Map'!$A$2:$A$2001,0)),"Yes","No"))</f>
        <v/>
      </c>
      <c r="Z39" s="39" t="str">
        <f aca="false">IFERROR(INDEX('CA Exclusion Map'!$D$2:$D$2001,MATCH($C39,'CA Exclusion Map'!$A$2:$A$2001,0)),"")</f>
        <v/>
      </c>
      <c r="AA39" s="40" t="str">
        <f aca="false">IFERROR(INDEX('CA Exclusion Map'!$E$2:$E$2001,MATCH($C39,'CA Exclusion Map'!$A$2:$A$2001,0)),"")</f>
        <v/>
      </c>
      <c r="AB39" s="40" t="str">
        <f aca="false">IFERROR(INDEX('CA Exclusion Map'!$F$2:$F$2001,MATCH($C39,'CA Exclusion Map'!$A$2:$A$2001,0)),"")</f>
        <v/>
      </c>
      <c r="AC39" s="36"/>
      <c r="AD39" s="37"/>
      <c r="AE39" s="38"/>
      <c r="AF39" s="38"/>
      <c r="AG39" s="39" t="str">
        <f aca="true">IF(Y39="","",IF(Y39&lt;&gt;"Yes","N/A",IF(AF39="","NO EXPIRY SET",IF(TODAY()&gt;AF39,"EXPIRED",IF(AF39-TODAY()&lt;=30,"Expiring Soon","Active")))))</f>
        <v/>
      </c>
      <c r="AH39" s="36"/>
      <c r="AI39" s="36"/>
      <c r="AJ39" s="37"/>
      <c r="AK39" s="36"/>
      <c r="AL39" s="37"/>
      <c r="AM39" s="37"/>
      <c r="AN39" s="37"/>
      <c r="AO39" s="37"/>
      <c r="AP39" s="38"/>
      <c r="AQ39" s="37"/>
      <c r="AR39" s="37"/>
      <c r="AS39" s="41" t="str">
        <f aca="false">IF(AP39="","",AP39+90)</f>
        <v/>
      </c>
      <c r="AT39" s="39" t="str">
        <f aca="true">IF(C39="","",IF(AP39="","NOT REVIEWED",IF(TODAY()&gt;AS39,"OVERDUE",IF(AS39-TODAY()&lt;=14,"Due Soon","Current"))))</f>
        <v/>
      </c>
      <c r="AU39" s="36"/>
    </row>
    <row r="40" customFormat="false" ht="15" hidden="false" customHeight="false" outlineLevel="0" collapsed="false">
      <c r="A40" s="36"/>
      <c r="B40" s="36"/>
      <c r="C40" s="36"/>
      <c r="D40" s="37"/>
      <c r="E40" s="37"/>
      <c r="F40" s="37"/>
      <c r="G40" s="38"/>
      <c r="H40" s="38"/>
      <c r="I40" s="36"/>
      <c r="J40" s="38"/>
      <c r="K40" s="37"/>
      <c r="L40" s="36"/>
      <c r="M40" s="37"/>
      <c r="N40" s="37"/>
      <c r="O40" s="37"/>
      <c r="P40" s="37"/>
      <c r="Q40" s="36"/>
      <c r="R40" s="39" t="str">
        <f aca="true">IF(H40="","",TODAY()-H40)</f>
        <v/>
      </c>
      <c r="S40" s="39" t="str">
        <f aca="true">IF(J40="","",J40-TODAY())</f>
        <v/>
      </c>
      <c r="T40" s="37"/>
      <c r="U40" s="37"/>
      <c r="V40" s="40" t="str">
        <f aca="false">IFERROR(INDEX('Azure Resource Map'!$D$2:$D$2001,MATCH($C40,'Azure Resource Map'!$A$2:$A$2001,0)),"")</f>
        <v/>
      </c>
      <c r="W40" s="39" t="str">
        <f aca="false">IFERROR(INDEX('Azure Resource Map'!$E$2:$E$2001,MATCH($C40,'Azure Resource Map'!$A$2:$A$2001,0)),"")</f>
        <v/>
      </c>
      <c r="X40" s="39" t="str">
        <f aca="false">IFERROR(INDEX('Azure Resource Map'!$F$2:$F$2001,MATCH($C40,'Azure Resource Map'!$A$2:$A$2001,0)),"")</f>
        <v/>
      </c>
      <c r="Y40" s="39" t="str">
        <f aca="false">IF($C40="","",IF(ISNUMBER(MATCH($C40,'CA Exclusion Map'!$A$2:$A$2001,0)),"Yes","No"))</f>
        <v/>
      </c>
      <c r="Z40" s="39" t="str">
        <f aca="false">IFERROR(INDEX('CA Exclusion Map'!$D$2:$D$2001,MATCH($C40,'CA Exclusion Map'!$A$2:$A$2001,0)),"")</f>
        <v/>
      </c>
      <c r="AA40" s="40" t="str">
        <f aca="false">IFERROR(INDEX('CA Exclusion Map'!$E$2:$E$2001,MATCH($C40,'CA Exclusion Map'!$A$2:$A$2001,0)),"")</f>
        <v/>
      </c>
      <c r="AB40" s="40" t="str">
        <f aca="false">IFERROR(INDEX('CA Exclusion Map'!$F$2:$F$2001,MATCH($C40,'CA Exclusion Map'!$A$2:$A$2001,0)),"")</f>
        <v/>
      </c>
      <c r="AC40" s="36"/>
      <c r="AD40" s="37"/>
      <c r="AE40" s="38"/>
      <c r="AF40" s="38"/>
      <c r="AG40" s="39" t="str">
        <f aca="true">IF(Y40="","",IF(Y40&lt;&gt;"Yes","N/A",IF(AF40="","NO EXPIRY SET",IF(TODAY()&gt;AF40,"EXPIRED",IF(AF40-TODAY()&lt;=30,"Expiring Soon","Active")))))</f>
        <v/>
      </c>
      <c r="AH40" s="36"/>
      <c r="AI40" s="36"/>
      <c r="AJ40" s="37"/>
      <c r="AK40" s="36"/>
      <c r="AL40" s="37"/>
      <c r="AM40" s="37"/>
      <c r="AN40" s="37"/>
      <c r="AO40" s="37"/>
      <c r="AP40" s="38"/>
      <c r="AQ40" s="37"/>
      <c r="AR40" s="37"/>
      <c r="AS40" s="41" t="str">
        <f aca="false">IF(AP40="","",AP40+90)</f>
        <v/>
      </c>
      <c r="AT40" s="39" t="str">
        <f aca="true">IF(C40="","",IF(AP40="","NOT REVIEWED",IF(TODAY()&gt;AS40,"OVERDUE",IF(AS40-TODAY()&lt;=14,"Due Soon","Current"))))</f>
        <v/>
      </c>
      <c r="AU40" s="36"/>
    </row>
    <row r="41" customFormat="false" ht="15" hidden="false" customHeight="false" outlineLevel="0" collapsed="false">
      <c r="A41" s="36"/>
      <c r="B41" s="36"/>
      <c r="C41" s="36"/>
      <c r="D41" s="37"/>
      <c r="E41" s="37"/>
      <c r="F41" s="37"/>
      <c r="G41" s="38"/>
      <c r="H41" s="38"/>
      <c r="I41" s="36"/>
      <c r="J41" s="38"/>
      <c r="K41" s="37"/>
      <c r="L41" s="36"/>
      <c r="M41" s="37"/>
      <c r="N41" s="37"/>
      <c r="O41" s="37"/>
      <c r="P41" s="37"/>
      <c r="Q41" s="36"/>
      <c r="R41" s="39" t="str">
        <f aca="true">IF(H41="","",TODAY()-H41)</f>
        <v/>
      </c>
      <c r="S41" s="39" t="str">
        <f aca="true">IF(J41="","",J41-TODAY())</f>
        <v/>
      </c>
      <c r="T41" s="37"/>
      <c r="U41" s="37"/>
      <c r="V41" s="40" t="str">
        <f aca="false">IFERROR(INDEX('Azure Resource Map'!$D$2:$D$2001,MATCH($C41,'Azure Resource Map'!$A$2:$A$2001,0)),"")</f>
        <v/>
      </c>
      <c r="W41" s="39" t="str">
        <f aca="false">IFERROR(INDEX('Azure Resource Map'!$E$2:$E$2001,MATCH($C41,'Azure Resource Map'!$A$2:$A$2001,0)),"")</f>
        <v/>
      </c>
      <c r="X41" s="39" t="str">
        <f aca="false">IFERROR(INDEX('Azure Resource Map'!$F$2:$F$2001,MATCH($C41,'Azure Resource Map'!$A$2:$A$2001,0)),"")</f>
        <v/>
      </c>
      <c r="Y41" s="39" t="str">
        <f aca="false">IF($C41="","",IF(ISNUMBER(MATCH($C41,'CA Exclusion Map'!$A$2:$A$2001,0)),"Yes","No"))</f>
        <v/>
      </c>
      <c r="Z41" s="39" t="str">
        <f aca="false">IFERROR(INDEX('CA Exclusion Map'!$D$2:$D$2001,MATCH($C41,'CA Exclusion Map'!$A$2:$A$2001,0)),"")</f>
        <v/>
      </c>
      <c r="AA41" s="40" t="str">
        <f aca="false">IFERROR(INDEX('CA Exclusion Map'!$E$2:$E$2001,MATCH($C41,'CA Exclusion Map'!$A$2:$A$2001,0)),"")</f>
        <v/>
      </c>
      <c r="AB41" s="40" t="str">
        <f aca="false">IFERROR(INDEX('CA Exclusion Map'!$F$2:$F$2001,MATCH($C41,'CA Exclusion Map'!$A$2:$A$2001,0)),"")</f>
        <v/>
      </c>
      <c r="AC41" s="36"/>
      <c r="AD41" s="37"/>
      <c r="AE41" s="38"/>
      <c r="AF41" s="38"/>
      <c r="AG41" s="39" t="str">
        <f aca="true">IF(Y41="","",IF(Y41&lt;&gt;"Yes","N/A",IF(AF41="","NO EXPIRY SET",IF(TODAY()&gt;AF41,"EXPIRED",IF(AF41-TODAY()&lt;=30,"Expiring Soon","Active")))))</f>
        <v/>
      </c>
      <c r="AH41" s="36"/>
      <c r="AI41" s="36"/>
      <c r="AJ41" s="37"/>
      <c r="AK41" s="36"/>
      <c r="AL41" s="37"/>
      <c r="AM41" s="37"/>
      <c r="AN41" s="37"/>
      <c r="AO41" s="37"/>
      <c r="AP41" s="38"/>
      <c r="AQ41" s="37"/>
      <c r="AR41" s="37"/>
      <c r="AS41" s="41" t="str">
        <f aca="false">IF(AP41="","",AP41+90)</f>
        <v/>
      </c>
      <c r="AT41" s="39" t="str">
        <f aca="true">IF(C41="","",IF(AP41="","NOT REVIEWED",IF(TODAY()&gt;AS41,"OVERDUE",IF(AS41-TODAY()&lt;=14,"Due Soon","Current"))))</f>
        <v/>
      </c>
      <c r="AU41" s="36"/>
    </row>
    <row r="42" customFormat="false" ht="15" hidden="false" customHeight="false" outlineLevel="0" collapsed="false">
      <c r="A42" s="36"/>
      <c r="B42" s="36"/>
      <c r="C42" s="36"/>
      <c r="D42" s="37"/>
      <c r="E42" s="37"/>
      <c r="F42" s="37"/>
      <c r="G42" s="38"/>
      <c r="H42" s="38"/>
      <c r="I42" s="36"/>
      <c r="J42" s="38"/>
      <c r="K42" s="37"/>
      <c r="L42" s="36"/>
      <c r="M42" s="37"/>
      <c r="N42" s="37"/>
      <c r="O42" s="37"/>
      <c r="P42" s="37"/>
      <c r="Q42" s="36"/>
      <c r="R42" s="39" t="str">
        <f aca="true">IF(H42="","",TODAY()-H42)</f>
        <v/>
      </c>
      <c r="S42" s="39" t="str">
        <f aca="true">IF(J42="","",J42-TODAY())</f>
        <v/>
      </c>
      <c r="T42" s="37"/>
      <c r="U42" s="37"/>
      <c r="V42" s="40" t="str">
        <f aca="false">IFERROR(INDEX('Azure Resource Map'!$D$2:$D$2001,MATCH($C42,'Azure Resource Map'!$A$2:$A$2001,0)),"")</f>
        <v/>
      </c>
      <c r="W42" s="39" t="str">
        <f aca="false">IFERROR(INDEX('Azure Resource Map'!$E$2:$E$2001,MATCH($C42,'Azure Resource Map'!$A$2:$A$2001,0)),"")</f>
        <v/>
      </c>
      <c r="X42" s="39" t="str">
        <f aca="false">IFERROR(INDEX('Azure Resource Map'!$F$2:$F$2001,MATCH($C42,'Azure Resource Map'!$A$2:$A$2001,0)),"")</f>
        <v/>
      </c>
      <c r="Y42" s="39" t="str">
        <f aca="false">IF($C42="","",IF(ISNUMBER(MATCH($C42,'CA Exclusion Map'!$A$2:$A$2001,0)),"Yes","No"))</f>
        <v/>
      </c>
      <c r="Z42" s="39" t="str">
        <f aca="false">IFERROR(INDEX('CA Exclusion Map'!$D$2:$D$2001,MATCH($C42,'CA Exclusion Map'!$A$2:$A$2001,0)),"")</f>
        <v/>
      </c>
      <c r="AA42" s="40" t="str">
        <f aca="false">IFERROR(INDEX('CA Exclusion Map'!$E$2:$E$2001,MATCH($C42,'CA Exclusion Map'!$A$2:$A$2001,0)),"")</f>
        <v/>
      </c>
      <c r="AB42" s="40" t="str">
        <f aca="false">IFERROR(INDEX('CA Exclusion Map'!$F$2:$F$2001,MATCH($C42,'CA Exclusion Map'!$A$2:$A$2001,0)),"")</f>
        <v/>
      </c>
      <c r="AC42" s="36"/>
      <c r="AD42" s="37"/>
      <c r="AE42" s="38"/>
      <c r="AF42" s="38"/>
      <c r="AG42" s="39" t="str">
        <f aca="true">IF(Y42="","",IF(Y42&lt;&gt;"Yes","N/A",IF(AF42="","NO EXPIRY SET",IF(TODAY()&gt;AF42,"EXPIRED",IF(AF42-TODAY()&lt;=30,"Expiring Soon","Active")))))</f>
        <v/>
      </c>
      <c r="AH42" s="36"/>
      <c r="AI42" s="36"/>
      <c r="AJ42" s="37"/>
      <c r="AK42" s="36"/>
      <c r="AL42" s="37"/>
      <c r="AM42" s="37"/>
      <c r="AN42" s="37"/>
      <c r="AO42" s="37"/>
      <c r="AP42" s="38"/>
      <c r="AQ42" s="37"/>
      <c r="AR42" s="37"/>
      <c r="AS42" s="41" t="str">
        <f aca="false">IF(AP42="","",AP42+90)</f>
        <v/>
      </c>
      <c r="AT42" s="39" t="str">
        <f aca="true">IF(C42="","",IF(AP42="","NOT REVIEWED",IF(TODAY()&gt;AS42,"OVERDUE",IF(AS42-TODAY()&lt;=14,"Due Soon","Current"))))</f>
        <v/>
      </c>
      <c r="AU42" s="36"/>
    </row>
    <row r="43" customFormat="false" ht="15" hidden="false" customHeight="false" outlineLevel="0" collapsed="false">
      <c r="A43" s="36"/>
      <c r="B43" s="36"/>
      <c r="C43" s="36"/>
      <c r="D43" s="37"/>
      <c r="E43" s="37"/>
      <c r="F43" s="37"/>
      <c r="G43" s="38"/>
      <c r="H43" s="38"/>
      <c r="I43" s="36"/>
      <c r="J43" s="38"/>
      <c r="K43" s="37"/>
      <c r="L43" s="36"/>
      <c r="M43" s="37"/>
      <c r="N43" s="37"/>
      <c r="O43" s="37"/>
      <c r="P43" s="37"/>
      <c r="Q43" s="36"/>
      <c r="R43" s="39" t="str">
        <f aca="true">IF(H43="","",TODAY()-H43)</f>
        <v/>
      </c>
      <c r="S43" s="39" t="str">
        <f aca="true">IF(J43="","",J43-TODAY())</f>
        <v/>
      </c>
      <c r="T43" s="37"/>
      <c r="U43" s="37"/>
      <c r="V43" s="40" t="str">
        <f aca="false">IFERROR(INDEX('Azure Resource Map'!$D$2:$D$2001,MATCH($C43,'Azure Resource Map'!$A$2:$A$2001,0)),"")</f>
        <v/>
      </c>
      <c r="W43" s="39" t="str">
        <f aca="false">IFERROR(INDEX('Azure Resource Map'!$E$2:$E$2001,MATCH($C43,'Azure Resource Map'!$A$2:$A$2001,0)),"")</f>
        <v/>
      </c>
      <c r="X43" s="39" t="str">
        <f aca="false">IFERROR(INDEX('Azure Resource Map'!$F$2:$F$2001,MATCH($C43,'Azure Resource Map'!$A$2:$A$2001,0)),"")</f>
        <v/>
      </c>
      <c r="Y43" s="39" t="str">
        <f aca="false">IF($C43="","",IF(ISNUMBER(MATCH($C43,'CA Exclusion Map'!$A$2:$A$2001,0)),"Yes","No"))</f>
        <v/>
      </c>
      <c r="Z43" s="39" t="str">
        <f aca="false">IFERROR(INDEX('CA Exclusion Map'!$D$2:$D$2001,MATCH($C43,'CA Exclusion Map'!$A$2:$A$2001,0)),"")</f>
        <v/>
      </c>
      <c r="AA43" s="40" t="str">
        <f aca="false">IFERROR(INDEX('CA Exclusion Map'!$E$2:$E$2001,MATCH($C43,'CA Exclusion Map'!$A$2:$A$2001,0)),"")</f>
        <v/>
      </c>
      <c r="AB43" s="40" t="str">
        <f aca="false">IFERROR(INDEX('CA Exclusion Map'!$F$2:$F$2001,MATCH($C43,'CA Exclusion Map'!$A$2:$A$2001,0)),"")</f>
        <v/>
      </c>
      <c r="AC43" s="36"/>
      <c r="AD43" s="37"/>
      <c r="AE43" s="38"/>
      <c r="AF43" s="38"/>
      <c r="AG43" s="39" t="str">
        <f aca="true">IF(Y43="","",IF(Y43&lt;&gt;"Yes","N/A",IF(AF43="","NO EXPIRY SET",IF(TODAY()&gt;AF43,"EXPIRED",IF(AF43-TODAY()&lt;=30,"Expiring Soon","Active")))))</f>
        <v/>
      </c>
      <c r="AH43" s="36"/>
      <c r="AI43" s="36"/>
      <c r="AJ43" s="37"/>
      <c r="AK43" s="36"/>
      <c r="AL43" s="37"/>
      <c r="AM43" s="37"/>
      <c r="AN43" s="37"/>
      <c r="AO43" s="37"/>
      <c r="AP43" s="38"/>
      <c r="AQ43" s="37"/>
      <c r="AR43" s="37"/>
      <c r="AS43" s="41" t="str">
        <f aca="false">IF(AP43="","",AP43+90)</f>
        <v/>
      </c>
      <c r="AT43" s="39" t="str">
        <f aca="true">IF(C43="","",IF(AP43="","NOT REVIEWED",IF(TODAY()&gt;AS43,"OVERDUE",IF(AS43-TODAY()&lt;=14,"Due Soon","Current"))))</f>
        <v/>
      </c>
      <c r="AU43" s="36"/>
    </row>
    <row r="44" customFormat="false" ht="15" hidden="false" customHeight="false" outlineLevel="0" collapsed="false">
      <c r="A44" s="36"/>
      <c r="B44" s="36"/>
      <c r="C44" s="36"/>
      <c r="D44" s="37"/>
      <c r="E44" s="37"/>
      <c r="F44" s="37"/>
      <c r="G44" s="38"/>
      <c r="H44" s="38"/>
      <c r="I44" s="36"/>
      <c r="J44" s="38"/>
      <c r="K44" s="37"/>
      <c r="L44" s="36"/>
      <c r="M44" s="37"/>
      <c r="N44" s="37"/>
      <c r="O44" s="37"/>
      <c r="P44" s="37"/>
      <c r="Q44" s="36"/>
      <c r="R44" s="39" t="str">
        <f aca="true">IF(H44="","",TODAY()-H44)</f>
        <v/>
      </c>
      <c r="S44" s="39" t="str">
        <f aca="true">IF(J44="","",J44-TODAY())</f>
        <v/>
      </c>
      <c r="T44" s="37"/>
      <c r="U44" s="37"/>
      <c r="V44" s="40" t="str">
        <f aca="false">IFERROR(INDEX('Azure Resource Map'!$D$2:$D$2001,MATCH($C44,'Azure Resource Map'!$A$2:$A$2001,0)),"")</f>
        <v/>
      </c>
      <c r="W44" s="39" t="str">
        <f aca="false">IFERROR(INDEX('Azure Resource Map'!$E$2:$E$2001,MATCH($C44,'Azure Resource Map'!$A$2:$A$2001,0)),"")</f>
        <v/>
      </c>
      <c r="X44" s="39" t="str">
        <f aca="false">IFERROR(INDEX('Azure Resource Map'!$F$2:$F$2001,MATCH($C44,'Azure Resource Map'!$A$2:$A$2001,0)),"")</f>
        <v/>
      </c>
      <c r="Y44" s="39" t="str">
        <f aca="false">IF($C44="","",IF(ISNUMBER(MATCH($C44,'CA Exclusion Map'!$A$2:$A$2001,0)),"Yes","No"))</f>
        <v/>
      </c>
      <c r="Z44" s="39" t="str">
        <f aca="false">IFERROR(INDEX('CA Exclusion Map'!$D$2:$D$2001,MATCH($C44,'CA Exclusion Map'!$A$2:$A$2001,0)),"")</f>
        <v/>
      </c>
      <c r="AA44" s="40" t="str">
        <f aca="false">IFERROR(INDEX('CA Exclusion Map'!$E$2:$E$2001,MATCH($C44,'CA Exclusion Map'!$A$2:$A$2001,0)),"")</f>
        <v/>
      </c>
      <c r="AB44" s="40" t="str">
        <f aca="false">IFERROR(INDEX('CA Exclusion Map'!$F$2:$F$2001,MATCH($C44,'CA Exclusion Map'!$A$2:$A$2001,0)),"")</f>
        <v/>
      </c>
      <c r="AC44" s="36"/>
      <c r="AD44" s="37"/>
      <c r="AE44" s="38"/>
      <c r="AF44" s="38"/>
      <c r="AG44" s="39" t="str">
        <f aca="true">IF(Y44="","",IF(Y44&lt;&gt;"Yes","N/A",IF(AF44="","NO EXPIRY SET",IF(TODAY()&gt;AF44,"EXPIRED",IF(AF44-TODAY()&lt;=30,"Expiring Soon","Active")))))</f>
        <v/>
      </c>
      <c r="AH44" s="36"/>
      <c r="AI44" s="36"/>
      <c r="AJ44" s="37"/>
      <c r="AK44" s="36"/>
      <c r="AL44" s="37"/>
      <c r="AM44" s="37"/>
      <c r="AN44" s="37"/>
      <c r="AO44" s="37"/>
      <c r="AP44" s="38"/>
      <c r="AQ44" s="37"/>
      <c r="AR44" s="37"/>
      <c r="AS44" s="41" t="str">
        <f aca="false">IF(AP44="","",AP44+90)</f>
        <v/>
      </c>
      <c r="AT44" s="39" t="str">
        <f aca="true">IF(C44="","",IF(AP44="","NOT REVIEWED",IF(TODAY()&gt;AS44,"OVERDUE",IF(AS44-TODAY()&lt;=14,"Due Soon","Current"))))</f>
        <v/>
      </c>
      <c r="AU44" s="36"/>
    </row>
    <row r="45" customFormat="false" ht="15" hidden="false" customHeight="false" outlineLevel="0" collapsed="false">
      <c r="A45" s="36"/>
      <c r="B45" s="36"/>
      <c r="C45" s="36"/>
      <c r="D45" s="37"/>
      <c r="E45" s="37"/>
      <c r="F45" s="37"/>
      <c r="G45" s="38"/>
      <c r="H45" s="38"/>
      <c r="I45" s="36"/>
      <c r="J45" s="38"/>
      <c r="K45" s="37"/>
      <c r="L45" s="36"/>
      <c r="M45" s="37"/>
      <c r="N45" s="37"/>
      <c r="O45" s="37"/>
      <c r="P45" s="37"/>
      <c r="Q45" s="36"/>
      <c r="R45" s="39" t="str">
        <f aca="true">IF(H45="","",TODAY()-H45)</f>
        <v/>
      </c>
      <c r="S45" s="39" t="str">
        <f aca="true">IF(J45="","",J45-TODAY())</f>
        <v/>
      </c>
      <c r="T45" s="37"/>
      <c r="U45" s="37"/>
      <c r="V45" s="40" t="str">
        <f aca="false">IFERROR(INDEX('Azure Resource Map'!$D$2:$D$2001,MATCH($C45,'Azure Resource Map'!$A$2:$A$2001,0)),"")</f>
        <v/>
      </c>
      <c r="W45" s="39" t="str">
        <f aca="false">IFERROR(INDEX('Azure Resource Map'!$E$2:$E$2001,MATCH($C45,'Azure Resource Map'!$A$2:$A$2001,0)),"")</f>
        <v/>
      </c>
      <c r="X45" s="39" t="str">
        <f aca="false">IFERROR(INDEX('Azure Resource Map'!$F$2:$F$2001,MATCH($C45,'Azure Resource Map'!$A$2:$A$2001,0)),"")</f>
        <v/>
      </c>
      <c r="Y45" s="39" t="str">
        <f aca="false">IF($C45="","",IF(ISNUMBER(MATCH($C45,'CA Exclusion Map'!$A$2:$A$2001,0)),"Yes","No"))</f>
        <v/>
      </c>
      <c r="Z45" s="39" t="str">
        <f aca="false">IFERROR(INDEX('CA Exclusion Map'!$D$2:$D$2001,MATCH($C45,'CA Exclusion Map'!$A$2:$A$2001,0)),"")</f>
        <v/>
      </c>
      <c r="AA45" s="40" t="str">
        <f aca="false">IFERROR(INDEX('CA Exclusion Map'!$E$2:$E$2001,MATCH($C45,'CA Exclusion Map'!$A$2:$A$2001,0)),"")</f>
        <v/>
      </c>
      <c r="AB45" s="40" t="str">
        <f aca="false">IFERROR(INDEX('CA Exclusion Map'!$F$2:$F$2001,MATCH($C45,'CA Exclusion Map'!$A$2:$A$2001,0)),"")</f>
        <v/>
      </c>
      <c r="AC45" s="36"/>
      <c r="AD45" s="37"/>
      <c r="AE45" s="38"/>
      <c r="AF45" s="38"/>
      <c r="AG45" s="39" t="str">
        <f aca="true">IF(Y45="","",IF(Y45&lt;&gt;"Yes","N/A",IF(AF45="","NO EXPIRY SET",IF(TODAY()&gt;AF45,"EXPIRED",IF(AF45-TODAY()&lt;=30,"Expiring Soon","Active")))))</f>
        <v/>
      </c>
      <c r="AH45" s="36"/>
      <c r="AI45" s="36"/>
      <c r="AJ45" s="37"/>
      <c r="AK45" s="36"/>
      <c r="AL45" s="37"/>
      <c r="AM45" s="37"/>
      <c r="AN45" s="37"/>
      <c r="AO45" s="37"/>
      <c r="AP45" s="38"/>
      <c r="AQ45" s="37"/>
      <c r="AR45" s="37"/>
      <c r="AS45" s="41" t="str">
        <f aca="false">IF(AP45="","",AP45+90)</f>
        <v/>
      </c>
      <c r="AT45" s="39" t="str">
        <f aca="true">IF(C45="","",IF(AP45="","NOT REVIEWED",IF(TODAY()&gt;AS45,"OVERDUE",IF(AS45-TODAY()&lt;=14,"Due Soon","Current"))))</f>
        <v/>
      </c>
      <c r="AU45" s="36"/>
    </row>
    <row r="46" customFormat="false" ht="15" hidden="false" customHeight="false" outlineLevel="0" collapsed="false">
      <c r="A46" s="36"/>
      <c r="B46" s="36"/>
      <c r="C46" s="36"/>
      <c r="D46" s="37"/>
      <c r="E46" s="37"/>
      <c r="F46" s="37"/>
      <c r="G46" s="38"/>
      <c r="H46" s="38"/>
      <c r="I46" s="36"/>
      <c r="J46" s="38"/>
      <c r="K46" s="37"/>
      <c r="L46" s="36"/>
      <c r="M46" s="37"/>
      <c r="N46" s="37"/>
      <c r="O46" s="37"/>
      <c r="P46" s="37"/>
      <c r="Q46" s="36"/>
      <c r="R46" s="39" t="str">
        <f aca="true">IF(H46="","",TODAY()-H46)</f>
        <v/>
      </c>
      <c r="S46" s="39" t="str">
        <f aca="true">IF(J46="","",J46-TODAY())</f>
        <v/>
      </c>
      <c r="T46" s="37"/>
      <c r="U46" s="37"/>
      <c r="V46" s="40" t="str">
        <f aca="false">IFERROR(INDEX('Azure Resource Map'!$D$2:$D$2001,MATCH($C46,'Azure Resource Map'!$A$2:$A$2001,0)),"")</f>
        <v/>
      </c>
      <c r="W46" s="39" t="str">
        <f aca="false">IFERROR(INDEX('Azure Resource Map'!$E$2:$E$2001,MATCH($C46,'Azure Resource Map'!$A$2:$A$2001,0)),"")</f>
        <v/>
      </c>
      <c r="X46" s="39" t="str">
        <f aca="false">IFERROR(INDEX('Azure Resource Map'!$F$2:$F$2001,MATCH($C46,'Azure Resource Map'!$A$2:$A$2001,0)),"")</f>
        <v/>
      </c>
      <c r="Y46" s="39" t="str">
        <f aca="false">IF($C46="","",IF(ISNUMBER(MATCH($C46,'CA Exclusion Map'!$A$2:$A$2001,0)),"Yes","No"))</f>
        <v/>
      </c>
      <c r="Z46" s="39" t="str">
        <f aca="false">IFERROR(INDEX('CA Exclusion Map'!$D$2:$D$2001,MATCH($C46,'CA Exclusion Map'!$A$2:$A$2001,0)),"")</f>
        <v/>
      </c>
      <c r="AA46" s="40" t="str">
        <f aca="false">IFERROR(INDEX('CA Exclusion Map'!$E$2:$E$2001,MATCH($C46,'CA Exclusion Map'!$A$2:$A$2001,0)),"")</f>
        <v/>
      </c>
      <c r="AB46" s="40" t="str">
        <f aca="false">IFERROR(INDEX('CA Exclusion Map'!$F$2:$F$2001,MATCH($C46,'CA Exclusion Map'!$A$2:$A$2001,0)),"")</f>
        <v/>
      </c>
      <c r="AC46" s="36"/>
      <c r="AD46" s="37"/>
      <c r="AE46" s="38"/>
      <c r="AF46" s="38"/>
      <c r="AG46" s="39" t="str">
        <f aca="true">IF(Y46="","",IF(Y46&lt;&gt;"Yes","N/A",IF(AF46="","NO EXPIRY SET",IF(TODAY()&gt;AF46,"EXPIRED",IF(AF46-TODAY()&lt;=30,"Expiring Soon","Active")))))</f>
        <v/>
      </c>
      <c r="AH46" s="36"/>
      <c r="AI46" s="36"/>
      <c r="AJ46" s="37"/>
      <c r="AK46" s="36"/>
      <c r="AL46" s="37"/>
      <c r="AM46" s="37"/>
      <c r="AN46" s="37"/>
      <c r="AO46" s="37"/>
      <c r="AP46" s="38"/>
      <c r="AQ46" s="37"/>
      <c r="AR46" s="37"/>
      <c r="AS46" s="41" t="str">
        <f aca="false">IF(AP46="","",AP46+90)</f>
        <v/>
      </c>
      <c r="AT46" s="39" t="str">
        <f aca="true">IF(C46="","",IF(AP46="","NOT REVIEWED",IF(TODAY()&gt;AS46,"OVERDUE",IF(AS46-TODAY()&lt;=14,"Due Soon","Current"))))</f>
        <v/>
      </c>
      <c r="AU46" s="36"/>
    </row>
    <row r="47" customFormat="false" ht="15" hidden="false" customHeight="false" outlineLevel="0" collapsed="false">
      <c r="A47" s="36"/>
      <c r="B47" s="36"/>
      <c r="C47" s="36"/>
      <c r="D47" s="37"/>
      <c r="E47" s="37"/>
      <c r="F47" s="37"/>
      <c r="G47" s="38"/>
      <c r="H47" s="38"/>
      <c r="I47" s="36"/>
      <c r="J47" s="38"/>
      <c r="K47" s="37"/>
      <c r="L47" s="36"/>
      <c r="M47" s="37"/>
      <c r="N47" s="37"/>
      <c r="O47" s="37"/>
      <c r="P47" s="37"/>
      <c r="Q47" s="36"/>
      <c r="R47" s="39" t="str">
        <f aca="true">IF(H47="","",TODAY()-H47)</f>
        <v/>
      </c>
      <c r="S47" s="39" t="str">
        <f aca="true">IF(J47="","",J47-TODAY())</f>
        <v/>
      </c>
      <c r="T47" s="37"/>
      <c r="U47" s="37"/>
      <c r="V47" s="40" t="str">
        <f aca="false">IFERROR(INDEX('Azure Resource Map'!$D$2:$D$2001,MATCH($C47,'Azure Resource Map'!$A$2:$A$2001,0)),"")</f>
        <v/>
      </c>
      <c r="W47" s="39" t="str">
        <f aca="false">IFERROR(INDEX('Azure Resource Map'!$E$2:$E$2001,MATCH($C47,'Azure Resource Map'!$A$2:$A$2001,0)),"")</f>
        <v/>
      </c>
      <c r="X47" s="39" t="str">
        <f aca="false">IFERROR(INDEX('Azure Resource Map'!$F$2:$F$2001,MATCH($C47,'Azure Resource Map'!$A$2:$A$2001,0)),"")</f>
        <v/>
      </c>
      <c r="Y47" s="39" t="str">
        <f aca="false">IF($C47="","",IF(ISNUMBER(MATCH($C47,'CA Exclusion Map'!$A$2:$A$2001,0)),"Yes","No"))</f>
        <v/>
      </c>
      <c r="Z47" s="39" t="str">
        <f aca="false">IFERROR(INDEX('CA Exclusion Map'!$D$2:$D$2001,MATCH($C47,'CA Exclusion Map'!$A$2:$A$2001,0)),"")</f>
        <v/>
      </c>
      <c r="AA47" s="40" t="str">
        <f aca="false">IFERROR(INDEX('CA Exclusion Map'!$E$2:$E$2001,MATCH($C47,'CA Exclusion Map'!$A$2:$A$2001,0)),"")</f>
        <v/>
      </c>
      <c r="AB47" s="40" t="str">
        <f aca="false">IFERROR(INDEX('CA Exclusion Map'!$F$2:$F$2001,MATCH($C47,'CA Exclusion Map'!$A$2:$A$2001,0)),"")</f>
        <v/>
      </c>
      <c r="AC47" s="36"/>
      <c r="AD47" s="37"/>
      <c r="AE47" s="38"/>
      <c r="AF47" s="38"/>
      <c r="AG47" s="39" t="str">
        <f aca="true">IF(Y47="","",IF(Y47&lt;&gt;"Yes","N/A",IF(AF47="","NO EXPIRY SET",IF(TODAY()&gt;AF47,"EXPIRED",IF(AF47-TODAY()&lt;=30,"Expiring Soon","Active")))))</f>
        <v/>
      </c>
      <c r="AH47" s="36"/>
      <c r="AI47" s="36"/>
      <c r="AJ47" s="37"/>
      <c r="AK47" s="36"/>
      <c r="AL47" s="37"/>
      <c r="AM47" s="37"/>
      <c r="AN47" s="37"/>
      <c r="AO47" s="37"/>
      <c r="AP47" s="38"/>
      <c r="AQ47" s="37"/>
      <c r="AR47" s="37"/>
      <c r="AS47" s="41" t="str">
        <f aca="false">IF(AP47="","",AP47+90)</f>
        <v/>
      </c>
      <c r="AT47" s="39" t="str">
        <f aca="true">IF(C47="","",IF(AP47="","NOT REVIEWED",IF(TODAY()&gt;AS47,"OVERDUE",IF(AS47-TODAY()&lt;=14,"Due Soon","Current"))))</f>
        <v/>
      </c>
      <c r="AU47" s="36"/>
    </row>
    <row r="48" customFormat="false" ht="15" hidden="false" customHeight="false" outlineLevel="0" collapsed="false">
      <c r="A48" s="36"/>
      <c r="B48" s="36"/>
      <c r="C48" s="36"/>
      <c r="D48" s="37"/>
      <c r="E48" s="37"/>
      <c r="F48" s="37"/>
      <c r="G48" s="38"/>
      <c r="H48" s="38"/>
      <c r="I48" s="36"/>
      <c r="J48" s="38"/>
      <c r="K48" s="37"/>
      <c r="L48" s="36"/>
      <c r="M48" s="37"/>
      <c r="N48" s="37"/>
      <c r="O48" s="37"/>
      <c r="P48" s="37"/>
      <c r="Q48" s="36"/>
      <c r="R48" s="39" t="str">
        <f aca="true">IF(H48="","",TODAY()-H48)</f>
        <v/>
      </c>
      <c r="S48" s="39" t="str">
        <f aca="true">IF(J48="","",J48-TODAY())</f>
        <v/>
      </c>
      <c r="T48" s="37"/>
      <c r="U48" s="37"/>
      <c r="V48" s="40" t="str">
        <f aca="false">IFERROR(INDEX('Azure Resource Map'!$D$2:$D$2001,MATCH($C48,'Azure Resource Map'!$A$2:$A$2001,0)),"")</f>
        <v/>
      </c>
      <c r="W48" s="39" t="str">
        <f aca="false">IFERROR(INDEX('Azure Resource Map'!$E$2:$E$2001,MATCH($C48,'Azure Resource Map'!$A$2:$A$2001,0)),"")</f>
        <v/>
      </c>
      <c r="X48" s="39" t="str">
        <f aca="false">IFERROR(INDEX('Azure Resource Map'!$F$2:$F$2001,MATCH($C48,'Azure Resource Map'!$A$2:$A$2001,0)),"")</f>
        <v/>
      </c>
      <c r="Y48" s="39" t="str">
        <f aca="false">IF($C48="","",IF(ISNUMBER(MATCH($C48,'CA Exclusion Map'!$A$2:$A$2001,0)),"Yes","No"))</f>
        <v/>
      </c>
      <c r="Z48" s="39" t="str">
        <f aca="false">IFERROR(INDEX('CA Exclusion Map'!$D$2:$D$2001,MATCH($C48,'CA Exclusion Map'!$A$2:$A$2001,0)),"")</f>
        <v/>
      </c>
      <c r="AA48" s="40" t="str">
        <f aca="false">IFERROR(INDEX('CA Exclusion Map'!$E$2:$E$2001,MATCH($C48,'CA Exclusion Map'!$A$2:$A$2001,0)),"")</f>
        <v/>
      </c>
      <c r="AB48" s="40" t="str">
        <f aca="false">IFERROR(INDEX('CA Exclusion Map'!$F$2:$F$2001,MATCH($C48,'CA Exclusion Map'!$A$2:$A$2001,0)),"")</f>
        <v/>
      </c>
      <c r="AC48" s="36"/>
      <c r="AD48" s="37"/>
      <c r="AE48" s="38"/>
      <c r="AF48" s="38"/>
      <c r="AG48" s="39" t="str">
        <f aca="true">IF(Y48="","",IF(Y48&lt;&gt;"Yes","N/A",IF(AF48="","NO EXPIRY SET",IF(TODAY()&gt;AF48,"EXPIRED",IF(AF48-TODAY()&lt;=30,"Expiring Soon","Active")))))</f>
        <v/>
      </c>
      <c r="AH48" s="36"/>
      <c r="AI48" s="36"/>
      <c r="AJ48" s="37"/>
      <c r="AK48" s="36"/>
      <c r="AL48" s="37"/>
      <c r="AM48" s="37"/>
      <c r="AN48" s="37"/>
      <c r="AO48" s="37"/>
      <c r="AP48" s="38"/>
      <c r="AQ48" s="37"/>
      <c r="AR48" s="37"/>
      <c r="AS48" s="41" t="str">
        <f aca="false">IF(AP48="","",AP48+90)</f>
        <v/>
      </c>
      <c r="AT48" s="39" t="str">
        <f aca="true">IF(C48="","",IF(AP48="","NOT REVIEWED",IF(TODAY()&gt;AS48,"OVERDUE",IF(AS48-TODAY()&lt;=14,"Due Soon","Current"))))</f>
        <v/>
      </c>
      <c r="AU48" s="36"/>
    </row>
    <row r="49" customFormat="false" ht="15" hidden="false" customHeight="false" outlineLevel="0" collapsed="false">
      <c r="A49" s="36"/>
      <c r="B49" s="36"/>
      <c r="C49" s="36"/>
      <c r="D49" s="37"/>
      <c r="E49" s="37"/>
      <c r="F49" s="37"/>
      <c r="G49" s="38"/>
      <c r="H49" s="38"/>
      <c r="I49" s="36"/>
      <c r="J49" s="38"/>
      <c r="K49" s="37"/>
      <c r="L49" s="36"/>
      <c r="M49" s="37"/>
      <c r="N49" s="37"/>
      <c r="O49" s="37"/>
      <c r="P49" s="37"/>
      <c r="Q49" s="36"/>
      <c r="R49" s="39" t="str">
        <f aca="true">IF(H49="","",TODAY()-H49)</f>
        <v/>
      </c>
      <c r="S49" s="39" t="str">
        <f aca="true">IF(J49="","",J49-TODAY())</f>
        <v/>
      </c>
      <c r="T49" s="37"/>
      <c r="U49" s="37"/>
      <c r="V49" s="40" t="str">
        <f aca="false">IFERROR(INDEX('Azure Resource Map'!$D$2:$D$2001,MATCH($C49,'Azure Resource Map'!$A$2:$A$2001,0)),"")</f>
        <v/>
      </c>
      <c r="W49" s="39" t="str">
        <f aca="false">IFERROR(INDEX('Azure Resource Map'!$E$2:$E$2001,MATCH($C49,'Azure Resource Map'!$A$2:$A$2001,0)),"")</f>
        <v/>
      </c>
      <c r="X49" s="39" t="str">
        <f aca="false">IFERROR(INDEX('Azure Resource Map'!$F$2:$F$2001,MATCH($C49,'Azure Resource Map'!$A$2:$A$2001,0)),"")</f>
        <v/>
      </c>
      <c r="Y49" s="39" t="str">
        <f aca="false">IF($C49="","",IF(ISNUMBER(MATCH($C49,'CA Exclusion Map'!$A$2:$A$2001,0)),"Yes","No"))</f>
        <v/>
      </c>
      <c r="Z49" s="39" t="str">
        <f aca="false">IFERROR(INDEX('CA Exclusion Map'!$D$2:$D$2001,MATCH($C49,'CA Exclusion Map'!$A$2:$A$2001,0)),"")</f>
        <v/>
      </c>
      <c r="AA49" s="40" t="str">
        <f aca="false">IFERROR(INDEX('CA Exclusion Map'!$E$2:$E$2001,MATCH($C49,'CA Exclusion Map'!$A$2:$A$2001,0)),"")</f>
        <v/>
      </c>
      <c r="AB49" s="40" t="str">
        <f aca="false">IFERROR(INDEX('CA Exclusion Map'!$F$2:$F$2001,MATCH($C49,'CA Exclusion Map'!$A$2:$A$2001,0)),"")</f>
        <v/>
      </c>
      <c r="AC49" s="36"/>
      <c r="AD49" s="37"/>
      <c r="AE49" s="38"/>
      <c r="AF49" s="38"/>
      <c r="AG49" s="39" t="str">
        <f aca="true">IF(Y49="","",IF(Y49&lt;&gt;"Yes","N/A",IF(AF49="","NO EXPIRY SET",IF(TODAY()&gt;AF49,"EXPIRED",IF(AF49-TODAY()&lt;=30,"Expiring Soon","Active")))))</f>
        <v/>
      </c>
      <c r="AH49" s="36"/>
      <c r="AI49" s="36"/>
      <c r="AJ49" s="37"/>
      <c r="AK49" s="36"/>
      <c r="AL49" s="37"/>
      <c r="AM49" s="37"/>
      <c r="AN49" s="37"/>
      <c r="AO49" s="37"/>
      <c r="AP49" s="38"/>
      <c r="AQ49" s="37"/>
      <c r="AR49" s="37"/>
      <c r="AS49" s="41" t="str">
        <f aca="false">IF(AP49="","",AP49+90)</f>
        <v/>
      </c>
      <c r="AT49" s="39" t="str">
        <f aca="true">IF(C49="","",IF(AP49="","NOT REVIEWED",IF(TODAY()&gt;AS49,"OVERDUE",IF(AS49-TODAY()&lt;=14,"Due Soon","Current"))))</f>
        <v/>
      </c>
      <c r="AU49" s="36"/>
    </row>
    <row r="50" customFormat="false" ht="15" hidden="false" customHeight="false" outlineLevel="0" collapsed="false">
      <c r="A50" s="36"/>
      <c r="B50" s="36"/>
      <c r="C50" s="36"/>
      <c r="D50" s="37"/>
      <c r="E50" s="37"/>
      <c r="F50" s="37"/>
      <c r="G50" s="38"/>
      <c r="H50" s="38"/>
      <c r="I50" s="36"/>
      <c r="J50" s="38"/>
      <c r="K50" s="37"/>
      <c r="L50" s="36"/>
      <c r="M50" s="37"/>
      <c r="N50" s="37"/>
      <c r="O50" s="37"/>
      <c r="P50" s="37"/>
      <c r="Q50" s="36"/>
      <c r="R50" s="39" t="str">
        <f aca="true">IF(H50="","",TODAY()-H50)</f>
        <v/>
      </c>
      <c r="S50" s="39" t="str">
        <f aca="true">IF(J50="","",J50-TODAY())</f>
        <v/>
      </c>
      <c r="T50" s="37"/>
      <c r="U50" s="37"/>
      <c r="V50" s="40" t="str">
        <f aca="false">IFERROR(INDEX('Azure Resource Map'!$D$2:$D$2001,MATCH($C50,'Azure Resource Map'!$A$2:$A$2001,0)),"")</f>
        <v/>
      </c>
      <c r="W50" s="39" t="str">
        <f aca="false">IFERROR(INDEX('Azure Resource Map'!$E$2:$E$2001,MATCH($C50,'Azure Resource Map'!$A$2:$A$2001,0)),"")</f>
        <v/>
      </c>
      <c r="X50" s="39" t="str">
        <f aca="false">IFERROR(INDEX('Azure Resource Map'!$F$2:$F$2001,MATCH($C50,'Azure Resource Map'!$A$2:$A$2001,0)),"")</f>
        <v/>
      </c>
      <c r="Y50" s="39" t="str">
        <f aca="false">IF($C50="","",IF(ISNUMBER(MATCH($C50,'CA Exclusion Map'!$A$2:$A$2001,0)),"Yes","No"))</f>
        <v/>
      </c>
      <c r="Z50" s="39" t="str">
        <f aca="false">IFERROR(INDEX('CA Exclusion Map'!$D$2:$D$2001,MATCH($C50,'CA Exclusion Map'!$A$2:$A$2001,0)),"")</f>
        <v/>
      </c>
      <c r="AA50" s="40" t="str">
        <f aca="false">IFERROR(INDEX('CA Exclusion Map'!$E$2:$E$2001,MATCH($C50,'CA Exclusion Map'!$A$2:$A$2001,0)),"")</f>
        <v/>
      </c>
      <c r="AB50" s="40" t="str">
        <f aca="false">IFERROR(INDEX('CA Exclusion Map'!$F$2:$F$2001,MATCH($C50,'CA Exclusion Map'!$A$2:$A$2001,0)),"")</f>
        <v/>
      </c>
      <c r="AC50" s="36"/>
      <c r="AD50" s="37"/>
      <c r="AE50" s="38"/>
      <c r="AF50" s="38"/>
      <c r="AG50" s="39" t="str">
        <f aca="true">IF(Y50="","",IF(Y50&lt;&gt;"Yes","N/A",IF(AF50="","NO EXPIRY SET",IF(TODAY()&gt;AF50,"EXPIRED",IF(AF50-TODAY()&lt;=30,"Expiring Soon","Active")))))</f>
        <v/>
      </c>
      <c r="AH50" s="36"/>
      <c r="AI50" s="36"/>
      <c r="AJ50" s="37"/>
      <c r="AK50" s="36"/>
      <c r="AL50" s="37"/>
      <c r="AM50" s="37"/>
      <c r="AN50" s="37"/>
      <c r="AO50" s="37"/>
      <c r="AP50" s="38"/>
      <c r="AQ50" s="37"/>
      <c r="AR50" s="37"/>
      <c r="AS50" s="41" t="str">
        <f aca="false">IF(AP50="","",AP50+90)</f>
        <v/>
      </c>
      <c r="AT50" s="39" t="str">
        <f aca="true">IF(C50="","",IF(AP50="","NOT REVIEWED",IF(TODAY()&gt;AS50,"OVERDUE",IF(AS50-TODAY()&lt;=14,"Due Soon","Current"))))</f>
        <v/>
      </c>
      <c r="AU50" s="36"/>
    </row>
    <row r="51" customFormat="false" ht="15" hidden="false" customHeight="false" outlineLevel="0" collapsed="false">
      <c r="A51" s="36"/>
      <c r="B51" s="36"/>
      <c r="C51" s="36"/>
      <c r="D51" s="37"/>
      <c r="E51" s="37"/>
      <c r="F51" s="37"/>
      <c r="G51" s="38"/>
      <c r="H51" s="38"/>
      <c r="I51" s="36"/>
      <c r="J51" s="38"/>
      <c r="K51" s="37"/>
      <c r="L51" s="36"/>
      <c r="M51" s="37"/>
      <c r="N51" s="37"/>
      <c r="O51" s="37"/>
      <c r="P51" s="37"/>
      <c r="Q51" s="36"/>
      <c r="R51" s="39" t="str">
        <f aca="true">IF(H51="","",TODAY()-H51)</f>
        <v/>
      </c>
      <c r="S51" s="39" t="str">
        <f aca="true">IF(J51="","",J51-TODAY())</f>
        <v/>
      </c>
      <c r="T51" s="37"/>
      <c r="U51" s="37"/>
      <c r="V51" s="40" t="str">
        <f aca="false">IFERROR(INDEX('Azure Resource Map'!$D$2:$D$2001,MATCH($C51,'Azure Resource Map'!$A$2:$A$2001,0)),"")</f>
        <v/>
      </c>
      <c r="W51" s="39" t="str">
        <f aca="false">IFERROR(INDEX('Azure Resource Map'!$E$2:$E$2001,MATCH($C51,'Azure Resource Map'!$A$2:$A$2001,0)),"")</f>
        <v/>
      </c>
      <c r="X51" s="39" t="str">
        <f aca="false">IFERROR(INDEX('Azure Resource Map'!$F$2:$F$2001,MATCH($C51,'Azure Resource Map'!$A$2:$A$2001,0)),"")</f>
        <v/>
      </c>
      <c r="Y51" s="39" t="str">
        <f aca="false">IF($C51="","",IF(ISNUMBER(MATCH($C51,'CA Exclusion Map'!$A$2:$A$2001,0)),"Yes","No"))</f>
        <v/>
      </c>
      <c r="Z51" s="39" t="str">
        <f aca="false">IFERROR(INDEX('CA Exclusion Map'!$D$2:$D$2001,MATCH($C51,'CA Exclusion Map'!$A$2:$A$2001,0)),"")</f>
        <v/>
      </c>
      <c r="AA51" s="40" t="str">
        <f aca="false">IFERROR(INDEX('CA Exclusion Map'!$E$2:$E$2001,MATCH($C51,'CA Exclusion Map'!$A$2:$A$2001,0)),"")</f>
        <v/>
      </c>
      <c r="AB51" s="40" t="str">
        <f aca="false">IFERROR(INDEX('CA Exclusion Map'!$F$2:$F$2001,MATCH($C51,'CA Exclusion Map'!$A$2:$A$2001,0)),"")</f>
        <v/>
      </c>
      <c r="AC51" s="36"/>
      <c r="AD51" s="37"/>
      <c r="AE51" s="38"/>
      <c r="AF51" s="38"/>
      <c r="AG51" s="39" t="str">
        <f aca="true">IF(Y51="","",IF(Y51&lt;&gt;"Yes","N/A",IF(AF51="","NO EXPIRY SET",IF(TODAY()&gt;AF51,"EXPIRED",IF(AF51-TODAY()&lt;=30,"Expiring Soon","Active")))))</f>
        <v/>
      </c>
      <c r="AH51" s="36"/>
      <c r="AI51" s="36"/>
      <c r="AJ51" s="37"/>
      <c r="AK51" s="36"/>
      <c r="AL51" s="37"/>
      <c r="AM51" s="37"/>
      <c r="AN51" s="37"/>
      <c r="AO51" s="37"/>
      <c r="AP51" s="38"/>
      <c r="AQ51" s="37"/>
      <c r="AR51" s="37"/>
      <c r="AS51" s="41" t="str">
        <f aca="false">IF(AP51="","",AP51+90)</f>
        <v/>
      </c>
      <c r="AT51" s="39" t="str">
        <f aca="true">IF(C51="","",IF(AP51="","NOT REVIEWED",IF(TODAY()&gt;AS51,"OVERDUE",IF(AS51-TODAY()&lt;=14,"Due Soon","Current"))))</f>
        <v/>
      </c>
      <c r="AU51" s="36"/>
    </row>
    <row r="52" customFormat="false" ht="15" hidden="false" customHeight="false" outlineLevel="0" collapsed="false">
      <c r="A52" s="36"/>
      <c r="B52" s="36"/>
      <c r="C52" s="36"/>
      <c r="D52" s="37"/>
      <c r="E52" s="37"/>
      <c r="F52" s="37"/>
      <c r="G52" s="38"/>
      <c r="H52" s="38"/>
      <c r="I52" s="36"/>
      <c r="J52" s="38"/>
      <c r="K52" s="37"/>
      <c r="L52" s="36"/>
      <c r="M52" s="37"/>
      <c r="N52" s="37"/>
      <c r="O52" s="37"/>
      <c r="P52" s="37"/>
      <c r="Q52" s="36"/>
      <c r="R52" s="39" t="str">
        <f aca="true">IF(H52="","",TODAY()-H52)</f>
        <v/>
      </c>
      <c r="S52" s="39" t="str">
        <f aca="true">IF(J52="","",J52-TODAY())</f>
        <v/>
      </c>
      <c r="T52" s="37"/>
      <c r="U52" s="37"/>
      <c r="V52" s="40" t="str">
        <f aca="false">IFERROR(INDEX('Azure Resource Map'!$D$2:$D$2001,MATCH($C52,'Azure Resource Map'!$A$2:$A$2001,0)),"")</f>
        <v/>
      </c>
      <c r="W52" s="39" t="str">
        <f aca="false">IFERROR(INDEX('Azure Resource Map'!$E$2:$E$2001,MATCH($C52,'Azure Resource Map'!$A$2:$A$2001,0)),"")</f>
        <v/>
      </c>
      <c r="X52" s="39" t="str">
        <f aca="false">IFERROR(INDEX('Azure Resource Map'!$F$2:$F$2001,MATCH($C52,'Azure Resource Map'!$A$2:$A$2001,0)),"")</f>
        <v/>
      </c>
      <c r="Y52" s="39" t="str">
        <f aca="false">IF($C52="","",IF(ISNUMBER(MATCH($C52,'CA Exclusion Map'!$A$2:$A$2001,0)),"Yes","No"))</f>
        <v/>
      </c>
      <c r="Z52" s="39" t="str">
        <f aca="false">IFERROR(INDEX('CA Exclusion Map'!$D$2:$D$2001,MATCH($C52,'CA Exclusion Map'!$A$2:$A$2001,0)),"")</f>
        <v/>
      </c>
      <c r="AA52" s="40" t="str">
        <f aca="false">IFERROR(INDEX('CA Exclusion Map'!$E$2:$E$2001,MATCH($C52,'CA Exclusion Map'!$A$2:$A$2001,0)),"")</f>
        <v/>
      </c>
      <c r="AB52" s="40" t="str">
        <f aca="false">IFERROR(INDEX('CA Exclusion Map'!$F$2:$F$2001,MATCH($C52,'CA Exclusion Map'!$A$2:$A$2001,0)),"")</f>
        <v/>
      </c>
      <c r="AC52" s="36"/>
      <c r="AD52" s="37"/>
      <c r="AE52" s="38"/>
      <c r="AF52" s="38"/>
      <c r="AG52" s="39" t="str">
        <f aca="true">IF(Y52="","",IF(Y52&lt;&gt;"Yes","N/A",IF(AF52="","NO EXPIRY SET",IF(TODAY()&gt;AF52,"EXPIRED",IF(AF52-TODAY()&lt;=30,"Expiring Soon","Active")))))</f>
        <v/>
      </c>
      <c r="AH52" s="36"/>
      <c r="AI52" s="36"/>
      <c r="AJ52" s="37"/>
      <c r="AK52" s="36"/>
      <c r="AL52" s="37"/>
      <c r="AM52" s="37"/>
      <c r="AN52" s="37"/>
      <c r="AO52" s="37"/>
      <c r="AP52" s="38"/>
      <c r="AQ52" s="37"/>
      <c r="AR52" s="37"/>
      <c r="AS52" s="41" t="str">
        <f aca="false">IF(AP52="","",AP52+90)</f>
        <v/>
      </c>
      <c r="AT52" s="39" t="str">
        <f aca="true">IF(C52="","",IF(AP52="","NOT REVIEWED",IF(TODAY()&gt;AS52,"OVERDUE",IF(AS52-TODAY()&lt;=14,"Due Soon","Current"))))</f>
        <v/>
      </c>
      <c r="AU52" s="36"/>
    </row>
    <row r="53" customFormat="false" ht="15" hidden="false" customHeight="false" outlineLevel="0" collapsed="false">
      <c r="A53" s="36"/>
      <c r="B53" s="36"/>
      <c r="C53" s="36"/>
      <c r="D53" s="37"/>
      <c r="E53" s="37"/>
      <c r="F53" s="37"/>
      <c r="G53" s="38"/>
      <c r="H53" s="38"/>
      <c r="I53" s="36"/>
      <c r="J53" s="38"/>
      <c r="K53" s="37"/>
      <c r="L53" s="36"/>
      <c r="M53" s="37"/>
      <c r="N53" s="37"/>
      <c r="O53" s="37"/>
      <c r="P53" s="37"/>
      <c r="Q53" s="36"/>
      <c r="R53" s="39" t="str">
        <f aca="true">IF(H53="","",TODAY()-H53)</f>
        <v/>
      </c>
      <c r="S53" s="39" t="str">
        <f aca="true">IF(J53="","",J53-TODAY())</f>
        <v/>
      </c>
      <c r="T53" s="37"/>
      <c r="U53" s="37"/>
      <c r="V53" s="40" t="str">
        <f aca="false">IFERROR(INDEX('Azure Resource Map'!$D$2:$D$2001,MATCH($C53,'Azure Resource Map'!$A$2:$A$2001,0)),"")</f>
        <v/>
      </c>
      <c r="W53" s="39" t="str">
        <f aca="false">IFERROR(INDEX('Azure Resource Map'!$E$2:$E$2001,MATCH($C53,'Azure Resource Map'!$A$2:$A$2001,0)),"")</f>
        <v/>
      </c>
      <c r="X53" s="39" t="str">
        <f aca="false">IFERROR(INDEX('Azure Resource Map'!$F$2:$F$2001,MATCH($C53,'Azure Resource Map'!$A$2:$A$2001,0)),"")</f>
        <v/>
      </c>
      <c r="Y53" s="39" t="str">
        <f aca="false">IF($C53="","",IF(ISNUMBER(MATCH($C53,'CA Exclusion Map'!$A$2:$A$2001,0)),"Yes","No"))</f>
        <v/>
      </c>
      <c r="Z53" s="39" t="str">
        <f aca="false">IFERROR(INDEX('CA Exclusion Map'!$D$2:$D$2001,MATCH($C53,'CA Exclusion Map'!$A$2:$A$2001,0)),"")</f>
        <v/>
      </c>
      <c r="AA53" s="40" t="str">
        <f aca="false">IFERROR(INDEX('CA Exclusion Map'!$E$2:$E$2001,MATCH($C53,'CA Exclusion Map'!$A$2:$A$2001,0)),"")</f>
        <v/>
      </c>
      <c r="AB53" s="40" t="str">
        <f aca="false">IFERROR(INDEX('CA Exclusion Map'!$F$2:$F$2001,MATCH($C53,'CA Exclusion Map'!$A$2:$A$2001,0)),"")</f>
        <v/>
      </c>
      <c r="AC53" s="36"/>
      <c r="AD53" s="37"/>
      <c r="AE53" s="38"/>
      <c r="AF53" s="38"/>
      <c r="AG53" s="39" t="str">
        <f aca="true">IF(Y53="","",IF(Y53&lt;&gt;"Yes","N/A",IF(AF53="","NO EXPIRY SET",IF(TODAY()&gt;AF53,"EXPIRED",IF(AF53-TODAY()&lt;=30,"Expiring Soon","Active")))))</f>
        <v/>
      </c>
      <c r="AH53" s="36"/>
      <c r="AI53" s="36"/>
      <c r="AJ53" s="37"/>
      <c r="AK53" s="36"/>
      <c r="AL53" s="37"/>
      <c r="AM53" s="37"/>
      <c r="AN53" s="37"/>
      <c r="AO53" s="37"/>
      <c r="AP53" s="38"/>
      <c r="AQ53" s="37"/>
      <c r="AR53" s="37"/>
      <c r="AS53" s="41" t="str">
        <f aca="false">IF(AP53="","",AP53+90)</f>
        <v/>
      </c>
      <c r="AT53" s="39" t="str">
        <f aca="true">IF(C53="","",IF(AP53="","NOT REVIEWED",IF(TODAY()&gt;AS53,"OVERDUE",IF(AS53-TODAY()&lt;=14,"Due Soon","Current"))))</f>
        <v/>
      </c>
      <c r="AU53" s="36"/>
    </row>
    <row r="54" customFormat="false" ht="15" hidden="false" customHeight="false" outlineLevel="0" collapsed="false">
      <c r="A54" s="36"/>
      <c r="B54" s="36"/>
      <c r="C54" s="36"/>
      <c r="D54" s="37"/>
      <c r="E54" s="37"/>
      <c r="F54" s="37"/>
      <c r="G54" s="38"/>
      <c r="H54" s="38"/>
      <c r="I54" s="36"/>
      <c r="J54" s="38"/>
      <c r="K54" s="37"/>
      <c r="L54" s="36"/>
      <c r="M54" s="37"/>
      <c r="N54" s="37"/>
      <c r="O54" s="37"/>
      <c r="P54" s="37"/>
      <c r="Q54" s="36"/>
      <c r="R54" s="39" t="str">
        <f aca="true">IF(H54="","",TODAY()-H54)</f>
        <v/>
      </c>
      <c r="S54" s="39" t="str">
        <f aca="true">IF(J54="","",J54-TODAY())</f>
        <v/>
      </c>
      <c r="T54" s="37"/>
      <c r="U54" s="37"/>
      <c r="V54" s="40" t="str">
        <f aca="false">IFERROR(INDEX('Azure Resource Map'!$D$2:$D$2001,MATCH($C54,'Azure Resource Map'!$A$2:$A$2001,0)),"")</f>
        <v/>
      </c>
      <c r="W54" s="39" t="str">
        <f aca="false">IFERROR(INDEX('Azure Resource Map'!$E$2:$E$2001,MATCH($C54,'Azure Resource Map'!$A$2:$A$2001,0)),"")</f>
        <v/>
      </c>
      <c r="X54" s="39" t="str">
        <f aca="false">IFERROR(INDEX('Azure Resource Map'!$F$2:$F$2001,MATCH($C54,'Azure Resource Map'!$A$2:$A$2001,0)),"")</f>
        <v/>
      </c>
      <c r="Y54" s="39" t="str">
        <f aca="false">IF($C54="","",IF(ISNUMBER(MATCH($C54,'CA Exclusion Map'!$A$2:$A$2001,0)),"Yes","No"))</f>
        <v/>
      </c>
      <c r="Z54" s="39" t="str">
        <f aca="false">IFERROR(INDEX('CA Exclusion Map'!$D$2:$D$2001,MATCH($C54,'CA Exclusion Map'!$A$2:$A$2001,0)),"")</f>
        <v/>
      </c>
      <c r="AA54" s="40" t="str">
        <f aca="false">IFERROR(INDEX('CA Exclusion Map'!$E$2:$E$2001,MATCH($C54,'CA Exclusion Map'!$A$2:$A$2001,0)),"")</f>
        <v/>
      </c>
      <c r="AB54" s="40" t="str">
        <f aca="false">IFERROR(INDEX('CA Exclusion Map'!$F$2:$F$2001,MATCH($C54,'CA Exclusion Map'!$A$2:$A$2001,0)),"")</f>
        <v/>
      </c>
      <c r="AC54" s="36"/>
      <c r="AD54" s="37"/>
      <c r="AE54" s="38"/>
      <c r="AF54" s="38"/>
      <c r="AG54" s="39" t="str">
        <f aca="true">IF(Y54="","",IF(Y54&lt;&gt;"Yes","N/A",IF(AF54="","NO EXPIRY SET",IF(TODAY()&gt;AF54,"EXPIRED",IF(AF54-TODAY()&lt;=30,"Expiring Soon","Active")))))</f>
        <v/>
      </c>
      <c r="AH54" s="36"/>
      <c r="AI54" s="36"/>
      <c r="AJ54" s="37"/>
      <c r="AK54" s="36"/>
      <c r="AL54" s="37"/>
      <c r="AM54" s="37"/>
      <c r="AN54" s="37"/>
      <c r="AO54" s="37"/>
      <c r="AP54" s="38"/>
      <c r="AQ54" s="37"/>
      <c r="AR54" s="37"/>
      <c r="AS54" s="41" t="str">
        <f aca="false">IF(AP54="","",AP54+90)</f>
        <v/>
      </c>
      <c r="AT54" s="39" t="str">
        <f aca="true">IF(C54="","",IF(AP54="","NOT REVIEWED",IF(TODAY()&gt;AS54,"OVERDUE",IF(AS54-TODAY()&lt;=14,"Due Soon","Current"))))</f>
        <v/>
      </c>
      <c r="AU54" s="36"/>
    </row>
    <row r="55" customFormat="false" ht="15" hidden="false" customHeight="false" outlineLevel="0" collapsed="false">
      <c r="A55" s="36"/>
      <c r="B55" s="36"/>
      <c r="C55" s="36"/>
      <c r="D55" s="37"/>
      <c r="E55" s="37"/>
      <c r="F55" s="37"/>
      <c r="G55" s="38"/>
      <c r="H55" s="38"/>
      <c r="I55" s="36"/>
      <c r="J55" s="38"/>
      <c r="K55" s="37"/>
      <c r="L55" s="36"/>
      <c r="M55" s="37"/>
      <c r="N55" s="37"/>
      <c r="O55" s="37"/>
      <c r="P55" s="37"/>
      <c r="Q55" s="36"/>
      <c r="R55" s="39" t="str">
        <f aca="true">IF(H55="","",TODAY()-H55)</f>
        <v/>
      </c>
      <c r="S55" s="39" t="str">
        <f aca="true">IF(J55="","",J55-TODAY())</f>
        <v/>
      </c>
      <c r="T55" s="37"/>
      <c r="U55" s="37"/>
      <c r="V55" s="40" t="str">
        <f aca="false">IFERROR(INDEX('Azure Resource Map'!$D$2:$D$2001,MATCH($C55,'Azure Resource Map'!$A$2:$A$2001,0)),"")</f>
        <v/>
      </c>
      <c r="W55" s="39" t="str">
        <f aca="false">IFERROR(INDEX('Azure Resource Map'!$E$2:$E$2001,MATCH($C55,'Azure Resource Map'!$A$2:$A$2001,0)),"")</f>
        <v/>
      </c>
      <c r="X55" s="39" t="str">
        <f aca="false">IFERROR(INDEX('Azure Resource Map'!$F$2:$F$2001,MATCH($C55,'Azure Resource Map'!$A$2:$A$2001,0)),"")</f>
        <v/>
      </c>
      <c r="Y55" s="39" t="str">
        <f aca="false">IF($C55="","",IF(ISNUMBER(MATCH($C55,'CA Exclusion Map'!$A$2:$A$2001,0)),"Yes","No"))</f>
        <v/>
      </c>
      <c r="Z55" s="39" t="str">
        <f aca="false">IFERROR(INDEX('CA Exclusion Map'!$D$2:$D$2001,MATCH($C55,'CA Exclusion Map'!$A$2:$A$2001,0)),"")</f>
        <v/>
      </c>
      <c r="AA55" s="40" t="str">
        <f aca="false">IFERROR(INDEX('CA Exclusion Map'!$E$2:$E$2001,MATCH($C55,'CA Exclusion Map'!$A$2:$A$2001,0)),"")</f>
        <v/>
      </c>
      <c r="AB55" s="40" t="str">
        <f aca="false">IFERROR(INDEX('CA Exclusion Map'!$F$2:$F$2001,MATCH($C55,'CA Exclusion Map'!$A$2:$A$2001,0)),"")</f>
        <v/>
      </c>
      <c r="AC55" s="36"/>
      <c r="AD55" s="37"/>
      <c r="AE55" s="38"/>
      <c r="AF55" s="38"/>
      <c r="AG55" s="39" t="str">
        <f aca="true">IF(Y55="","",IF(Y55&lt;&gt;"Yes","N/A",IF(AF55="","NO EXPIRY SET",IF(TODAY()&gt;AF55,"EXPIRED",IF(AF55-TODAY()&lt;=30,"Expiring Soon","Active")))))</f>
        <v/>
      </c>
      <c r="AH55" s="36"/>
      <c r="AI55" s="36"/>
      <c r="AJ55" s="37"/>
      <c r="AK55" s="36"/>
      <c r="AL55" s="37"/>
      <c r="AM55" s="37"/>
      <c r="AN55" s="37"/>
      <c r="AO55" s="37"/>
      <c r="AP55" s="38"/>
      <c r="AQ55" s="37"/>
      <c r="AR55" s="37"/>
      <c r="AS55" s="41" t="str">
        <f aca="false">IF(AP55="","",AP55+90)</f>
        <v/>
      </c>
      <c r="AT55" s="39" t="str">
        <f aca="true">IF(C55="","",IF(AP55="","NOT REVIEWED",IF(TODAY()&gt;AS55,"OVERDUE",IF(AS55-TODAY()&lt;=14,"Due Soon","Current"))))</f>
        <v/>
      </c>
      <c r="AU55" s="36"/>
    </row>
    <row r="56" customFormat="false" ht="15" hidden="false" customHeight="false" outlineLevel="0" collapsed="false">
      <c r="A56" s="36"/>
      <c r="B56" s="36"/>
      <c r="C56" s="36"/>
      <c r="D56" s="37"/>
      <c r="E56" s="37"/>
      <c r="F56" s="37"/>
      <c r="G56" s="38"/>
      <c r="H56" s="38"/>
      <c r="I56" s="36"/>
      <c r="J56" s="38"/>
      <c r="K56" s="37"/>
      <c r="L56" s="36"/>
      <c r="M56" s="37"/>
      <c r="N56" s="37"/>
      <c r="O56" s="37"/>
      <c r="P56" s="37"/>
      <c r="Q56" s="36"/>
      <c r="R56" s="39" t="str">
        <f aca="true">IF(H56="","",TODAY()-H56)</f>
        <v/>
      </c>
      <c r="S56" s="39" t="str">
        <f aca="true">IF(J56="","",J56-TODAY())</f>
        <v/>
      </c>
      <c r="T56" s="37"/>
      <c r="U56" s="37"/>
      <c r="V56" s="40" t="str">
        <f aca="false">IFERROR(INDEX('Azure Resource Map'!$D$2:$D$2001,MATCH($C56,'Azure Resource Map'!$A$2:$A$2001,0)),"")</f>
        <v/>
      </c>
      <c r="W56" s="39" t="str">
        <f aca="false">IFERROR(INDEX('Azure Resource Map'!$E$2:$E$2001,MATCH($C56,'Azure Resource Map'!$A$2:$A$2001,0)),"")</f>
        <v/>
      </c>
      <c r="X56" s="39" t="str">
        <f aca="false">IFERROR(INDEX('Azure Resource Map'!$F$2:$F$2001,MATCH($C56,'Azure Resource Map'!$A$2:$A$2001,0)),"")</f>
        <v/>
      </c>
      <c r="Y56" s="39" t="str">
        <f aca="false">IF($C56="","",IF(ISNUMBER(MATCH($C56,'CA Exclusion Map'!$A$2:$A$2001,0)),"Yes","No"))</f>
        <v/>
      </c>
      <c r="Z56" s="39" t="str">
        <f aca="false">IFERROR(INDEX('CA Exclusion Map'!$D$2:$D$2001,MATCH($C56,'CA Exclusion Map'!$A$2:$A$2001,0)),"")</f>
        <v/>
      </c>
      <c r="AA56" s="40" t="str">
        <f aca="false">IFERROR(INDEX('CA Exclusion Map'!$E$2:$E$2001,MATCH($C56,'CA Exclusion Map'!$A$2:$A$2001,0)),"")</f>
        <v/>
      </c>
      <c r="AB56" s="40" t="str">
        <f aca="false">IFERROR(INDEX('CA Exclusion Map'!$F$2:$F$2001,MATCH($C56,'CA Exclusion Map'!$A$2:$A$2001,0)),"")</f>
        <v/>
      </c>
      <c r="AC56" s="36"/>
      <c r="AD56" s="37"/>
      <c r="AE56" s="38"/>
      <c r="AF56" s="38"/>
      <c r="AG56" s="39" t="str">
        <f aca="true">IF(Y56="","",IF(Y56&lt;&gt;"Yes","N/A",IF(AF56="","NO EXPIRY SET",IF(TODAY()&gt;AF56,"EXPIRED",IF(AF56-TODAY()&lt;=30,"Expiring Soon","Active")))))</f>
        <v/>
      </c>
      <c r="AH56" s="36"/>
      <c r="AI56" s="36"/>
      <c r="AJ56" s="37"/>
      <c r="AK56" s="36"/>
      <c r="AL56" s="37"/>
      <c r="AM56" s="37"/>
      <c r="AN56" s="37"/>
      <c r="AO56" s="37"/>
      <c r="AP56" s="38"/>
      <c r="AQ56" s="37"/>
      <c r="AR56" s="37"/>
      <c r="AS56" s="41" t="str">
        <f aca="false">IF(AP56="","",AP56+90)</f>
        <v/>
      </c>
      <c r="AT56" s="39" t="str">
        <f aca="true">IF(C56="","",IF(AP56="","NOT REVIEWED",IF(TODAY()&gt;AS56,"OVERDUE",IF(AS56-TODAY()&lt;=14,"Due Soon","Current"))))</f>
        <v/>
      </c>
      <c r="AU56" s="36"/>
    </row>
    <row r="57" customFormat="false" ht="15" hidden="false" customHeight="false" outlineLevel="0" collapsed="false">
      <c r="A57" s="36"/>
      <c r="B57" s="36"/>
      <c r="C57" s="36"/>
      <c r="D57" s="37"/>
      <c r="E57" s="37"/>
      <c r="F57" s="37"/>
      <c r="G57" s="38"/>
      <c r="H57" s="38"/>
      <c r="I57" s="36"/>
      <c r="J57" s="38"/>
      <c r="K57" s="37"/>
      <c r="L57" s="36"/>
      <c r="M57" s="37"/>
      <c r="N57" s="37"/>
      <c r="O57" s="37"/>
      <c r="P57" s="37"/>
      <c r="Q57" s="36"/>
      <c r="R57" s="39" t="str">
        <f aca="true">IF(H57="","",TODAY()-H57)</f>
        <v/>
      </c>
      <c r="S57" s="39" t="str">
        <f aca="true">IF(J57="","",J57-TODAY())</f>
        <v/>
      </c>
      <c r="T57" s="37"/>
      <c r="U57" s="37"/>
      <c r="V57" s="40" t="str">
        <f aca="false">IFERROR(INDEX('Azure Resource Map'!$D$2:$D$2001,MATCH($C57,'Azure Resource Map'!$A$2:$A$2001,0)),"")</f>
        <v/>
      </c>
      <c r="W57" s="39" t="str">
        <f aca="false">IFERROR(INDEX('Azure Resource Map'!$E$2:$E$2001,MATCH($C57,'Azure Resource Map'!$A$2:$A$2001,0)),"")</f>
        <v/>
      </c>
      <c r="X57" s="39" t="str">
        <f aca="false">IFERROR(INDEX('Azure Resource Map'!$F$2:$F$2001,MATCH($C57,'Azure Resource Map'!$A$2:$A$2001,0)),"")</f>
        <v/>
      </c>
      <c r="Y57" s="39" t="str">
        <f aca="false">IF($C57="","",IF(ISNUMBER(MATCH($C57,'CA Exclusion Map'!$A$2:$A$2001,0)),"Yes","No"))</f>
        <v/>
      </c>
      <c r="Z57" s="39" t="str">
        <f aca="false">IFERROR(INDEX('CA Exclusion Map'!$D$2:$D$2001,MATCH($C57,'CA Exclusion Map'!$A$2:$A$2001,0)),"")</f>
        <v/>
      </c>
      <c r="AA57" s="40" t="str">
        <f aca="false">IFERROR(INDEX('CA Exclusion Map'!$E$2:$E$2001,MATCH($C57,'CA Exclusion Map'!$A$2:$A$2001,0)),"")</f>
        <v/>
      </c>
      <c r="AB57" s="40" t="str">
        <f aca="false">IFERROR(INDEX('CA Exclusion Map'!$F$2:$F$2001,MATCH($C57,'CA Exclusion Map'!$A$2:$A$2001,0)),"")</f>
        <v/>
      </c>
      <c r="AC57" s="36"/>
      <c r="AD57" s="37"/>
      <c r="AE57" s="38"/>
      <c r="AF57" s="38"/>
      <c r="AG57" s="39" t="str">
        <f aca="true">IF(Y57="","",IF(Y57&lt;&gt;"Yes","N/A",IF(AF57="","NO EXPIRY SET",IF(TODAY()&gt;AF57,"EXPIRED",IF(AF57-TODAY()&lt;=30,"Expiring Soon","Active")))))</f>
        <v/>
      </c>
      <c r="AH57" s="36"/>
      <c r="AI57" s="36"/>
      <c r="AJ57" s="37"/>
      <c r="AK57" s="36"/>
      <c r="AL57" s="37"/>
      <c r="AM57" s="37"/>
      <c r="AN57" s="37"/>
      <c r="AO57" s="37"/>
      <c r="AP57" s="38"/>
      <c r="AQ57" s="37"/>
      <c r="AR57" s="37"/>
      <c r="AS57" s="41" t="str">
        <f aca="false">IF(AP57="","",AP57+90)</f>
        <v/>
      </c>
      <c r="AT57" s="39" t="str">
        <f aca="true">IF(C57="","",IF(AP57="","NOT REVIEWED",IF(TODAY()&gt;AS57,"OVERDUE",IF(AS57-TODAY()&lt;=14,"Due Soon","Current"))))</f>
        <v/>
      </c>
      <c r="AU57" s="36"/>
    </row>
    <row r="58" customFormat="false" ht="15" hidden="false" customHeight="false" outlineLevel="0" collapsed="false">
      <c r="A58" s="36"/>
      <c r="B58" s="36"/>
      <c r="C58" s="36"/>
      <c r="D58" s="37"/>
      <c r="E58" s="37"/>
      <c r="F58" s="37"/>
      <c r="G58" s="38"/>
      <c r="H58" s="38"/>
      <c r="I58" s="36"/>
      <c r="J58" s="38"/>
      <c r="K58" s="37"/>
      <c r="L58" s="36"/>
      <c r="M58" s="37"/>
      <c r="N58" s="37"/>
      <c r="O58" s="37"/>
      <c r="P58" s="37"/>
      <c r="Q58" s="36"/>
      <c r="R58" s="39" t="str">
        <f aca="true">IF(H58="","",TODAY()-H58)</f>
        <v/>
      </c>
      <c r="S58" s="39" t="str">
        <f aca="true">IF(J58="","",J58-TODAY())</f>
        <v/>
      </c>
      <c r="T58" s="37"/>
      <c r="U58" s="37"/>
      <c r="V58" s="40" t="str">
        <f aca="false">IFERROR(INDEX('Azure Resource Map'!$D$2:$D$2001,MATCH($C58,'Azure Resource Map'!$A$2:$A$2001,0)),"")</f>
        <v/>
      </c>
      <c r="W58" s="39" t="str">
        <f aca="false">IFERROR(INDEX('Azure Resource Map'!$E$2:$E$2001,MATCH($C58,'Azure Resource Map'!$A$2:$A$2001,0)),"")</f>
        <v/>
      </c>
      <c r="X58" s="39" t="str">
        <f aca="false">IFERROR(INDEX('Azure Resource Map'!$F$2:$F$2001,MATCH($C58,'Azure Resource Map'!$A$2:$A$2001,0)),"")</f>
        <v/>
      </c>
      <c r="Y58" s="39" t="str">
        <f aca="false">IF($C58="","",IF(ISNUMBER(MATCH($C58,'CA Exclusion Map'!$A$2:$A$2001,0)),"Yes","No"))</f>
        <v/>
      </c>
      <c r="Z58" s="39" t="str">
        <f aca="false">IFERROR(INDEX('CA Exclusion Map'!$D$2:$D$2001,MATCH($C58,'CA Exclusion Map'!$A$2:$A$2001,0)),"")</f>
        <v/>
      </c>
      <c r="AA58" s="40" t="str">
        <f aca="false">IFERROR(INDEX('CA Exclusion Map'!$E$2:$E$2001,MATCH($C58,'CA Exclusion Map'!$A$2:$A$2001,0)),"")</f>
        <v/>
      </c>
      <c r="AB58" s="40" t="str">
        <f aca="false">IFERROR(INDEX('CA Exclusion Map'!$F$2:$F$2001,MATCH($C58,'CA Exclusion Map'!$A$2:$A$2001,0)),"")</f>
        <v/>
      </c>
      <c r="AC58" s="36"/>
      <c r="AD58" s="37"/>
      <c r="AE58" s="38"/>
      <c r="AF58" s="38"/>
      <c r="AG58" s="39" t="str">
        <f aca="true">IF(Y58="","",IF(Y58&lt;&gt;"Yes","N/A",IF(AF58="","NO EXPIRY SET",IF(TODAY()&gt;AF58,"EXPIRED",IF(AF58-TODAY()&lt;=30,"Expiring Soon","Active")))))</f>
        <v/>
      </c>
      <c r="AH58" s="36"/>
      <c r="AI58" s="36"/>
      <c r="AJ58" s="37"/>
      <c r="AK58" s="36"/>
      <c r="AL58" s="37"/>
      <c r="AM58" s="37"/>
      <c r="AN58" s="37"/>
      <c r="AO58" s="37"/>
      <c r="AP58" s="38"/>
      <c r="AQ58" s="37"/>
      <c r="AR58" s="37"/>
      <c r="AS58" s="41" t="str">
        <f aca="false">IF(AP58="","",AP58+90)</f>
        <v/>
      </c>
      <c r="AT58" s="39" t="str">
        <f aca="true">IF(C58="","",IF(AP58="","NOT REVIEWED",IF(TODAY()&gt;AS58,"OVERDUE",IF(AS58-TODAY()&lt;=14,"Due Soon","Current"))))</f>
        <v/>
      </c>
      <c r="AU58" s="36"/>
    </row>
    <row r="59" customFormat="false" ht="15" hidden="false" customHeight="false" outlineLevel="0" collapsed="false">
      <c r="A59" s="36"/>
      <c r="B59" s="36"/>
      <c r="C59" s="36"/>
      <c r="D59" s="37"/>
      <c r="E59" s="37"/>
      <c r="F59" s="37"/>
      <c r="G59" s="38"/>
      <c r="H59" s="38"/>
      <c r="I59" s="36"/>
      <c r="J59" s="38"/>
      <c r="K59" s="37"/>
      <c r="L59" s="36"/>
      <c r="M59" s="37"/>
      <c r="N59" s="37"/>
      <c r="O59" s="37"/>
      <c r="P59" s="37"/>
      <c r="Q59" s="36"/>
      <c r="R59" s="39" t="str">
        <f aca="true">IF(H59="","",TODAY()-H59)</f>
        <v/>
      </c>
      <c r="S59" s="39" t="str">
        <f aca="true">IF(J59="","",J59-TODAY())</f>
        <v/>
      </c>
      <c r="T59" s="37"/>
      <c r="U59" s="37"/>
      <c r="V59" s="40" t="str">
        <f aca="false">IFERROR(INDEX('Azure Resource Map'!$D$2:$D$2001,MATCH($C59,'Azure Resource Map'!$A$2:$A$2001,0)),"")</f>
        <v/>
      </c>
      <c r="W59" s="39" t="str">
        <f aca="false">IFERROR(INDEX('Azure Resource Map'!$E$2:$E$2001,MATCH($C59,'Azure Resource Map'!$A$2:$A$2001,0)),"")</f>
        <v/>
      </c>
      <c r="X59" s="39" t="str">
        <f aca="false">IFERROR(INDEX('Azure Resource Map'!$F$2:$F$2001,MATCH($C59,'Azure Resource Map'!$A$2:$A$2001,0)),"")</f>
        <v/>
      </c>
      <c r="Y59" s="39" t="str">
        <f aca="false">IF($C59="","",IF(ISNUMBER(MATCH($C59,'CA Exclusion Map'!$A$2:$A$2001,0)),"Yes","No"))</f>
        <v/>
      </c>
      <c r="Z59" s="39" t="str">
        <f aca="false">IFERROR(INDEX('CA Exclusion Map'!$D$2:$D$2001,MATCH($C59,'CA Exclusion Map'!$A$2:$A$2001,0)),"")</f>
        <v/>
      </c>
      <c r="AA59" s="40" t="str">
        <f aca="false">IFERROR(INDEX('CA Exclusion Map'!$E$2:$E$2001,MATCH($C59,'CA Exclusion Map'!$A$2:$A$2001,0)),"")</f>
        <v/>
      </c>
      <c r="AB59" s="40" t="str">
        <f aca="false">IFERROR(INDEX('CA Exclusion Map'!$F$2:$F$2001,MATCH($C59,'CA Exclusion Map'!$A$2:$A$2001,0)),"")</f>
        <v/>
      </c>
      <c r="AC59" s="36"/>
      <c r="AD59" s="37"/>
      <c r="AE59" s="38"/>
      <c r="AF59" s="38"/>
      <c r="AG59" s="39" t="str">
        <f aca="true">IF(Y59="","",IF(Y59&lt;&gt;"Yes","N/A",IF(AF59="","NO EXPIRY SET",IF(TODAY()&gt;AF59,"EXPIRED",IF(AF59-TODAY()&lt;=30,"Expiring Soon","Active")))))</f>
        <v/>
      </c>
      <c r="AH59" s="36"/>
      <c r="AI59" s="36"/>
      <c r="AJ59" s="37"/>
      <c r="AK59" s="36"/>
      <c r="AL59" s="37"/>
      <c r="AM59" s="37"/>
      <c r="AN59" s="37"/>
      <c r="AO59" s="37"/>
      <c r="AP59" s="38"/>
      <c r="AQ59" s="37"/>
      <c r="AR59" s="37"/>
      <c r="AS59" s="41" t="str">
        <f aca="false">IF(AP59="","",AP59+90)</f>
        <v/>
      </c>
      <c r="AT59" s="39" t="str">
        <f aca="true">IF(C59="","",IF(AP59="","NOT REVIEWED",IF(TODAY()&gt;AS59,"OVERDUE",IF(AS59-TODAY()&lt;=14,"Due Soon","Current"))))</f>
        <v/>
      </c>
      <c r="AU59" s="36"/>
    </row>
    <row r="60" customFormat="false" ht="15" hidden="false" customHeight="false" outlineLevel="0" collapsed="false">
      <c r="A60" s="36"/>
      <c r="B60" s="36"/>
      <c r="C60" s="36"/>
      <c r="D60" s="37"/>
      <c r="E60" s="37"/>
      <c r="F60" s="37"/>
      <c r="G60" s="38"/>
      <c r="H60" s="38"/>
      <c r="I60" s="36"/>
      <c r="J60" s="38"/>
      <c r="K60" s="37"/>
      <c r="L60" s="36"/>
      <c r="M60" s="37"/>
      <c r="N60" s="37"/>
      <c r="O60" s="37"/>
      <c r="P60" s="37"/>
      <c r="Q60" s="36"/>
      <c r="R60" s="39" t="str">
        <f aca="true">IF(H60="","",TODAY()-H60)</f>
        <v/>
      </c>
      <c r="S60" s="39" t="str">
        <f aca="true">IF(J60="","",J60-TODAY())</f>
        <v/>
      </c>
      <c r="T60" s="37"/>
      <c r="U60" s="37"/>
      <c r="V60" s="40" t="str">
        <f aca="false">IFERROR(INDEX('Azure Resource Map'!$D$2:$D$2001,MATCH($C60,'Azure Resource Map'!$A$2:$A$2001,0)),"")</f>
        <v/>
      </c>
      <c r="W60" s="39" t="str">
        <f aca="false">IFERROR(INDEX('Azure Resource Map'!$E$2:$E$2001,MATCH($C60,'Azure Resource Map'!$A$2:$A$2001,0)),"")</f>
        <v/>
      </c>
      <c r="X60" s="39" t="str">
        <f aca="false">IFERROR(INDEX('Azure Resource Map'!$F$2:$F$2001,MATCH($C60,'Azure Resource Map'!$A$2:$A$2001,0)),"")</f>
        <v/>
      </c>
      <c r="Y60" s="39" t="str">
        <f aca="false">IF($C60="","",IF(ISNUMBER(MATCH($C60,'CA Exclusion Map'!$A$2:$A$2001,0)),"Yes","No"))</f>
        <v/>
      </c>
      <c r="Z60" s="39" t="str">
        <f aca="false">IFERROR(INDEX('CA Exclusion Map'!$D$2:$D$2001,MATCH($C60,'CA Exclusion Map'!$A$2:$A$2001,0)),"")</f>
        <v/>
      </c>
      <c r="AA60" s="40" t="str">
        <f aca="false">IFERROR(INDEX('CA Exclusion Map'!$E$2:$E$2001,MATCH($C60,'CA Exclusion Map'!$A$2:$A$2001,0)),"")</f>
        <v/>
      </c>
      <c r="AB60" s="40" t="str">
        <f aca="false">IFERROR(INDEX('CA Exclusion Map'!$F$2:$F$2001,MATCH($C60,'CA Exclusion Map'!$A$2:$A$2001,0)),"")</f>
        <v/>
      </c>
      <c r="AC60" s="36"/>
      <c r="AD60" s="37"/>
      <c r="AE60" s="38"/>
      <c r="AF60" s="38"/>
      <c r="AG60" s="39" t="str">
        <f aca="true">IF(Y60="","",IF(Y60&lt;&gt;"Yes","N/A",IF(AF60="","NO EXPIRY SET",IF(TODAY()&gt;AF60,"EXPIRED",IF(AF60-TODAY()&lt;=30,"Expiring Soon","Active")))))</f>
        <v/>
      </c>
      <c r="AH60" s="36"/>
      <c r="AI60" s="36"/>
      <c r="AJ60" s="37"/>
      <c r="AK60" s="36"/>
      <c r="AL60" s="37"/>
      <c r="AM60" s="37"/>
      <c r="AN60" s="37"/>
      <c r="AO60" s="37"/>
      <c r="AP60" s="38"/>
      <c r="AQ60" s="37"/>
      <c r="AR60" s="37"/>
      <c r="AS60" s="41" t="str">
        <f aca="false">IF(AP60="","",AP60+90)</f>
        <v/>
      </c>
      <c r="AT60" s="39" t="str">
        <f aca="true">IF(C60="","",IF(AP60="","NOT REVIEWED",IF(TODAY()&gt;AS60,"OVERDUE",IF(AS60-TODAY()&lt;=14,"Due Soon","Current"))))</f>
        <v/>
      </c>
      <c r="AU60" s="36"/>
    </row>
    <row r="61" customFormat="false" ht="15" hidden="false" customHeight="false" outlineLevel="0" collapsed="false">
      <c r="A61" s="36"/>
      <c r="B61" s="36"/>
      <c r="C61" s="36"/>
      <c r="D61" s="37"/>
      <c r="E61" s="37"/>
      <c r="F61" s="37"/>
      <c r="G61" s="38"/>
      <c r="H61" s="38"/>
      <c r="I61" s="36"/>
      <c r="J61" s="38"/>
      <c r="K61" s="37"/>
      <c r="L61" s="36"/>
      <c r="M61" s="37"/>
      <c r="N61" s="37"/>
      <c r="O61" s="37"/>
      <c r="P61" s="37"/>
      <c r="Q61" s="36"/>
      <c r="R61" s="39" t="str">
        <f aca="true">IF(H61="","",TODAY()-H61)</f>
        <v/>
      </c>
      <c r="S61" s="39" t="str">
        <f aca="true">IF(J61="","",J61-TODAY())</f>
        <v/>
      </c>
      <c r="T61" s="37"/>
      <c r="U61" s="37"/>
      <c r="V61" s="40" t="str">
        <f aca="false">IFERROR(INDEX('Azure Resource Map'!$D$2:$D$2001,MATCH($C61,'Azure Resource Map'!$A$2:$A$2001,0)),"")</f>
        <v/>
      </c>
      <c r="W61" s="39" t="str">
        <f aca="false">IFERROR(INDEX('Azure Resource Map'!$E$2:$E$2001,MATCH($C61,'Azure Resource Map'!$A$2:$A$2001,0)),"")</f>
        <v/>
      </c>
      <c r="X61" s="39" t="str">
        <f aca="false">IFERROR(INDEX('Azure Resource Map'!$F$2:$F$2001,MATCH($C61,'Azure Resource Map'!$A$2:$A$2001,0)),"")</f>
        <v/>
      </c>
      <c r="Y61" s="39" t="str">
        <f aca="false">IF($C61="","",IF(ISNUMBER(MATCH($C61,'CA Exclusion Map'!$A$2:$A$2001,0)),"Yes","No"))</f>
        <v/>
      </c>
      <c r="Z61" s="39" t="str">
        <f aca="false">IFERROR(INDEX('CA Exclusion Map'!$D$2:$D$2001,MATCH($C61,'CA Exclusion Map'!$A$2:$A$2001,0)),"")</f>
        <v/>
      </c>
      <c r="AA61" s="40" t="str">
        <f aca="false">IFERROR(INDEX('CA Exclusion Map'!$E$2:$E$2001,MATCH($C61,'CA Exclusion Map'!$A$2:$A$2001,0)),"")</f>
        <v/>
      </c>
      <c r="AB61" s="40" t="str">
        <f aca="false">IFERROR(INDEX('CA Exclusion Map'!$F$2:$F$2001,MATCH($C61,'CA Exclusion Map'!$A$2:$A$2001,0)),"")</f>
        <v/>
      </c>
      <c r="AC61" s="36"/>
      <c r="AD61" s="37"/>
      <c r="AE61" s="38"/>
      <c r="AF61" s="38"/>
      <c r="AG61" s="39" t="str">
        <f aca="true">IF(Y61="","",IF(Y61&lt;&gt;"Yes","N/A",IF(AF61="","NO EXPIRY SET",IF(TODAY()&gt;AF61,"EXPIRED",IF(AF61-TODAY()&lt;=30,"Expiring Soon","Active")))))</f>
        <v/>
      </c>
      <c r="AH61" s="36"/>
      <c r="AI61" s="36"/>
      <c r="AJ61" s="37"/>
      <c r="AK61" s="36"/>
      <c r="AL61" s="37"/>
      <c r="AM61" s="37"/>
      <c r="AN61" s="37"/>
      <c r="AO61" s="37"/>
      <c r="AP61" s="38"/>
      <c r="AQ61" s="37"/>
      <c r="AR61" s="37"/>
      <c r="AS61" s="41" t="str">
        <f aca="false">IF(AP61="","",AP61+90)</f>
        <v/>
      </c>
      <c r="AT61" s="39" t="str">
        <f aca="true">IF(C61="","",IF(AP61="","NOT REVIEWED",IF(TODAY()&gt;AS61,"OVERDUE",IF(AS61-TODAY()&lt;=14,"Due Soon","Current"))))</f>
        <v/>
      </c>
      <c r="AU61" s="36"/>
    </row>
    <row r="62" customFormat="false" ht="15" hidden="false" customHeight="false" outlineLevel="0" collapsed="false">
      <c r="A62" s="36"/>
      <c r="B62" s="36"/>
      <c r="C62" s="36"/>
      <c r="D62" s="37"/>
      <c r="E62" s="37"/>
      <c r="F62" s="37"/>
      <c r="G62" s="38"/>
      <c r="H62" s="38"/>
      <c r="I62" s="36"/>
      <c r="J62" s="38"/>
      <c r="K62" s="37"/>
      <c r="L62" s="36"/>
      <c r="M62" s="37"/>
      <c r="N62" s="37"/>
      <c r="O62" s="37"/>
      <c r="P62" s="37"/>
      <c r="Q62" s="36"/>
      <c r="R62" s="39" t="str">
        <f aca="true">IF(H62="","",TODAY()-H62)</f>
        <v/>
      </c>
      <c r="S62" s="39" t="str">
        <f aca="true">IF(J62="","",J62-TODAY())</f>
        <v/>
      </c>
      <c r="T62" s="37"/>
      <c r="U62" s="37"/>
      <c r="V62" s="40" t="str">
        <f aca="false">IFERROR(INDEX('Azure Resource Map'!$D$2:$D$2001,MATCH($C62,'Azure Resource Map'!$A$2:$A$2001,0)),"")</f>
        <v/>
      </c>
      <c r="W62" s="39" t="str">
        <f aca="false">IFERROR(INDEX('Azure Resource Map'!$E$2:$E$2001,MATCH($C62,'Azure Resource Map'!$A$2:$A$2001,0)),"")</f>
        <v/>
      </c>
      <c r="X62" s="39" t="str">
        <f aca="false">IFERROR(INDEX('Azure Resource Map'!$F$2:$F$2001,MATCH($C62,'Azure Resource Map'!$A$2:$A$2001,0)),"")</f>
        <v/>
      </c>
      <c r="Y62" s="39" t="str">
        <f aca="false">IF($C62="","",IF(ISNUMBER(MATCH($C62,'CA Exclusion Map'!$A$2:$A$2001,0)),"Yes","No"))</f>
        <v/>
      </c>
      <c r="Z62" s="39" t="str">
        <f aca="false">IFERROR(INDEX('CA Exclusion Map'!$D$2:$D$2001,MATCH($C62,'CA Exclusion Map'!$A$2:$A$2001,0)),"")</f>
        <v/>
      </c>
      <c r="AA62" s="40" t="str">
        <f aca="false">IFERROR(INDEX('CA Exclusion Map'!$E$2:$E$2001,MATCH($C62,'CA Exclusion Map'!$A$2:$A$2001,0)),"")</f>
        <v/>
      </c>
      <c r="AB62" s="40" t="str">
        <f aca="false">IFERROR(INDEX('CA Exclusion Map'!$F$2:$F$2001,MATCH($C62,'CA Exclusion Map'!$A$2:$A$2001,0)),"")</f>
        <v/>
      </c>
      <c r="AC62" s="36"/>
      <c r="AD62" s="37"/>
      <c r="AE62" s="38"/>
      <c r="AF62" s="38"/>
      <c r="AG62" s="39" t="str">
        <f aca="true">IF(Y62="","",IF(Y62&lt;&gt;"Yes","N/A",IF(AF62="","NO EXPIRY SET",IF(TODAY()&gt;AF62,"EXPIRED",IF(AF62-TODAY()&lt;=30,"Expiring Soon","Active")))))</f>
        <v/>
      </c>
      <c r="AH62" s="36"/>
      <c r="AI62" s="36"/>
      <c r="AJ62" s="37"/>
      <c r="AK62" s="36"/>
      <c r="AL62" s="37"/>
      <c r="AM62" s="37"/>
      <c r="AN62" s="37"/>
      <c r="AO62" s="37"/>
      <c r="AP62" s="38"/>
      <c r="AQ62" s="37"/>
      <c r="AR62" s="37"/>
      <c r="AS62" s="41" t="str">
        <f aca="false">IF(AP62="","",AP62+90)</f>
        <v/>
      </c>
      <c r="AT62" s="39" t="str">
        <f aca="true">IF(C62="","",IF(AP62="","NOT REVIEWED",IF(TODAY()&gt;AS62,"OVERDUE",IF(AS62-TODAY()&lt;=14,"Due Soon","Current"))))</f>
        <v/>
      </c>
      <c r="AU62" s="36"/>
    </row>
    <row r="63" customFormat="false" ht="15" hidden="false" customHeight="false" outlineLevel="0" collapsed="false">
      <c r="A63" s="36"/>
      <c r="B63" s="36"/>
      <c r="C63" s="36"/>
      <c r="D63" s="37"/>
      <c r="E63" s="37"/>
      <c r="F63" s="37"/>
      <c r="G63" s="38"/>
      <c r="H63" s="38"/>
      <c r="I63" s="36"/>
      <c r="J63" s="38"/>
      <c r="K63" s="37"/>
      <c r="L63" s="36"/>
      <c r="M63" s="37"/>
      <c r="N63" s="37"/>
      <c r="O63" s="37"/>
      <c r="P63" s="37"/>
      <c r="Q63" s="36"/>
      <c r="R63" s="39" t="str">
        <f aca="true">IF(H63="","",TODAY()-H63)</f>
        <v/>
      </c>
      <c r="S63" s="39" t="str">
        <f aca="true">IF(J63="","",J63-TODAY())</f>
        <v/>
      </c>
      <c r="T63" s="37"/>
      <c r="U63" s="37"/>
      <c r="V63" s="40" t="str">
        <f aca="false">IFERROR(INDEX('Azure Resource Map'!$D$2:$D$2001,MATCH($C63,'Azure Resource Map'!$A$2:$A$2001,0)),"")</f>
        <v/>
      </c>
      <c r="W63" s="39" t="str">
        <f aca="false">IFERROR(INDEX('Azure Resource Map'!$E$2:$E$2001,MATCH($C63,'Azure Resource Map'!$A$2:$A$2001,0)),"")</f>
        <v/>
      </c>
      <c r="X63" s="39" t="str">
        <f aca="false">IFERROR(INDEX('Azure Resource Map'!$F$2:$F$2001,MATCH($C63,'Azure Resource Map'!$A$2:$A$2001,0)),"")</f>
        <v/>
      </c>
      <c r="Y63" s="39" t="str">
        <f aca="false">IF($C63="","",IF(ISNUMBER(MATCH($C63,'CA Exclusion Map'!$A$2:$A$2001,0)),"Yes","No"))</f>
        <v/>
      </c>
      <c r="Z63" s="39" t="str">
        <f aca="false">IFERROR(INDEX('CA Exclusion Map'!$D$2:$D$2001,MATCH($C63,'CA Exclusion Map'!$A$2:$A$2001,0)),"")</f>
        <v/>
      </c>
      <c r="AA63" s="40" t="str">
        <f aca="false">IFERROR(INDEX('CA Exclusion Map'!$E$2:$E$2001,MATCH($C63,'CA Exclusion Map'!$A$2:$A$2001,0)),"")</f>
        <v/>
      </c>
      <c r="AB63" s="40" t="str">
        <f aca="false">IFERROR(INDEX('CA Exclusion Map'!$F$2:$F$2001,MATCH($C63,'CA Exclusion Map'!$A$2:$A$2001,0)),"")</f>
        <v/>
      </c>
      <c r="AC63" s="36"/>
      <c r="AD63" s="37"/>
      <c r="AE63" s="38"/>
      <c r="AF63" s="38"/>
      <c r="AG63" s="39" t="str">
        <f aca="true">IF(Y63="","",IF(Y63&lt;&gt;"Yes","N/A",IF(AF63="","NO EXPIRY SET",IF(TODAY()&gt;AF63,"EXPIRED",IF(AF63-TODAY()&lt;=30,"Expiring Soon","Active")))))</f>
        <v/>
      </c>
      <c r="AH63" s="36"/>
      <c r="AI63" s="36"/>
      <c r="AJ63" s="37"/>
      <c r="AK63" s="36"/>
      <c r="AL63" s="37"/>
      <c r="AM63" s="37"/>
      <c r="AN63" s="37"/>
      <c r="AO63" s="37"/>
      <c r="AP63" s="38"/>
      <c r="AQ63" s="37"/>
      <c r="AR63" s="37"/>
      <c r="AS63" s="41" t="str">
        <f aca="false">IF(AP63="","",AP63+90)</f>
        <v/>
      </c>
      <c r="AT63" s="39" t="str">
        <f aca="true">IF(C63="","",IF(AP63="","NOT REVIEWED",IF(TODAY()&gt;AS63,"OVERDUE",IF(AS63-TODAY()&lt;=14,"Due Soon","Current"))))</f>
        <v/>
      </c>
      <c r="AU63" s="36"/>
    </row>
    <row r="64" customFormat="false" ht="15" hidden="false" customHeight="false" outlineLevel="0" collapsed="false">
      <c r="A64" s="36"/>
      <c r="B64" s="36"/>
      <c r="C64" s="36"/>
      <c r="D64" s="37"/>
      <c r="E64" s="37"/>
      <c r="F64" s="37"/>
      <c r="G64" s="38"/>
      <c r="H64" s="38"/>
      <c r="I64" s="36"/>
      <c r="J64" s="38"/>
      <c r="K64" s="37"/>
      <c r="L64" s="36"/>
      <c r="M64" s="37"/>
      <c r="N64" s="37"/>
      <c r="O64" s="37"/>
      <c r="P64" s="37"/>
      <c r="Q64" s="36"/>
      <c r="R64" s="39" t="str">
        <f aca="true">IF(H64="","",TODAY()-H64)</f>
        <v/>
      </c>
      <c r="S64" s="39" t="str">
        <f aca="true">IF(J64="","",J64-TODAY())</f>
        <v/>
      </c>
      <c r="T64" s="37"/>
      <c r="U64" s="37"/>
      <c r="V64" s="40" t="str">
        <f aca="false">IFERROR(INDEX('Azure Resource Map'!$D$2:$D$2001,MATCH($C64,'Azure Resource Map'!$A$2:$A$2001,0)),"")</f>
        <v/>
      </c>
      <c r="W64" s="39" t="str">
        <f aca="false">IFERROR(INDEX('Azure Resource Map'!$E$2:$E$2001,MATCH($C64,'Azure Resource Map'!$A$2:$A$2001,0)),"")</f>
        <v/>
      </c>
      <c r="X64" s="39" t="str">
        <f aca="false">IFERROR(INDEX('Azure Resource Map'!$F$2:$F$2001,MATCH($C64,'Azure Resource Map'!$A$2:$A$2001,0)),"")</f>
        <v/>
      </c>
      <c r="Y64" s="39" t="str">
        <f aca="false">IF($C64="","",IF(ISNUMBER(MATCH($C64,'CA Exclusion Map'!$A$2:$A$2001,0)),"Yes","No"))</f>
        <v/>
      </c>
      <c r="Z64" s="39" t="str">
        <f aca="false">IFERROR(INDEX('CA Exclusion Map'!$D$2:$D$2001,MATCH($C64,'CA Exclusion Map'!$A$2:$A$2001,0)),"")</f>
        <v/>
      </c>
      <c r="AA64" s="40" t="str">
        <f aca="false">IFERROR(INDEX('CA Exclusion Map'!$E$2:$E$2001,MATCH($C64,'CA Exclusion Map'!$A$2:$A$2001,0)),"")</f>
        <v/>
      </c>
      <c r="AB64" s="40" t="str">
        <f aca="false">IFERROR(INDEX('CA Exclusion Map'!$F$2:$F$2001,MATCH($C64,'CA Exclusion Map'!$A$2:$A$2001,0)),"")</f>
        <v/>
      </c>
      <c r="AC64" s="36"/>
      <c r="AD64" s="37"/>
      <c r="AE64" s="38"/>
      <c r="AF64" s="38"/>
      <c r="AG64" s="39" t="str">
        <f aca="true">IF(Y64="","",IF(Y64&lt;&gt;"Yes","N/A",IF(AF64="","NO EXPIRY SET",IF(TODAY()&gt;AF64,"EXPIRED",IF(AF64-TODAY()&lt;=30,"Expiring Soon","Active")))))</f>
        <v/>
      </c>
      <c r="AH64" s="36"/>
      <c r="AI64" s="36"/>
      <c r="AJ64" s="37"/>
      <c r="AK64" s="36"/>
      <c r="AL64" s="37"/>
      <c r="AM64" s="37"/>
      <c r="AN64" s="37"/>
      <c r="AO64" s="37"/>
      <c r="AP64" s="38"/>
      <c r="AQ64" s="37"/>
      <c r="AR64" s="37"/>
      <c r="AS64" s="41" t="str">
        <f aca="false">IF(AP64="","",AP64+90)</f>
        <v/>
      </c>
      <c r="AT64" s="39" t="str">
        <f aca="true">IF(C64="","",IF(AP64="","NOT REVIEWED",IF(TODAY()&gt;AS64,"OVERDUE",IF(AS64-TODAY()&lt;=14,"Due Soon","Current"))))</f>
        <v/>
      </c>
      <c r="AU64" s="36"/>
    </row>
    <row r="65" customFormat="false" ht="15" hidden="false" customHeight="false" outlineLevel="0" collapsed="false">
      <c r="A65" s="36"/>
      <c r="B65" s="36"/>
      <c r="C65" s="36"/>
      <c r="D65" s="37"/>
      <c r="E65" s="37"/>
      <c r="F65" s="37"/>
      <c r="G65" s="38"/>
      <c r="H65" s="38"/>
      <c r="I65" s="36"/>
      <c r="J65" s="38"/>
      <c r="K65" s="37"/>
      <c r="L65" s="36"/>
      <c r="M65" s="37"/>
      <c r="N65" s="37"/>
      <c r="O65" s="37"/>
      <c r="P65" s="37"/>
      <c r="Q65" s="36"/>
      <c r="R65" s="39" t="str">
        <f aca="true">IF(H65="","",TODAY()-H65)</f>
        <v/>
      </c>
      <c r="S65" s="39" t="str">
        <f aca="true">IF(J65="","",J65-TODAY())</f>
        <v/>
      </c>
      <c r="T65" s="37"/>
      <c r="U65" s="37"/>
      <c r="V65" s="40" t="str">
        <f aca="false">IFERROR(INDEX('Azure Resource Map'!$D$2:$D$2001,MATCH($C65,'Azure Resource Map'!$A$2:$A$2001,0)),"")</f>
        <v/>
      </c>
      <c r="W65" s="39" t="str">
        <f aca="false">IFERROR(INDEX('Azure Resource Map'!$E$2:$E$2001,MATCH($C65,'Azure Resource Map'!$A$2:$A$2001,0)),"")</f>
        <v/>
      </c>
      <c r="X65" s="39" t="str">
        <f aca="false">IFERROR(INDEX('Azure Resource Map'!$F$2:$F$2001,MATCH($C65,'Azure Resource Map'!$A$2:$A$2001,0)),"")</f>
        <v/>
      </c>
      <c r="Y65" s="39" t="str">
        <f aca="false">IF($C65="","",IF(ISNUMBER(MATCH($C65,'CA Exclusion Map'!$A$2:$A$2001,0)),"Yes","No"))</f>
        <v/>
      </c>
      <c r="Z65" s="39" t="str">
        <f aca="false">IFERROR(INDEX('CA Exclusion Map'!$D$2:$D$2001,MATCH($C65,'CA Exclusion Map'!$A$2:$A$2001,0)),"")</f>
        <v/>
      </c>
      <c r="AA65" s="40" t="str">
        <f aca="false">IFERROR(INDEX('CA Exclusion Map'!$E$2:$E$2001,MATCH($C65,'CA Exclusion Map'!$A$2:$A$2001,0)),"")</f>
        <v/>
      </c>
      <c r="AB65" s="40" t="str">
        <f aca="false">IFERROR(INDEX('CA Exclusion Map'!$F$2:$F$2001,MATCH($C65,'CA Exclusion Map'!$A$2:$A$2001,0)),"")</f>
        <v/>
      </c>
      <c r="AC65" s="36"/>
      <c r="AD65" s="37"/>
      <c r="AE65" s="38"/>
      <c r="AF65" s="38"/>
      <c r="AG65" s="39" t="str">
        <f aca="true">IF(Y65="","",IF(Y65&lt;&gt;"Yes","N/A",IF(AF65="","NO EXPIRY SET",IF(TODAY()&gt;AF65,"EXPIRED",IF(AF65-TODAY()&lt;=30,"Expiring Soon","Active")))))</f>
        <v/>
      </c>
      <c r="AH65" s="36"/>
      <c r="AI65" s="36"/>
      <c r="AJ65" s="37"/>
      <c r="AK65" s="36"/>
      <c r="AL65" s="37"/>
      <c r="AM65" s="37"/>
      <c r="AN65" s="37"/>
      <c r="AO65" s="37"/>
      <c r="AP65" s="38"/>
      <c r="AQ65" s="37"/>
      <c r="AR65" s="37"/>
      <c r="AS65" s="41" t="str">
        <f aca="false">IF(AP65="","",AP65+90)</f>
        <v/>
      </c>
      <c r="AT65" s="39" t="str">
        <f aca="true">IF(C65="","",IF(AP65="","NOT REVIEWED",IF(TODAY()&gt;AS65,"OVERDUE",IF(AS65-TODAY()&lt;=14,"Due Soon","Current"))))</f>
        <v/>
      </c>
      <c r="AU65" s="36"/>
    </row>
    <row r="66" customFormat="false" ht="15" hidden="false" customHeight="false" outlineLevel="0" collapsed="false">
      <c r="A66" s="36"/>
      <c r="B66" s="36"/>
      <c r="C66" s="36"/>
      <c r="D66" s="37"/>
      <c r="E66" s="37"/>
      <c r="F66" s="37"/>
      <c r="G66" s="38"/>
      <c r="H66" s="38"/>
      <c r="I66" s="36"/>
      <c r="J66" s="38"/>
      <c r="K66" s="37"/>
      <c r="L66" s="36"/>
      <c r="M66" s="37"/>
      <c r="N66" s="37"/>
      <c r="O66" s="37"/>
      <c r="P66" s="37"/>
      <c r="Q66" s="36"/>
      <c r="R66" s="39" t="str">
        <f aca="true">IF(H66="","",TODAY()-H66)</f>
        <v/>
      </c>
      <c r="S66" s="39" t="str">
        <f aca="true">IF(J66="","",J66-TODAY())</f>
        <v/>
      </c>
      <c r="T66" s="37"/>
      <c r="U66" s="37"/>
      <c r="V66" s="40" t="str">
        <f aca="false">IFERROR(INDEX('Azure Resource Map'!$D$2:$D$2001,MATCH($C66,'Azure Resource Map'!$A$2:$A$2001,0)),"")</f>
        <v/>
      </c>
      <c r="W66" s="39" t="str">
        <f aca="false">IFERROR(INDEX('Azure Resource Map'!$E$2:$E$2001,MATCH($C66,'Azure Resource Map'!$A$2:$A$2001,0)),"")</f>
        <v/>
      </c>
      <c r="X66" s="39" t="str">
        <f aca="false">IFERROR(INDEX('Azure Resource Map'!$F$2:$F$2001,MATCH($C66,'Azure Resource Map'!$A$2:$A$2001,0)),"")</f>
        <v/>
      </c>
      <c r="Y66" s="39" t="str">
        <f aca="false">IF($C66="","",IF(ISNUMBER(MATCH($C66,'CA Exclusion Map'!$A$2:$A$2001,0)),"Yes","No"))</f>
        <v/>
      </c>
      <c r="Z66" s="39" t="str">
        <f aca="false">IFERROR(INDEX('CA Exclusion Map'!$D$2:$D$2001,MATCH($C66,'CA Exclusion Map'!$A$2:$A$2001,0)),"")</f>
        <v/>
      </c>
      <c r="AA66" s="40" t="str">
        <f aca="false">IFERROR(INDEX('CA Exclusion Map'!$E$2:$E$2001,MATCH($C66,'CA Exclusion Map'!$A$2:$A$2001,0)),"")</f>
        <v/>
      </c>
      <c r="AB66" s="40" t="str">
        <f aca="false">IFERROR(INDEX('CA Exclusion Map'!$F$2:$F$2001,MATCH($C66,'CA Exclusion Map'!$A$2:$A$2001,0)),"")</f>
        <v/>
      </c>
      <c r="AC66" s="36"/>
      <c r="AD66" s="37"/>
      <c r="AE66" s="38"/>
      <c r="AF66" s="38"/>
      <c r="AG66" s="39" t="str">
        <f aca="true">IF(Y66="","",IF(Y66&lt;&gt;"Yes","N/A",IF(AF66="","NO EXPIRY SET",IF(TODAY()&gt;AF66,"EXPIRED",IF(AF66-TODAY()&lt;=30,"Expiring Soon","Active")))))</f>
        <v/>
      </c>
      <c r="AH66" s="36"/>
      <c r="AI66" s="36"/>
      <c r="AJ66" s="37"/>
      <c r="AK66" s="36"/>
      <c r="AL66" s="37"/>
      <c r="AM66" s="37"/>
      <c r="AN66" s="37"/>
      <c r="AO66" s="37"/>
      <c r="AP66" s="38"/>
      <c r="AQ66" s="37"/>
      <c r="AR66" s="37"/>
      <c r="AS66" s="41" t="str">
        <f aca="false">IF(AP66="","",AP66+90)</f>
        <v/>
      </c>
      <c r="AT66" s="39" t="str">
        <f aca="true">IF(C66="","",IF(AP66="","NOT REVIEWED",IF(TODAY()&gt;AS66,"OVERDUE",IF(AS66-TODAY()&lt;=14,"Due Soon","Current"))))</f>
        <v/>
      </c>
      <c r="AU66" s="36"/>
    </row>
    <row r="67" customFormat="false" ht="15" hidden="false" customHeight="false" outlineLevel="0" collapsed="false">
      <c r="A67" s="36"/>
      <c r="B67" s="36"/>
      <c r="C67" s="36"/>
      <c r="D67" s="37"/>
      <c r="E67" s="37"/>
      <c r="F67" s="37"/>
      <c r="G67" s="38"/>
      <c r="H67" s="38"/>
      <c r="I67" s="36"/>
      <c r="J67" s="38"/>
      <c r="K67" s="37"/>
      <c r="L67" s="36"/>
      <c r="M67" s="37"/>
      <c r="N67" s="37"/>
      <c r="O67" s="37"/>
      <c r="P67" s="37"/>
      <c r="Q67" s="36"/>
      <c r="R67" s="39" t="str">
        <f aca="true">IF(H67="","",TODAY()-H67)</f>
        <v/>
      </c>
      <c r="S67" s="39" t="str">
        <f aca="true">IF(J67="","",J67-TODAY())</f>
        <v/>
      </c>
      <c r="T67" s="37"/>
      <c r="U67" s="37"/>
      <c r="V67" s="40" t="str">
        <f aca="false">IFERROR(INDEX('Azure Resource Map'!$D$2:$D$2001,MATCH($C67,'Azure Resource Map'!$A$2:$A$2001,0)),"")</f>
        <v/>
      </c>
      <c r="W67" s="39" t="str">
        <f aca="false">IFERROR(INDEX('Azure Resource Map'!$E$2:$E$2001,MATCH($C67,'Azure Resource Map'!$A$2:$A$2001,0)),"")</f>
        <v/>
      </c>
      <c r="X67" s="39" t="str">
        <f aca="false">IFERROR(INDEX('Azure Resource Map'!$F$2:$F$2001,MATCH($C67,'Azure Resource Map'!$A$2:$A$2001,0)),"")</f>
        <v/>
      </c>
      <c r="Y67" s="39" t="str">
        <f aca="false">IF($C67="","",IF(ISNUMBER(MATCH($C67,'CA Exclusion Map'!$A$2:$A$2001,0)),"Yes","No"))</f>
        <v/>
      </c>
      <c r="Z67" s="39" t="str">
        <f aca="false">IFERROR(INDEX('CA Exclusion Map'!$D$2:$D$2001,MATCH($C67,'CA Exclusion Map'!$A$2:$A$2001,0)),"")</f>
        <v/>
      </c>
      <c r="AA67" s="40" t="str">
        <f aca="false">IFERROR(INDEX('CA Exclusion Map'!$E$2:$E$2001,MATCH($C67,'CA Exclusion Map'!$A$2:$A$2001,0)),"")</f>
        <v/>
      </c>
      <c r="AB67" s="40" t="str">
        <f aca="false">IFERROR(INDEX('CA Exclusion Map'!$F$2:$F$2001,MATCH($C67,'CA Exclusion Map'!$A$2:$A$2001,0)),"")</f>
        <v/>
      </c>
      <c r="AC67" s="36"/>
      <c r="AD67" s="37"/>
      <c r="AE67" s="38"/>
      <c r="AF67" s="38"/>
      <c r="AG67" s="39" t="str">
        <f aca="true">IF(Y67="","",IF(Y67&lt;&gt;"Yes","N/A",IF(AF67="","NO EXPIRY SET",IF(TODAY()&gt;AF67,"EXPIRED",IF(AF67-TODAY()&lt;=30,"Expiring Soon","Active")))))</f>
        <v/>
      </c>
      <c r="AH67" s="36"/>
      <c r="AI67" s="36"/>
      <c r="AJ67" s="37"/>
      <c r="AK67" s="36"/>
      <c r="AL67" s="37"/>
      <c r="AM67" s="37"/>
      <c r="AN67" s="37"/>
      <c r="AO67" s="37"/>
      <c r="AP67" s="38"/>
      <c r="AQ67" s="37"/>
      <c r="AR67" s="37"/>
      <c r="AS67" s="41" t="str">
        <f aca="false">IF(AP67="","",AP67+90)</f>
        <v/>
      </c>
      <c r="AT67" s="39" t="str">
        <f aca="true">IF(C67="","",IF(AP67="","NOT REVIEWED",IF(TODAY()&gt;AS67,"OVERDUE",IF(AS67-TODAY()&lt;=14,"Due Soon","Current"))))</f>
        <v/>
      </c>
      <c r="AU67" s="36"/>
    </row>
    <row r="68" customFormat="false" ht="15" hidden="false" customHeight="false" outlineLevel="0" collapsed="false">
      <c r="A68" s="36"/>
      <c r="B68" s="36"/>
      <c r="C68" s="36"/>
      <c r="D68" s="37"/>
      <c r="E68" s="37"/>
      <c r="F68" s="37"/>
      <c r="G68" s="38"/>
      <c r="H68" s="38"/>
      <c r="I68" s="36"/>
      <c r="J68" s="38"/>
      <c r="K68" s="37"/>
      <c r="L68" s="36"/>
      <c r="M68" s="37"/>
      <c r="N68" s="37"/>
      <c r="O68" s="37"/>
      <c r="P68" s="37"/>
      <c r="Q68" s="36"/>
      <c r="R68" s="39" t="str">
        <f aca="true">IF(H68="","",TODAY()-H68)</f>
        <v/>
      </c>
      <c r="S68" s="39" t="str">
        <f aca="true">IF(J68="","",J68-TODAY())</f>
        <v/>
      </c>
      <c r="T68" s="37"/>
      <c r="U68" s="37"/>
      <c r="V68" s="40" t="str">
        <f aca="false">IFERROR(INDEX('Azure Resource Map'!$D$2:$D$2001,MATCH($C68,'Azure Resource Map'!$A$2:$A$2001,0)),"")</f>
        <v/>
      </c>
      <c r="W68" s="39" t="str">
        <f aca="false">IFERROR(INDEX('Azure Resource Map'!$E$2:$E$2001,MATCH($C68,'Azure Resource Map'!$A$2:$A$2001,0)),"")</f>
        <v/>
      </c>
      <c r="X68" s="39" t="str">
        <f aca="false">IFERROR(INDEX('Azure Resource Map'!$F$2:$F$2001,MATCH($C68,'Azure Resource Map'!$A$2:$A$2001,0)),"")</f>
        <v/>
      </c>
      <c r="Y68" s="39" t="str">
        <f aca="false">IF($C68="","",IF(ISNUMBER(MATCH($C68,'CA Exclusion Map'!$A$2:$A$2001,0)),"Yes","No"))</f>
        <v/>
      </c>
      <c r="Z68" s="39" t="str">
        <f aca="false">IFERROR(INDEX('CA Exclusion Map'!$D$2:$D$2001,MATCH($C68,'CA Exclusion Map'!$A$2:$A$2001,0)),"")</f>
        <v/>
      </c>
      <c r="AA68" s="40" t="str">
        <f aca="false">IFERROR(INDEX('CA Exclusion Map'!$E$2:$E$2001,MATCH($C68,'CA Exclusion Map'!$A$2:$A$2001,0)),"")</f>
        <v/>
      </c>
      <c r="AB68" s="40" t="str">
        <f aca="false">IFERROR(INDEX('CA Exclusion Map'!$F$2:$F$2001,MATCH($C68,'CA Exclusion Map'!$A$2:$A$2001,0)),"")</f>
        <v/>
      </c>
      <c r="AC68" s="36"/>
      <c r="AD68" s="37"/>
      <c r="AE68" s="38"/>
      <c r="AF68" s="38"/>
      <c r="AG68" s="39" t="str">
        <f aca="true">IF(Y68="","",IF(Y68&lt;&gt;"Yes","N/A",IF(AF68="","NO EXPIRY SET",IF(TODAY()&gt;AF68,"EXPIRED",IF(AF68-TODAY()&lt;=30,"Expiring Soon","Active")))))</f>
        <v/>
      </c>
      <c r="AH68" s="36"/>
      <c r="AI68" s="36"/>
      <c r="AJ68" s="37"/>
      <c r="AK68" s="36"/>
      <c r="AL68" s="37"/>
      <c r="AM68" s="37"/>
      <c r="AN68" s="37"/>
      <c r="AO68" s="37"/>
      <c r="AP68" s="38"/>
      <c r="AQ68" s="37"/>
      <c r="AR68" s="37"/>
      <c r="AS68" s="41" t="str">
        <f aca="false">IF(AP68="","",AP68+90)</f>
        <v/>
      </c>
      <c r="AT68" s="39" t="str">
        <f aca="true">IF(C68="","",IF(AP68="","NOT REVIEWED",IF(TODAY()&gt;AS68,"OVERDUE",IF(AS68-TODAY()&lt;=14,"Due Soon","Current"))))</f>
        <v/>
      </c>
      <c r="AU68" s="36"/>
    </row>
    <row r="69" customFormat="false" ht="15" hidden="false" customHeight="false" outlineLevel="0" collapsed="false">
      <c r="A69" s="36"/>
      <c r="B69" s="36"/>
      <c r="C69" s="36"/>
      <c r="D69" s="37"/>
      <c r="E69" s="37"/>
      <c r="F69" s="37"/>
      <c r="G69" s="38"/>
      <c r="H69" s="38"/>
      <c r="I69" s="36"/>
      <c r="J69" s="38"/>
      <c r="K69" s="37"/>
      <c r="L69" s="36"/>
      <c r="M69" s="37"/>
      <c r="N69" s="37"/>
      <c r="O69" s="37"/>
      <c r="P69" s="37"/>
      <c r="Q69" s="36"/>
      <c r="R69" s="39" t="str">
        <f aca="true">IF(H69="","",TODAY()-H69)</f>
        <v/>
      </c>
      <c r="S69" s="39" t="str">
        <f aca="true">IF(J69="","",J69-TODAY())</f>
        <v/>
      </c>
      <c r="T69" s="37"/>
      <c r="U69" s="37"/>
      <c r="V69" s="40" t="str">
        <f aca="false">IFERROR(INDEX('Azure Resource Map'!$D$2:$D$2001,MATCH($C69,'Azure Resource Map'!$A$2:$A$2001,0)),"")</f>
        <v/>
      </c>
      <c r="W69" s="39" t="str">
        <f aca="false">IFERROR(INDEX('Azure Resource Map'!$E$2:$E$2001,MATCH($C69,'Azure Resource Map'!$A$2:$A$2001,0)),"")</f>
        <v/>
      </c>
      <c r="X69" s="39" t="str">
        <f aca="false">IFERROR(INDEX('Azure Resource Map'!$F$2:$F$2001,MATCH($C69,'Azure Resource Map'!$A$2:$A$2001,0)),"")</f>
        <v/>
      </c>
      <c r="Y69" s="39" t="str">
        <f aca="false">IF($C69="","",IF(ISNUMBER(MATCH($C69,'CA Exclusion Map'!$A$2:$A$2001,0)),"Yes","No"))</f>
        <v/>
      </c>
      <c r="Z69" s="39" t="str">
        <f aca="false">IFERROR(INDEX('CA Exclusion Map'!$D$2:$D$2001,MATCH($C69,'CA Exclusion Map'!$A$2:$A$2001,0)),"")</f>
        <v/>
      </c>
      <c r="AA69" s="40" t="str">
        <f aca="false">IFERROR(INDEX('CA Exclusion Map'!$E$2:$E$2001,MATCH($C69,'CA Exclusion Map'!$A$2:$A$2001,0)),"")</f>
        <v/>
      </c>
      <c r="AB69" s="40" t="str">
        <f aca="false">IFERROR(INDEX('CA Exclusion Map'!$F$2:$F$2001,MATCH($C69,'CA Exclusion Map'!$A$2:$A$2001,0)),"")</f>
        <v/>
      </c>
      <c r="AC69" s="36"/>
      <c r="AD69" s="37"/>
      <c r="AE69" s="38"/>
      <c r="AF69" s="38"/>
      <c r="AG69" s="39" t="str">
        <f aca="true">IF(Y69="","",IF(Y69&lt;&gt;"Yes","N/A",IF(AF69="","NO EXPIRY SET",IF(TODAY()&gt;AF69,"EXPIRED",IF(AF69-TODAY()&lt;=30,"Expiring Soon","Active")))))</f>
        <v/>
      </c>
      <c r="AH69" s="36"/>
      <c r="AI69" s="36"/>
      <c r="AJ69" s="37"/>
      <c r="AK69" s="36"/>
      <c r="AL69" s="37"/>
      <c r="AM69" s="37"/>
      <c r="AN69" s="37"/>
      <c r="AO69" s="37"/>
      <c r="AP69" s="38"/>
      <c r="AQ69" s="37"/>
      <c r="AR69" s="37"/>
      <c r="AS69" s="41" t="str">
        <f aca="false">IF(AP69="","",AP69+90)</f>
        <v/>
      </c>
      <c r="AT69" s="39" t="str">
        <f aca="true">IF(C69="","",IF(AP69="","NOT REVIEWED",IF(TODAY()&gt;AS69,"OVERDUE",IF(AS69-TODAY()&lt;=14,"Due Soon","Current"))))</f>
        <v/>
      </c>
      <c r="AU69" s="36"/>
    </row>
    <row r="70" customFormat="false" ht="15" hidden="false" customHeight="false" outlineLevel="0" collapsed="false">
      <c r="A70" s="36"/>
      <c r="B70" s="36"/>
      <c r="C70" s="36"/>
      <c r="D70" s="37"/>
      <c r="E70" s="37"/>
      <c r="F70" s="37"/>
      <c r="G70" s="38"/>
      <c r="H70" s="38"/>
      <c r="I70" s="36"/>
      <c r="J70" s="38"/>
      <c r="K70" s="37"/>
      <c r="L70" s="36"/>
      <c r="M70" s="37"/>
      <c r="N70" s="37"/>
      <c r="O70" s="37"/>
      <c r="P70" s="37"/>
      <c r="Q70" s="36"/>
      <c r="R70" s="39" t="str">
        <f aca="true">IF(H70="","",TODAY()-H70)</f>
        <v/>
      </c>
      <c r="S70" s="39" t="str">
        <f aca="true">IF(J70="","",J70-TODAY())</f>
        <v/>
      </c>
      <c r="T70" s="37"/>
      <c r="U70" s="37"/>
      <c r="V70" s="40" t="str">
        <f aca="false">IFERROR(INDEX('Azure Resource Map'!$D$2:$D$2001,MATCH($C70,'Azure Resource Map'!$A$2:$A$2001,0)),"")</f>
        <v/>
      </c>
      <c r="W70" s="39" t="str">
        <f aca="false">IFERROR(INDEX('Azure Resource Map'!$E$2:$E$2001,MATCH($C70,'Azure Resource Map'!$A$2:$A$2001,0)),"")</f>
        <v/>
      </c>
      <c r="X70" s="39" t="str">
        <f aca="false">IFERROR(INDEX('Azure Resource Map'!$F$2:$F$2001,MATCH($C70,'Azure Resource Map'!$A$2:$A$2001,0)),"")</f>
        <v/>
      </c>
      <c r="Y70" s="39" t="str">
        <f aca="false">IF($C70="","",IF(ISNUMBER(MATCH($C70,'CA Exclusion Map'!$A$2:$A$2001,0)),"Yes","No"))</f>
        <v/>
      </c>
      <c r="Z70" s="39" t="str">
        <f aca="false">IFERROR(INDEX('CA Exclusion Map'!$D$2:$D$2001,MATCH($C70,'CA Exclusion Map'!$A$2:$A$2001,0)),"")</f>
        <v/>
      </c>
      <c r="AA70" s="40" t="str">
        <f aca="false">IFERROR(INDEX('CA Exclusion Map'!$E$2:$E$2001,MATCH($C70,'CA Exclusion Map'!$A$2:$A$2001,0)),"")</f>
        <v/>
      </c>
      <c r="AB70" s="40" t="str">
        <f aca="false">IFERROR(INDEX('CA Exclusion Map'!$F$2:$F$2001,MATCH($C70,'CA Exclusion Map'!$A$2:$A$2001,0)),"")</f>
        <v/>
      </c>
      <c r="AC70" s="36"/>
      <c r="AD70" s="37"/>
      <c r="AE70" s="38"/>
      <c r="AF70" s="38"/>
      <c r="AG70" s="39" t="str">
        <f aca="true">IF(Y70="","",IF(Y70&lt;&gt;"Yes","N/A",IF(AF70="","NO EXPIRY SET",IF(TODAY()&gt;AF70,"EXPIRED",IF(AF70-TODAY()&lt;=30,"Expiring Soon","Active")))))</f>
        <v/>
      </c>
      <c r="AH70" s="36"/>
      <c r="AI70" s="36"/>
      <c r="AJ70" s="37"/>
      <c r="AK70" s="36"/>
      <c r="AL70" s="37"/>
      <c r="AM70" s="37"/>
      <c r="AN70" s="37"/>
      <c r="AO70" s="37"/>
      <c r="AP70" s="38"/>
      <c r="AQ70" s="37"/>
      <c r="AR70" s="37"/>
      <c r="AS70" s="41" t="str">
        <f aca="false">IF(AP70="","",AP70+90)</f>
        <v/>
      </c>
      <c r="AT70" s="39" t="str">
        <f aca="true">IF(C70="","",IF(AP70="","NOT REVIEWED",IF(TODAY()&gt;AS70,"OVERDUE",IF(AS70-TODAY()&lt;=14,"Due Soon","Current"))))</f>
        <v/>
      </c>
      <c r="AU70" s="36"/>
    </row>
    <row r="71" customFormat="false" ht="15" hidden="false" customHeight="false" outlineLevel="0" collapsed="false">
      <c r="A71" s="36"/>
      <c r="B71" s="36"/>
      <c r="C71" s="36"/>
      <c r="D71" s="37"/>
      <c r="E71" s="37"/>
      <c r="F71" s="37"/>
      <c r="G71" s="38"/>
      <c r="H71" s="38"/>
      <c r="I71" s="36"/>
      <c r="J71" s="38"/>
      <c r="K71" s="37"/>
      <c r="L71" s="36"/>
      <c r="M71" s="37"/>
      <c r="N71" s="37"/>
      <c r="O71" s="37"/>
      <c r="P71" s="37"/>
      <c r="Q71" s="36"/>
      <c r="R71" s="39" t="str">
        <f aca="true">IF(H71="","",TODAY()-H71)</f>
        <v/>
      </c>
      <c r="S71" s="39" t="str">
        <f aca="true">IF(J71="","",J71-TODAY())</f>
        <v/>
      </c>
      <c r="T71" s="37"/>
      <c r="U71" s="37"/>
      <c r="V71" s="40" t="str">
        <f aca="false">IFERROR(INDEX('Azure Resource Map'!$D$2:$D$2001,MATCH($C71,'Azure Resource Map'!$A$2:$A$2001,0)),"")</f>
        <v/>
      </c>
      <c r="W71" s="39" t="str">
        <f aca="false">IFERROR(INDEX('Azure Resource Map'!$E$2:$E$2001,MATCH($C71,'Azure Resource Map'!$A$2:$A$2001,0)),"")</f>
        <v/>
      </c>
      <c r="X71" s="39" t="str">
        <f aca="false">IFERROR(INDEX('Azure Resource Map'!$F$2:$F$2001,MATCH($C71,'Azure Resource Map'!$A$2:$A$2001,0)),"")</f>
        <v/>
      </c>
      <c r="Y71" s="39" t="str">
        <f aca="false">IF($C71="","",IF(ISNUMBER(MATCH($C71,'CA Exclusion Map'!$A$2:$A$2001,0)),"Yes","No"))</f>
        <v/>
      </c>
      <c r="Z71" s="39" t="str">
        <f aca="false">IFERROR(INDEX('CA Exclusion Map'!$D$2:$D$2001,MATCH($C71,'CA Exclusion Map'!$A$2:$A$2001,0)),"")</f>
        <v/>
      </c>
      <c r="AA71" s="40" t="str">
        <f aca="false">IFERROR(INDEX('CA Exclusion Map'!$E$2:$E$2001,MATCH($C71,'CA Exclusion Map'!$A$2:$A$2001,0)),"")</f>
        <v/>
      </c>
      <c r="AB71" s="40" t="str">
        <f aca="false">IFERROR(INDEX('CA Exclusion Map'!$F$2:$F$2001,MATCH($C71,'CA Exclusion Map'!$A$2:$A$2001,0)),"")</f>
        <v/>
      </c>
      <c r="AC71" s="36"/>
      <c r="AD71" s="37"/>
      <c r="AE71" s="38"/>
      <c r="AF71" s="38"/>
      <c r="AG71" s="39" t="str">
        <f aca="true">IF(Y71="","",IF(Y71&lt;&gt;"Yes","N/A",IF(AF71="","NO EXPIRY SET",IF(TODAY()&gt;AF71,"EXPIRED",IF(AF71-TODAY()&lt;=30,"Expiring Soon","Active")))))</f>
        <v/>
      </c>
      <c r="AH71" s="36"/>
      <c r="AI71" s="36"/>
      <c r="AJ71" s="37"/>
      <c r="AK71" s="36"/>
      <c r="AL71" s="37"/>
      <c r="AM71" s="37"/>
      <c r="AN71" s="37"/>
      <c r="AO71" s="37"/>
      <c r="AP71" s="38"/>
      <c r="AQ71" s="37"/>
      <c r="AR71" s="37"/>
      <c r="AS71" s="41" t="str">
        <f aca="false">IF(AP71="","",AP71+90)</f>
        <v/>
      </c>
      <c r="AT71" s="39" t="str">
        <f aca="true">IF(C71="","",IF(AP71="","NOT REVIEWED",IF(TODAY()&gt;AS71,"OVERDUE",IF(AS71-TODAY()&lt;=14,"Due Soon","Current"))))</f>
        <v/>
      </c>
      <c r="AU71" s="36"/>
    </row>
    <row r="72" customFormat="false" ht="15" hidden="false" customHeight="false" outlineLevel="0" collapsed="false">
      <c r="A72" s="36"/>
      <c r="B72" s="36"/>
      <c r="C72" s="36"/>
      <c r="D72" s="37"/>
      <c r="E72" s="37"/>
      <c r="F72" s="37"/>
      <c r="G72" s="38"/>
      <c r="H72" s="38"/>
      <c r="I72" s="36"/>
      <c r="J72" s="38"/>
      <c r="K72" s="37"/>
      <c r="L72" s="36"/>
      <c r="M72" s="37"/>
      <c r="N72" s="37"/>
      <c r="O72" s="37"/>
      <c r="P72" s="37"/>
      <c r="Q72" s="36"/>
      <c r="R72" s="39" t="str">
        <f aca="true">IF(H72="","",TODAY()-H72)</f>
        <v/>
      </c>
      <c r="S72" s="39" t="str">
        <f aca="true">IF(J72="","",J72-TODAY())</f>
        <v/>
      </c>
      <c r="T72" s="37"/>
      <c r="U72" s="37"/>
      <c r="V72" s="40" t="str">
        <f aca="false">IFERROR(INDEX('Azure Resource Map'!$D$2:$D$2001,MATCH($C72,'Azure Resource Map'!$A$2:$A$2001,0)),"")</f>
        <v/>
      </c>
      <c r="W72" s="39" t="str">
        <f aca="false">IFERROR(INDEX('Azure Resource Map'!$E$2:$E$2001,MATCH($C72,'Azure Resource Map'!$A$2:$A$2001,0)),"")</f>
        <v/>
      </c>
      <c r="X72" s="39" t="str">
        <f aca="false">IFERROR(INDEX('Azure Resource Map'!$F$2:$F$2001,MATCH($C72,'Azure Resource Map'!$A$2:$A$2001,0)),"")</f>
        <v/>
      </c>
      <c r="Y72" s="39" t="str">
        <f aca="false">IF($C72="","",IF(ISNUMBER(MATCH($C72,'CA Exclusion Map'!$A$2:$A$2001,0)),"Yes","No"))</f>
        <v/>
      </c>
      <c r="Z72" s="39" t="str">
        <f aca="false">IFERROR(INDEX('CA Exclusion Map'!$D$2:$D$2001,MATCH($C72,'CA Exclusion Map'!$A$2:$A$2001,0)),"")</f>
        <v/>
      </c>
      <c r="AA72" s="40" t="str">
        <f aca="false">IFERROR(INDEX('CA Exclusion Map'!$E$2:$E$2001,MATCH($C72,'CA Exclusion Map'!$A$2:$A$2001,0)),"")</f>
        <v/>
      </c>
      <c r="AB72" s="40" t="str">
        <f aca="false">IFERROR(INDEX('CA Exclusion Map'!$F$2:$F$2001,MATCH($C72,'CA Exclusion Map'!$A$2:$A$2001,0)),"")</f>
        <v/>
      </c>
      <c r="AC72" s="36"/>
      <c r="AD72" s="37"/>
      <c r="AE72" s="38"/>
      <c r="AF72" s="38"/>
      <c r="AG72" s="39" t="str">
        <f aca="true">IF(Y72="","",IF(Y72&lt;&gt;"Yes","N/A",IF(AF72="","NO EXPIRY SET",IF(TODAY()&gt;AF72,"EXPIRED",IF(AF72-TODAY()&lt;=30,"Expiring Soon","Active")))))</f>
        <v/>
      </c>
      <c r="AH72" s="36"/>
      <c r="AI72" s="36"/>
      <c r="AJ72" s="37"/>
      <c r="AK72" s="36"/>
      <c r="AL72" s="37"/>
      <c r="AM72" s="37"/>
      <c r="AN72" s="37"/>
      <c r="AO72" s="37"/>
      <c r="AP72" s="38"/>
      <c r="AQ72" s="37"/>
      <c r="AR72" s="37"/>
      <c r="AS72" s="41" t="str">
        <f aca="false">IF(AP72="","",AP72+90)</f>
        <v/>
      </c>
      <c r="AT72" s="39" t="str">
        <f aca="true">IF(C72="","",IF(AP72="","NOT REVIEWED",IF(TODAY()&gt;AS72,"OVERDUE",IF(AS72-TODAY()&lt;=14,"Due Soon","Current"))))</f>
        <v/>
      </c>
      <c r="AU72" s="36"/>
    </row>
    <row r="73" customFormat="false" ht="15" hidden="false" customHeight="false" outlineLevel="0" collapsed="false">
      <c r="A73" s="36"/>
      <c r="B73" s="36"/>
      <c r="C73" s="36"/>
      <c r="D73" s="37"/>
      <c r="E73" s="37"/>
      <c r="F73" s="37"/>
      <c r="G73" s="38"/>
      <c r="H73" s="38"/>
      <c r="I73" s="36"/>
      <c r="J73" s="38"/>
      <c r="K73" s="37"/>
      <c r="L73" s="36"/>
      <c r="M73" s="37"/>
      <c r="N73" s="37"/>
      <c r="O73" s="37"/>
      <c r="P73" s="37"/>
      <c r="Q73" s="36"/>
      <c r="R73" s="39" t="str">
        <f aca="true">IF(H73="","",TODAY()-H73)</f>
        <v/>
      </c>
      <c r="S73" s="39" t="str">
        <f aca="true">IF(J73="","",J73-TODAY())</f>
        <v/>
      </c>
      <c r="T73" s="37"/>
      <c r="U73" s="37"/>
      <c r="V73" s="40" t="str">
        <f aca="false">IFERROR(INDEX('Azure Resource Map'!$D$2:$D$2001,MATCH($C73,'Azure Resource Map'!$A$2:$A$2001,0)),"")</f>
        <v/>
      </c>
      <c r="W73" s="39" t="str">
        <f aca="false">IFERROR(INDEX('Azure Resource Map'!$E$2:$E$2001,MATCH($C73,'Azure Resource Map'!$A$2:$A$2001,0)),"")</f>
        <v/>
      </c>
      <c r="X73" s="39" t="str">
        <f aca="false">IFERROR(INDEX('Azure Resource Map'!$F$2:$F$2001,MATCH($C73,'Azure Resource Map'!$A$2:$A$2001,0)),"")</f>
        <v/>
      </c>
      <c r="Y73" s="39" t="str">
        <f aca="false">IF($C73="","",IF(ISNUMBER(MATCH($C73,'CA Exclusion Map'!$A$2:$A$2001,0)),"Yes","No"))</f>
        <v/>
      </c>
      <c r="Z73" s="39" t="str">
        <f aca="false">IFERROR(INDEX('CA Exclusion Map'!$D$2:$D$2001,MATCH($C73,'CA Exclusion Map'!$A$2:$A$2001,0)),"")</f>
        <v/>
      </c>
      <c r="AA73" s="40" t="str">
        <f aca="false">IFERROR(INDEX('CA Exclusion Map'!$E$2:$E$2001,MATCH($C73,'CA Exclusion Map'!$A$2:$A$2001,0)),"")</f>
        <v/>
      </c>
      <c r="AB73" s="40" t="str">
        <f aca="false">IFERROR(INDEX('CA Exclusion Map'!$F$2:$F$2001,MATCH($C73,'CA Exclusion Map'!$A$2:$A$2001,0)),"")</f>
        <v/>
      </c>
      <c r="AC73" s="36"/>
      <c r="AD73" s="37"/>
      <c r="AE73" s="38"/>
      <c r="AF73" s="38"/>
      <c r="AG73" s="39" t="str">
        <f aca="true">IF(Y73="","",IF(Y73&lt;&gt;"Yes","N/A",IF(AF73="","NO EXPIRY SET",IF(TODAY()&gt;AF73,"EXPIRED",IF(AF73-TODAY()&lt;=30,"Expiring Soon","Active")))))</f>
        <v/>
      </c>
      <c r="AH73" s="36"/>
      <c r="AI73" s="36"/>
      <c r="AJ73" s="37"/>
      <c r="AK73" s="36"/>
      <c r="AL73" s="37"/>
      <c r="AM73" s="37"/>
      <c r="AN73" s="37"/>
      <c r="AO73" s="37"/>
      <c r="AP73" s="38"/>
      <c r="AQ73" s="37"/>
      <c r="AR73" s="37"/>
      <c r="AS73" s="41" t="str">
        <f aca="false">IF(AP73="","",AP73+90)</f>
        <v/>
      </c>
      <c r="AT73" s="39" t="str">
        <f aca="true">IF(C73="","",IF(AP73="","NOT REVIEWED",IF(TODAY()&gt;AS73,"OVERDUE",IF(AS73-TODAY()&lt;=14,"Due Soon","Current"))))</f>
        <v/>
      </c>
      <c r="AU73" s="36"/>
    </row>
    <row r="74" customFormat="false" ht="15" hidden="false" customHeight="false" outlineLevel="0" collapsed="false">
      <c r="A74" s="36"/>
      <c r="B74" s="36"/>
      <c r="C74" s="36"/>
      <c r="D74" s="37"/>
      <c r="E74" s="37"/>
      <c r="F74" s="37"/>
      <c r="G74" s="38"/>
      <c r="H74" s="38"/>
      <c r="I74" s="36"/>
      <c r="J74" s="38"/>
      <c r="K74" s="37"/>
      <c r="L74" s="36"/>
      <c r="M74" s="37"/>
      <c r="N74" s="37"/>
      <c r="O74" s="37"/>
      <c r="P74" s="37"/>
      <c r="Q74" s="36"/>
      <c r="R74" s="39" t="str">
        <f aca="true">IF(H74="","",TODAY()-H74)</f>
        <v/>
      </c>
      <c r="S74" s="39" t="str">
        <f aca="true">IF(J74="","",J74-TODAY())</f>
        <v/>
      </c>
      <c r="T74" s="37"/>
      <c r="U74" s="37"/>
      <c r="V74" s="40" t="str">
        <f aca="false">IFERROR(INDEX('Azure Resource Map'!$D$2:$D$2001,MATCH($C74,'Azure Resource Map'!$A$2:$A$2001,0)),"")</f>
        <v/>
      </c>
      <c r="W74" s="39" t="str">
        <f aca="false">IFERROR(INDEX('Azure Resource Map'!$E$2:$E$2001,MATCH($C74,'Azure Resource Map'!$A$2:$A$2001,0)),"")</f>
        <v/>
      </c>
      <c r="X74" s="39" t="str">
        <f aca="false">IFERROR(INDEX('Azure Resource Map'!$F$2:$F$2001,MATCH($C74,'Azure Resource Map'!$A$2:$A$2001,0)),"")</f>
        <v/>
      </c>
      <c r="Y74" s="39" t="str">
        <f aca="false">IF($C74="","",IF(ISNUMBER(MATCH($C74,'CA Exclusion Map'!$A$2:$A$2001,0)),"Yes","No"))</f>
        <v/>
      </c>
      <c r="Z74" s="39" t="str">
        <f aca="false">IFERROR(INDEX('CA Exclusion Map'!$D$2:$D$2001,MATCH($C74,'CA Exclusion Map'!$A$2:$A$2001,0)),"")</f>
        <v/>
      </c>
      <c r="AA74" s="40" t="str">
        <f aca="false">IFERROR(INDEX('CA Exclusion Map'!$E$2:$E$2001,MATCH($C74,'CA Exclusion Map'!$A$2:$A$2001,0)),"")</f>
        <v/>
      </c>
      <c r="AB74" s="40" t="str">
        <f aca="false">IFERROR(INDEX('CA Exclusion Map'!$F$2:$F$2001,MATCH($C74,'CA Exclusion Map'!$A$2:$A$2001,0)),"")</f>
        <v/>
      </c>
      <c r="AC74" s="36"/>
      <c r="AD74" s="37"/>
      <c r="AE74" s="38"/>
      <c r="AF74" s="38"/>
      <c r="AG74" s="39" t="str">
        <f aca="true">IF(Y74="","",IF(Y74&lt;&gt;"Yes","N/A",IF(AF74="","NO EXPIRY SET",IF(TODAY()&gt;AF74,"EXPIRED",IF(AF74-TODAY()&lt;=30,"Expiring Soon","Active")))))</f>
        <v/>
      </c>
      <c r="AH74" s="36"/>
      <c r="AI74" s="36"/>
      <c r="AJ74" s="37"/>
      <c r="AK74" s="36"/>
      <c r="AL74" s="37"/>
      <c r="AM74" s="37"/>
      <c r="AN74" s="37"/>
      <c r="AO74" s="37"/>
      <c r="AP74" s="38"/>
      <c r="AQ74" s="37"/>
      <c r="AR74" s="37"/>
      <c r="AS74" s="41" t="str">
        <f aca="false">IF(AP74="","",AP74+90)</f>
        <v/>
      </c>
      <c r="AT74" s="39" t="str">
        <f aca="true">IF(C74="","",IF(AP74="","NOT REVIEWED",IF(TODAY()&gt;AS74,"OVERDUE",IF(AS74-TODAY()&lt;=14,"Due Soon","Current"))))</f>
        <v/>
      </c>
      <c r="AU74" s="36"/>
    </row>
    <row r="75" customFormat="false" ht="15" hidden="false" customHeight="false" outlineLevel="0" collapsed="false">
      <c r="A75" s="36"/>
      <c r="B75" s="36"/>
      <c r="C75" s="36"/>
      <c r="D75" s="37"/>
      <c r="E75" s="37"/>
      <c r="F75" s="37"/>
      <c r="G75" s="38"/>
      <c r="H75" s="38"/>
      <c r="I75" s="36"/>
      <c r="J75" s="38"/>
      <c r="K75" s="37"/>
      <c r="L75" s="36"/>
      <c r="M75" s="37"/>
      <c r="N75" s="37"/>
      <c r="O75" s="37"/>
      <c r="P75" s="37"/>
      <c r="Q75" s="36"/>
      <c r="R75" s="39" t="str">
        <f aca="true">IF(H75="","",TODAY()-H75)</f>
        <v/>
      </c>
      <c r="S75" s="39" t="str">
        <f aca="true">IF(J75="","",J75-TODAY())</f>
        <v/>
      </c>
      <c r="T75" s="37"/>
      <c r="U75" s="37"/>
      <c r="V75" s="40" t="str">
        <f aca="false">IFERROR(INDEX('Azure Resource Map'!$D$2:$D$2001,MATCH($C75,'Azure Resource Map'!$A$2:$A$2001,0)),"")</f>
        <v/>
      </c>
      <c r="W75" s="39" t="str">
        <f aca="false">IFERROR(INDEX('Azure Resource Map'!$E$2:$E$2001,MATCH($C75,'Azure Resource Map'!$A$2:$A$2001,0)),"")</f>
        <v/>
      </c>
      <c r="X75" s="39" t="str">
        <f aca="false">IFERROR(INDEX('Azure Resource Map'!$F$2:$F$2001,MATCH($C75,'Azure Resource Map'!$A$2:$A$2001,0)),"")</f>
        <v/>
      </c>
      <c r="Y75" s="39" t="str">
        <f aca="false">IF($C75="","",IF(ISNUMBER(MATCH($C75,'CA Exclusion Map'!$A$2:$A$2001,0)),"Yes","No"))</f>
        <v/>
      </c>
      <c r="Z75" s="39" t="str">
        <f aca="false">IFERROR(INDEX('CA Exclusion Map'!$D$2:$D$2001,MATCH($C75,'CA Exclusion Map'!$A$2:$A$2001,0)),"")</f>
        <v/>
      </c>
      <c r="AA75" s="40" t="str">
        <f aca="false">IFERROR(INDEX('CA Exclusion Map'!$E$2:$E$2001,MATCH($C75,'CA Exclusion Map'!$A$2:$A$2001,0)),"")</f>
        <v/>
      </c>
      <c r="AB75" s="40" t="str">
        <f aca="false">IFERROR(INDEX('CA Exclusion Map'!$F$2:$F$2001,MATCH($C75,'CA Exclusion Map'!$A$2:$A$2001,0)),"")</f>
        <v/>
      </c>
      <c r="AC75" s="36"/>
      <c r="AD75" s="37"/>
      <c r="AE75" s="38"/>
      <c r="AF75" s="38"/>
      <c r="AG75" s="39" t="str">
        <f aca="true">IF(Y75="","",IF(Y75&lt;&gt;"Yes","N/A",IF(AF75="","NO EXPIRY SET",IF(TODAY()&gt;AF75,"EXPIRED",IF(AF75-TODAY()&lt;=30,"Expiring Soon","Active")))))</f>
        <v/>
      </c>
      <c r="AH75" s="36"/>
      <c r="AI75" s="36"/>
      <c r="AJ75" s="37"/>
      <c r="AK75" s="36"/>
      <c r="AL75" s="37"/>
      <c r="AM75" s="37"/>
      <c r="AN75" s="37"/>
      <c r="AO75" s="37"/>
      <c r="AP75" s="38"/>
      <c r="AQ75" s="37"/>
      <c r="AR75" s="37"/>
      <c r="AS75" s="41" t="str">
        <f aca="false">IF(AP75="","",AP75+90)</f>
        <v/>
      </c>
      <c r="AT75" s="39" t="str">
        <f aca="true">IF(C75="","",IF(AP75="","NOT REVIEWED",IF(TODAY()&gt;AS75,"OVERDUE",IF(AS75-TODAY()&lt;=14,"Due Soon","Current"))))</f>
        <v/>
      </c>
      <c r="AU75" s="36"/>
    </row>
    <row r="76" customFormat="false" ht="15" hidden="false" customHeight="false" outlineLevel="0" collapsed="false">
      <c r="A76" s="36"/>
      <c r="B76" s="36"/>
      <c r="C76" s="36"/>
      <c r="D76" s="37"/>
      <c r="E76" s="37"/>
      <c r="F76" s="37"/>
      <c r="G76" s="38"/>
      <c r="H76" s="38"/>
      <c r="I76" s="36"/>
      <c r="J76" s="38"/>
      <c r="K76" s="37"/>
      <c r="L76" s="36"/>
      <c r="M76" s="37"/>
      <c r="N76" s="37"/>
      <c r="O76" s="37"/>
      <c r="P76" s="37"/>
      <c r="Q76" s="36"/>
      <c r="R76" s="39" t="str">
        <f aca="true">IF(H76="","",TODAY()-H76)</f>
        <v/>
      </c>
      <c r="S76" s="39" t="str">
        <f aca="true">IF(J76="","",J76-TODAY())</f>
        <v/>
      </c>
      <c r="T76" s="37"/>
      <c r="U76" s="37"/>
      <c r="V76" s="40" t="str">
        <f aca="false">IFERROR(INDEX('Azure Resource Map'!$D$2:$D$2001,MATCH($C76,'Azure Resource Map'!$A$2:$A$2001,0)),"")</f>
        <v/>
      </c>
      <c r="W76" s="39" t="str">
        <f aca="false">IFERROR(INDEX('Azure Resource Map'!$E$2:$E$2001,MATCH($C76,'Azure Resource Map'!$A$2:$A$2001,0)),"")</f>
        <v/>
      </c>
      <c r="X76" s="39" t="str">
        <f aca="false">IFERROR(INDEX('Azure Resource Map'!$F$2:$F$2001,MATCH($C76,'Azure Resource Map'!$A$2:$A$2001,0)),"")</f>
        <v/>
      </c>
      <c r="Y76" s="39" t="str">
        <f aca="false">IF($C76="","",IF(ISNUMBER(MATCH($C76,'CA Exclusion Map'!$A$2:$A$2001,0)),"Yes","No"))</f>
        <v/>
      </c>
      <c r="Z76" s="39" t="str">
        <f aca="false">IFERROR(INDEX('CA Exclusion Map'!$D$2:$D$2001,MATCH($C76,'CA Exclusion Map'!$A$2:$A$2001,0)),"")</f>
        <v/>
      </c>
      <c r="AA76" s="40" t="str">
        <f aca="false">IFERROR(INDEX('CA Exclusion Map'!$E$2:$E$2001,MATCH($C76,'CA Exclusion Map'!$A$2:$A$2001,0)),"")</f>
        <v/>
      </c>
      <c r="AB76" s="40" t="str">
        <f aca="false">IFERROR(INDEX('CA Exclusion Map'!$F$2:$F$2001,MATCH($C76,'CA Exclusion Map'!$A$2:$A$2001,0)),"")</f>
        <v/>
      </c>
      <c r="AC76" s="36"/>
      <c r="AD76" s="37"/>
      <c r="AE76" s="38"/>
      <c r="AF76" s="38"/>
      <c r="AG76" s="39" t="str">
        <f aca="true">IF(Y76="","",IF(Y76&lt;&gt;"Yes","N/A",IF(AF76="","NO EXPIRY SET",IF(TODAY()&gt;AF76,"EXPIRED",IF(AF76-TODAY()&lt;=30,"Expiring Soon","Active")))))</f>
        <v/>
      </c>
      <c r="AH76" s="36"/>
      <c r="AI76" s="36"/>
      <c r="AJ76" s="37"/>
      <c r="AK76" s="36"/>
      <c r="AL76" s="37"/>
      <c r="AM76" s="37"/>
      <c r="AN76" s="37"/>
      <c r="AO76" s="37"/>
      <c r="AP76" s="38"/>
      <c r="AQ76" s="37"/>
      <c r="AR76" s="37"/>
      <c r="AS76" s="41" t="str">
        <f aca="false">IF(AP76="","",AP76+90)</f>
        <v/>
      </c>
      <c r="AT76" s="39" t="str">
        <f aca="true">IF(C76="","",IF(AP76="","NOT REVIEWED",IF(TODAY()&gt;AS76,"OVERDUE",IF(AS76-TODAY()&lt;=14,"Due Soon","Current"))))</f>
        <v/>
      </c>
      <c r="AU76" s="36"/>
    </row>
    <row r="77" customFormat="false" ht="15" hidden="false" customHeight="false" outlineLevel="0" collapsed="false">
      <c r="A77" s="36"/>
      <c r="B77" s="36"/>
      <c r="C77" s="36"/>
      <c r="D77" s="37"/>
      <c r="E77" s="37"/>
      <c r="F77" s="37"/>
      <c r="G77" s="38"/>
      <c r="H77" s="38"/>
      <c r="I77" s="36"/>
      <c r="J77" s="38"/>
      <c r="K77" s="37"/>
      <c r="L77" s="36"/>
      <c r="M77" s="37"/>
      <c r="N77" s="37"/>
      <c r="O77" s="37"/>
      <c r="P77" s="37"/>
      <c r="Q77" s="36"/>
      <c r="R77" s="39" t="str">
        <f aca="true">IF(H77="","",TODAY()-H77)</f>
        <v/>
      </c>
      <c r="S77" s="39" t="str">
        <f aca="true">IF(J77="","",J77-TODAY())</f>
        <v/>
      </c>
      <c r="T77" s="37"/>
      <c r="U77" s="37"/>
      <c r="V77" s="40" t="str">
        <f aca="false">IFERROR(INDEX('Azure Resource Map'!$D$2:$D$2001,MATCH($C77,'Azure Resource Map'!$A$2:$A$2001,0)),"")</f>
        <v/>
      </c>
      <c r="W77" s="39" t="str">
        <f aca="false">IFERROR(INDEX('Azure Resource Map'!$E$2:$E$2001,MATCH($C77,'Azure Resource Map'!$A$2:$A$2001,0)),"")</f>
        <v/>
      </c>
      <c r="X77" s="39" t="str">
        <f aca="false">IFERROR(INDEX('Azure Resource Map'!$F$2:$F$2001,MATCH($C77,'Azure Resource Map'!$A$2:$A$2001,0)),"")</f>
        <v/>
      </c>
      <c r="Y77" s="39" t="str">
        <f aca="false">IF($C77="","",IF(ISNUMBER(MATCH($C77,'CA Exclusion Map'!$A$2:$A$2001,0)),"Yes","No"))</f>
        <v/>
      </c>
      <c r="Z77" s="39" t="str">
        <f aca="false">IFERROR(INDEX('CA Exclusion Map'!$D$2:$D$2001,MATCH($C77,'CA Exclusion Map'!$A$2:$A$2001,0)),"")</f>
        <v/>
      </c>
      <c r="AA77" s="40" t="str">
        <f aca="false">IFERROR(INDEX('CA Exclusion Map'!$E$2:$E$2001,MATCH($C77,'CA Exclusion Map'!$A$2:$A$2001,0)),"")</f>
        <v/>
      </c>
      <c r="AB77" s="40" t="str">
        <f aca="false">IFERROR(INDEX('CA Exclusion Map'!$F$2:$F$2001,MATCH($C77,'CA Exclusion Map'!$A$2:$A$2001,0)),"")</f>
        <v/>
      </c>
      <c r="AC77" s="36"/>
      <c r="AD77" s="37"/>
      <c r="AE77" s="38"/>
      <c r="AF77" s="38"/>
      <c r="AG77" s="39" t="str">
        <f aca="true">IF(Y77="","",IF(Y77&lt;&gt;"Yes","N/A",IF(AF77="","NO EXPIRY SET",IF(TODAY()&gt;AF77,"EXPIRED",IF(AF77-TODAY()&lt;=30,"Expiring Soon","Active")))))</f>
        <v/>
      </c>
      <c r="AH77" s="36"/>
      <c r="AI77" s="36"/>
      <c r="AJ77" s="37"/>
      <c r="AK77" s="36"/>
      <c r="AL77" s="37"/>
      <c r="AM77" s="37"/>
      <c r="AN77" s="37"/>
      <c r="AO77" s="37"/>
      <c r="AP77" s="38"/>
      <c r="AQ77" s="37"/>
      <c r="AR77" s="37"/>
      <c r="AS77" s="41" t="str">
        <f aca="false">IF(AP77="","",AP77+90)</f>
        <v/>
      </c>
      <c r="AT77" s="39" t="str">
        <f aca="true">IF(C77="","",IF(AP77="","NOT REVIEWED",IF(TODAY()&gt;AS77,"OVERDUE",IF(AS77-TODAY()&lt;=14,"Due Soon","Current"))))</f>
        <v/>
      </c>
      <c r="AU77" s="36"/>
    </row>
    <row r="78" customFormat="false" ht="15" hidden="false" customHeight="false" outlineLevel="0" collapsed="false">
      <c r="A78" s="36"/>
      <c r="B78" s="36"/>
      <c r="C78" s="36"/>
      <c r="D78" s="37"/>
      <c r="E78" s="37"/>
      <c r="F78" s="37"/>
      <c r="G78" s="38"/>
      <c r="H78" s="38"/>
      <c r="I78" s="36"/>
      <c r="J78" s="38"/>
      <c r="K78" s="37"/>
      <c r="L78" s="36"/>
      <c r="M78" s="37"/>
      <c r="N78" s="37"/>
      <c r="O78" s="37"/>
      <c r="P78" s="37"/>
      <c r="Q78" s="36"/>
      <c r="R78" s="39" t="str">
        <f aca="true">IF(H78="","",TODAY()-H78)</f>
        <v/>
      </c>
      <c r="S78" s="39" t="str">
        <f aca="true">IF(J78="","",J78-TODAY())</f>
        <v/>
      </c>
      <c r="T78" s="37"/>
      <c r="U78" s="37"/>
      <c r="V78" s="40" t="str">
        <f aca="false">IFERROR(INDEX('Azure Resource Map'!$D$2:$D$2001,MATCH($C78,'Azure Resource Map'!$A$2:$A$2001,0)),"")</f>
        <v/>
      </c>
      <c r="W78" s="39" t="str">
        <f aca="false">IFERROR(INDEX('Azure Resource Map'!$E$2:$E$2001,MATCH($C78,'Azure Resource Map'!$A$2:$A$2001,0)),"")</f>
        <v/>
      </c>
      <c r="X78" s="39" t="str">
        <f aca="false">IFERROR(INDEX('Azure Resource Map'!$F$2:$F$2001,MATCH($C78,'Azure Resource Map'!$A$2:$A$2001,0)),"")</f>
        <v/>
      </c>
      <c r="Y78" s="39" t="str">
        <f aca="false">IF($C78="","",IF(ISNUMBER(MATCH($C78,'CA Exclusion Map'!$A$2:$A$2001,0)),"Yes","No"))</f>
        <v/>
      </c>
      <c r="Z78" s="39" t="str">
        <f aca="false">IFERROR(INDEX('CA Exclusion Map'!$D$2:$D$2001,MATCH($C78,'CA Exclusion Map'!$A$2:$A$2001,0)),"")</f>
        <v/>
      </c>
      <c r="AA78" s="40" t="str">
        <f aca="false">IFERROR(INDEX('CA Exclusion Map'!$E$2:$E$2001,MATCH($C78,'CA Exclusion Map'!$A$2:$A$2001,0)),"")</f>
        <v/>
      </c>
      <c r="AB78" s="40" t="str">
        <f aca="false">IFERROR(INDEX('CA Exclusion Map'!$F$2:$F$2001,MATCH($C78,'CA Exclusion Map'!$A$2:$A$2001,0)),"")</f>
        <v/>
      </c>
      <c r="AC78" s="36"/>
      <c r="AD78" s="37"/>
      <c r="AE78" s="38"/>
      <c r="AF78" s="38"/>
      <c r="AG78" s="39" t="str">
        <f aca="true">IF(Y78="","",IF(Y78&lt;&gt;"Yes","N/A",IF(AF78="","NO EXPIRY SET",IF(TODAY()&gt;AF78,"EXPIRED",IF(AF78-TODAY()&lt;=30,"Expiring Soon","Active")))))</f>
        <v/>
      </c>
      <c r="AH78" s="36"/>
      <c r="AI78" s="36"/>
      <c r="AJ78" s="37"/>
      <c r="AK78" s="36"/>
      <c r="AL78" s="37"/>
      <c r="AM78" s="37"/>
      <c r="AN78" s="37"/>
      <c r="AO78" s="37"/>
      <c r="AP78" s="38"/>
      <c r="AQ78" s="37"/>
      <c r="AR78" s="37"/>
      <c r="AS78" s="41" t="str">
        <f aca="false">IF(AP78="","",AP78+90)</f>
        <v/>
      </c>
      <c r="AT78" s="39" t="str">
        <f aca="true">IF(C78="","",IF(AP78="","NOT REVIEWED",IF(TODAY()&gt;AS78,"OVERDUE",IF(AS78-TODAY()&lt;=14,"Due Soon","Current"))))</f>
        <v/>
      </c>
      <c r="AU78" s="36"/>
    </row>
    <row r="79" customFormat="false" ht="15" hidden="false" customHeight="false" outlineLevel="0" collapsed="false">
      <c r="A79" s="36"/>
      <c r="B79" s="36"/>
      <c r="C79" s="36"/>
      <c r="D79" s="37"/>
      <c r="E79" s="37"/>
      <c r="F79" s="37"/>
      <c r="G79" s="38"/>
      <c r="H79" s="38"/>
      <c r="I79" s="36"/>
      <c r="J79" s="38"/>
      <c r="K79" s="37"/>
      <c r="L79" s="36"/>
      <c r="M79" s="37"/>
      <c r="N79" s="37"/>
      <c r="O79" s="37"/>
      <c r="P79" s="37"/>
      <c r="Q79" s="36"/>
      <c r="R79" s="39" t="str">
        <f aca="true">IF(H79="","",TODAY()-H79)</f>
        <v/>
      </c>
      <c r="S79" s="39" t="str">
        <f aca="true">IF(J79="","",J79-TODAY())</f>
        <v/>
      </c>
      <c r="T79" s="37"/>
      <c r="U79" s="37"/>
      <c r="V79" s="40" t="str">
        <f aca="false">IFERROR(INDEX('Azure Resource Map'!$D$2:$D$2001,MATCH($C79,'Azure Resource Map'!$A$2:$A$2001,0)),"")</f>
        <v/>
      </c>
      <c r="W79" s="39" t="str">
        <f aca="false">IFERROR(INDEX('Azure Resource Map'!$E$2:$E$2001,MATCH($C79,'Azure Resource Map'!$A$2:$A$2001,0)),"")</f>
        <v/>
      </c>
      <c r="X79" s="39" t="str">
        <f aca="false">IFERROR(INDEX('Azure Resource Map'!$F$2:$F$2001,MATCH($C79,'Azure Resource Map'!$A$2:$A$2001,0)),"")</f>
        <v/>
      </c>
      <c r="Y79" s="39" t="str">
        <f aca="false">IF($C79="","",IF(ISNUMBER(MATCH($C79,'CA Exclusion Map'!$A$2:$A$2001,0)),"Yes","No"))</f>
        <v/>
      </c>
      <c r="Z79" s="39" t="str">
        <f aca="false">IFERROR(INDEX('CA Exclusion Map'!$D$2:$D$2001,MATCH($C79,'CA Exclusion Map'!$A$2:$A$2001,0)),"")</f>
        <v/>
      </c>
      <c r="AA79" s="40" t="str">
        <f aca="false">IFERROR(INDEX('CA Exclusion Map'!$E$2:$E$2001,MATCH($C79,'CA Exclusion Map'!$A$2:$A$2001,0)),"")</f>
        <v/>
      </c>
      <c r="AB79" s="40" t="str">
        <f aca="false">IFERROR(INDEX('CA Exclusion Map'!$F$2:$F$2001,MATCH($C79,'CA Exclusion Map'!$A$2:$A$2001,0)),"")</f>
        <v/>
      </c>
      <c r="AC79" s="36"/>
      <c r="AD79" s="37"/>
      <c r="AE79" s="38"/>
      <c r="AF79" s="38"/>
      <c r="AG79" s="39" t="str">
        <f aca="true">IF(Y79="","",IF(Y79&lt;&gt;"Yes","N/A",IF(AF79="","NO EXPIRY SET",IF(TODAY()&gt;AF79,"EXPIRED",IF(AF79-TODAY()&lt;=30,"Expiring Soon","Active")))))</f>
        <v/>
      </c>
      <c r="AH79" s="36"/>
      <c r="AI79" s="36"/>
      <c r="AJ79" s="37"/>
      <c r="AK79" s="36"/>
      <c r="AL79" s="37"/>
      <c r="AM79" s="37"/>
      <c r="AN79" s="37"/>
      <c r="AO79" s="37"/>
      <c r="AP79" s="38"/>
      <c r="AQ79" s="37"/>
      <c r="AR79" s="37"/>
      <c r="AS79" s="41" t="str">
        <f aca="false">IF(AP79="","",AP79+90)</f>
        <v/>
      </c>
      <c r="AT79" s="39" t="str">
        <f aca="true">IF(C79="","",IF(AP79="","NOT REVIEWED",IF(TODAY()&gt;AS79,"OVERDUE",IF(AS79-TODAY()&lt;=14,"Due Soon","Current"))))</f>
        <v/>
      </c>
      <c r="AU79" s="36"/>
    </row>
    <row r="80" customFormat="false" ht="15" hidden="false" customHeight="false" outlineLevel="0" collapsed="false">
      <c r="A80" s="36"/>
      <c r="B80" s="36"/>
      <c r="C80" s="36"/>
      <c r="D80" s="37"/>
      <c r="E80" s="37"/>
      <c r="F80" s="37"/>
      <c r="G80" s="38"/>
      <c r="H80" s="38"/>
      <c r="I80" s="36"/>
      <c r="J80" s="38"/>
      <c r="K80" s="37"/>
      <c r="L80" s="36"/>
      <c r="M80" s="37"/>
      <c r="N80" s="37"/>
      <c r="O80" s="37"/>
      <c r="P80" s="37"/>
      <c r="Q80" s="36"/>
      <c r="R80" s="39" t="str">
        <f aca="true">IF(H80="","",TODAY()-H80)</f>
        <v/>
      </c>
      <c r="S80" s="39" t="str">
        <f aca="true">IF(J80="","",J80-TODAY())</f>
        <v/>
      </c>
      <c r="T80" s="37"/>
      <c r="U80" s="37"/>
      <c r="V80" s="40" t="str">
        <f aca="false">IFERROR(INDEX('Azure Resource Map'!$D$2:$D$2001,MATCH($C80,'Azure Resource Map'!$A$2:$A$2001,0)),"")</f>
        <v/>
      </c>
      <c r="W80" s="39" t="str">
        <f aca="false">IFERROR(INDEX('Azure Resource Map'!$E$2:$E$2001,MATCH($C80,'Azure Resource Map'!$A$2:$A$2001,0)),"")</f>
        <v/>
      </c>
      <c r="X80" s="39" t="str">
        <f aca="false">IFERROR(INDEX('Azure Resource Map'!$F$2:$F$2001,MATCH($C80,'Azure Resource Map'!$A$2:$A$2001,0)),"")</f>
        <v/>
      </c>
      <c r="Y80" s="39" t="str">
        <f aca="false">IF($C80="","",IF(ISNUMBER(MATCH($C80,'CA Exclusion Map'!$A$2:$A$2001,0)),"Yes","No"))</f>
        <v/>
      </c>
      <c r="Z80" s="39" t="str">
        <f aca="false">IFERROR(INDEX('CA Exclusion Map'!$D$2:$D$2001,MATCH($C80,'CA Exclusion Map'!$A$2:$A$2001,0)),"")</f>
        <v/>
      </c>
      <c r="AA80" s="40" t="str">
        <f aca="false">IFERROR(INDEX('CA Exclusion Map'!$E$2:$E$2001,MATCH($C80,'CA Exclusion Map'!$A$2:$A$2001,0)),"")</f>
        <v/>
      </c>
      <c r="AB80" s="40" t="str">
        <f aca="false">IFERROR(INDEX('CA Exclusion Map'!$F$2:$F$2001,MATCH($C80,'CA Exclusion Map'!$A$2:$A$2001,0)),"")</f>
        <v/>
      </c>
      <c r="AC80" s="36"/>
      <c r="AD80" s="37"/>
      <c r="AE80" s="38"/>
      <c r="AF80" s="38"/>
      <c r="AG80" s="39" t="str">
        <f aca="true">IF(Y80="","",IF(Y80&lt;&gt;"Yes","N/A",IF(AF80="","NO EXPIRY SET",IF(TODAY()&gt;AF80,"EXPIRED",IF(AF80-TODAY()&lt;=30,"Expiring Soon","Active")))))</f>
        <v/>
      </c>
      <c r="AH80" s="36"/>
      <c r="AI80" s="36"/>
      <c r="AJ80" s="37"/>
      <c r="AK80" s="36"/>
      <c r="AL80" s="37"/>
      <c r="AM80" s="37"/>
      <c r="AN80" s="37"/>
      <c r="AO80" s="37"/>
      <c r="AP80" s="38"/>
      <c r="AQ80" s="37"/>
      <c r="AR80" s="37"/>
      <c r="AS80" s="41" t="str">
        <f aca="false">IF(AP80="","",AP80+90)</f>
        <v/>
      </c>
      <c r="AT80" s="39" t="str">
        <f aca="true">IF(C80="","",IF(AP80="","NOT REVIEWED",IF(TODAY()&gt;AS80,"OVERDUE",IF(AS80-TODAY()&lt;=14,"Due Soon","Current"))))</f>
        <v/>
      </c>
      <c r="AU80" s="36"/>
    </row>
    <row r="81" customFormat="false" ht="15" hidden="false" customHeight="false" outlineLevel="0" collapsed="false">
      <c r="A81" s="36"/>
      <c r="B81" s="36"/>
      <c r="C81" s="36"/>
      <c r="D81" s="37"/>
      <c r="E81" s="37"/>
      <c r="F81" s="37"/>
      <c r="G81" s="38"/>
      <c r="H81" s="38"/>
      <c r="I81" s="36"/>
      <c r="J81" s="38"/>
      <c r="K81" s="37"/>
      <c r="L81" s="36"/>
      <c r="M81" s="37"/>
      <c r="N81" s="37"/>
      <c r="O81" s="37"/>
      <c r="P81" s="37"/>
      <c r="Q81" s="36"/>
      <c r="R81" s="39" t="str">
        <f aca="true">IF(H81="","",TODAY()-H81)</f>
        <v/>
      </c>
      <c r="S81" s="39" t="str">
        <f aca="true">IF(J81="","",J81-TODAY())</f>
        <v/>
      </c>
      <c r="T81" s="37"/>
      <c r="U81" s="37"/>
      <c r="V81" s="40" t="str">
        <f aca="false">IFERROR(INDEX('Azure Resource Map'!$D$2:$D$2001,MATCH($C81,'Azure Resource Map'!$A$2:$A$2001,0)),"")</f>
        <v/>
      </c>
      <c r="W81" s="39" t="str">
        <f aca="false">IFERROR(INDEX('Azure Resource Map'!$E$2:$E$2001,MATCH($C81,'Azure Resource Map'!$A$2:$A$2001,0)),"")</f>
        <v/>
      </c>
      <c r="X81" s="39" t="str">
        <f aca="false">IFERROR(INDEX('Azure Resource Map'!$F$2:$F$2001,MATCH($C81,'Azure Resource Map'!$A$2:$A$2001,0)),"")</f>
        <v/>
      </c>
      <c r="Y81" s="39" t="str">
        <f aca="false">IF($C81="","",IF(ISNUMBER(MATCH($C81,'CA Exclusion Map'!$A$2:$A$2001,0)),"Yes","No"))</f>
        <v/>
      </c>
      <c r="Z81" s="39" t="str">
        <f aca="false">IFERROR(INDEX('CA Exclusion Map'!$D$2:$D$2001,MATCH($C81,'CA Exclusion Map'!$A$2:$A$2001,0)),"")</f>
        <v/>
      </c>
      <c r="AA81" s="40" t="str">
        <f aca="false">IFERROR(INDEX('CA Exclusion Map'!$E$2:$E$2001,MATCH($C81,'CA Exclusion Map'!$A$2:$A$2001,0)),"")</f>
        <v/>
      </c>
      <c r="AB81" s="40" t="str">
        <f aca="false">IFERROR(INDEX('CA Exclusion Map'!$F$2:$F$2001,MATCH($C81,'CA Exclusion Map'!$A$2:$A$2001,0)),"")</f>
        <v/>
      </c>
      <c r="AC81" s="36"/>
      <c r="AD81" s="37"/>
      <c r="AE81" s="38"/>
      <c r="AF81" s="38"/>
      <c r="AG81" s="39" t="str">
        <f aca="true">IF(Y81="","",IF(Y81&lt;&gt;"Yes","N/A",IF(AF81="","NO EXPIRY SET",IF(TODAY()&gt;AF81,"EXPIRED",IF(AF81-TODAY()&lt;=30,"Expiring Soon","Active")))))</f>
        <v/>
      </c>
      <c r="AH81" s="36"/>
      <c r="AI81" s="36"/>
      <c r="AJ81" s="37"/>
      <c r="AK81" s="36"/>
      <c r="AL81" s="37"/>
      <c r="AM81" s="37"/>
      <c r="AN81" s="37"/>
      <c r="AO81" s="37"/>
      <c r="AP81" s="38"/>
      <c r="AQ81" s="37"/>
      <c r="AR81" s="37"/>
      <c r="AS81" s="41" t="str">
        <f aca="false">IF(AP81="","",AP81+90)</f>
        <v/>
      </c>
      <c r="AT81" s="39" t="str">
        <f aca="true">IF(C81="","",IF(AP81="","NOT REVIEWED",IF(TODAY()&gt;AS81,"OVERDUE",IF(AS81-TODAY()&lt;=14,"Due Soon","Current"))))</f>
        <v/>
      </c>
      <c r="AU81" s="36"/>
    </row>
    <row r="82" customFormat="false" ht="15" hidden="false" customHeight="false" outlineLevel="0" collapsed="false">
      <c r="A82" s="36"/>
      <c r="B82" s="36"/>
      <c r="C82" s="36"/>
      <c r="D82" s="37"/>
      <c r="E82" s="37"/>
      <c r="F82" s="37"/>
      <c r="G82" s="38"/>
      <c r="H82" s="38"/>
      <c r="I82" s="36"/>
      <c r="J82" s="38"/>
      <c r="K82" s="37"/>
      <c r="L82" s="36"/>
      <c r="M82" s="37"/>
      <c r="N82" s="37"/>
      <c r="O82" s="37"/>
      <c r="P82" s="37"/>
      <c r="Q82" s="36"/>
      <c r="R82" s="39" t="str">
        <f aca="true">IF(H82="","",TODAY()-H82)</f>
        <v/>
      </c>
      <c r="S82" s="39" t="str">
        <f aca="true">IF(J82="","",J82-TODAY())</f>
        <v/>
      </c>
      <c r="T82" s="37"/>
      <c r="U82" s="37"/>
      <c r="V82" s="40" t="str">
        <f aca="false">IFERROR(INDEX('Azure Resource Map'!$D$2:$D$2001,MATCH($C82,'Azure Resource Map'!$A$2:$A$2001,0)),"")</f>
        <v/>
      </c>
      <c r="W82" s="39" t="str">
        <f aca="false">IFERROR(INDEX('Azure Resource Map'!$E$2:$E$2001,MATCH($C82,'Azure Resource Map'!$A$2:$A$2001,0)),"")</f>
        <v/>
      </c>
      <c r="X82" s="39" t="str">
        <f aca="false">IFERROR(INDEX('Azure Resource Map'!$F$2:$F$2001,MATCH($C82,'Azure Resource Map'!$A$2:$A$2001,0)),"")</f>
        <v/>
      </c>
      <c r="Y82" s="39" t="str">
        <f aca="false">IF($C82="","",IF(ISNUMBER(MATCH($C82,'CA Exclusion Map'!$A$2:$A$2001,0)),"Yes","No"))</f>
        <v/>
      </c>
      <c r="Z82" s="39" t="str">
        <f aca="false">IFERROR(INDEX('CA Exclusion Map'!$D$2:$D$2001,MATCH($C82,'CA Exclusion Map'!$A$2:$A$2001,0)),"")</f>
        <v/>
      </c>
      <c r="AA82" s="40" t="str">
        <f aca="false">IFERROR(INDEX('CA Exclusion Map'!$E$2:$E$2001,MATCH($C82,'CA Exclusion Map'!$A$2:$A$2001,0)),"")</f>
        <v/>
      </c>
      <c r="AB82" s="40" t="str">
        <f aca="false">IFERROR(INDEX('CA Exclusion Map'!$F$2:$F$2001,MATCH($C82,'CA Exclusion Map'!$A$2:$A$2001,0)),"")</f>
        <v/>
      </c>
      <c r="AC82" s="36"/>
      <c r="AD82" s="37"/>
      <c r="AE82" s="38"/>
      <c r="AF82" s="38"/>
      <c r="AG82" s="39" t="str">
        <f aca="true">IF(Y82="","",IF(Y82&lt;&gt;"Yes","N/A",IF(AF82="","NO EXPIRY SET",IF(TODAY()&gt;AF82,"EXPIRED",IF(AF82-TODAY()&lt;=30,"Expiring Soon","Active")))))</f>
        <v/>
      </c>
      <c r="AH82" s="36"/>
      <c r="AI82" s="36"/>
      <c r="AJ82" s="37"/>
      <c r="AK82" s="36"/>
      <c r="AL82" s="37"/>
      <c r="AM82" s="37"/>
      <c r="AN82" s="37"/>
      <c r="AO82" s="37"/>
      <c r="AP82" s="38"/>
      <c r="AQ82" s="37"/>
      <c r="AR82" s="37"/>
      <c r="AS82" s="41" t="str">
        <f aca="false">IF(AP82="","",AP82+90)</f>
        <v/>
      </c>
      <c r="AT82" s="39" t="str">
        <f aca="true">IF(C82="","",IF(AP82="","NOT REVIEWED",IF(TODAY()&gt;AS82,"OVERDUE",IF(AS82-TODAY()&lt;=14,"Due Soon","Current"))))</f>
        <v/>
      </c>
      <c r="AU82" s="36"/>
    </row>
    <row r="83" customFormat="false" ht="15" hidden="false" customHeight="false" outlineLevel="0" collapsed="false">
      <c r="A83" s="36"/>
      <c r="B83" s="36"/>
      <c r="C83" s="36"/>
      <c r="D83" s="37"/>
      <c r="E83" s="37"/>
      <c r="F83" s="37"/>
      <c r="G83" s="38"/>
      <c r="H83" s="38"/>
      <c r="I83" s="36"/>
      <c r="J83" s="38"/>
      <c r="K83" s="37"/>
      <c r="L83" s="36"/>
      <c r="M83" s="37"/>
      <c r="N83" s="37"/>
      <c r="O83" s="37"/>
      <c r="P83" s="37"/>
      <c r="Q83" s="36"/>
      <c r="R83" s="39" t="str">
        <f aca="true">IF(H83="","",TODAY()-H83)</f>
        <v/>
      </c>
      <c r="S83" s="39" t="str">
        <f aca="true">IF(J83="","",J83-TODAY())</f>
        <v/>
      </c>
      <c r="T83" s="37"/>
      <c r="U83" s="37"/>
      <c r="V83" s="40" t="str">
        <f aca="false">IFERROR(INDEX('Azure Resource Map'!$D$2:$D$2001,MATCH($C83,'Azure Resource Map'!$A$2:$A$2001,0)),"")</f>
        <v/>
      </c>
      <c r="W83" s="39" t="str">
        <f aca="false">IFERROR(INDEX('Azure Resource Map'!$E$2:$E$2001,MATCH($C83,'Azure Resource Map'!$A$2:$A$2001,0)),"")</f>
        <v/>
      </c>
      <c r="X83" s="39" t="str">
        <f aca="false">IFERROR(INDEX('Azure Resource Map'!$F$2:$F$2001,MATCH($C83,'Azure Resource Map'!$A$2:$A$2001,0)),"")</f>
        <v/>
      </c>
      <c r="Y83" s="39" t="str">
        <f aca="false">IF($C83="","",IF(ISNUMBER(MATCH($C83,'CA Exclusion Map'!$A$2:$A$2001,0)),"Yes","No"))</f>
        <v/>
      </c>
      <c r="Z83" s="39" t="str">
        <f aca="false">IFERROR(INDEX('CA Exclusion Map'!$D$2:$D$2001,MATCH($C83,'CA Exclusion Map'!$A$2:$A$2001,0)),"")</f>
        <v/>
      </c>
      <c r="AA83" s="40" t="str">
        <f aca="false">IFERROR(INDEX('CA Exclusion Map'!$E$2:$E$2001,MATCH($C83,'CA Exclusion Map'!$A$2:$A$2001,0)),"")</f>
        <v/>
      </c>
      <c r="AB83" s="40" t="str">
        <f aca="false">IFERROR(INDEX('CA Exclusion Map'!$F$2:$F$2001,MATCH($C83,'CA Exclusion Map'!$A$2:$A$2001,0)),"")</f>
        <v/>
      </c>
      <c r="AC83" s="36"/>
      <c r="AD83" s="37"/>
      <c r="AE83" s="38"/>
      <c r="AF83" s="38"/>
      <c r="AG83" s="39" t="str">
        <f aca="true">IF(Y83="","",IF(Y83&lt;&gt;"Yes","N/A",IF(AF83="","NO EXPIRY SET",IF(TODAY()&gt;AF83,"EXPIRED",IF(AF83-TODAY()&lt;=30,"Expiring Soon","Active")))))</f>
        <v/>
      </c>
      <c r="AH83" s="36"/>
      <c r="AI83" s="36"/>
      <c r="AJ83" s="37"/>
      <c r="AK83" s="36"/>
      <c r="AL83" s="37"/>
      <c r="AM83" s="37"/>
      <c r="AN83" s="37"/>
      <c r="AO83" s="37"/>
      <c r="AP83" s="38"/>
      <c r="AQ83" s="37"/>
      <c r="AR83" s="37"/>
      <c r="AS83" s="41" t="str">
        <f aca="false">IF(AP83="","",AP83+90)</f>
        <v/>
      </c>
      <c r="AT83" s="39" t="str">
        <f aca="true">IF(C83="","",IF(AP83="","NOT REVIEWED",IF(TODAY()&gt;AS83,"OVERDUE",IF(AS83-TODAY()&lt;=14,"Due Soon","Current"))))</f>
        <v/>
      </c>
      <c r="AU83" s="36"/>
    </row>
    <row r="84" customFormat="false" ht="15" hidden="false" customHeight="false" outlineLevel="0" collapsed="false">
      <c r="A84" s="36"/>
      <c r="B84" s="36"/>
      <c r="C84" s="36"/>
      <c r="D84" s="37"/>
      <c r="E84" s="37"/>
      <c r="F84" s="37"/>
      <c r="G84" s="38"/>
      <c r="H84" s="38"/>
      <c r="I84" s="36"/>
      <c r="J84" s="38"/>
      <c r="K84" s="37"/>
      <c r="L84" s="36"/>
      <c r="M84" s="37"/>
      <c r="N84" s="37"/>
      <c r="O84" s="37"/>
      <c r="P84" s="37"/>
      <c r="Q84" s="36"/>
      <c r="R84" s="39" t="str">
        <f aca="true">IF(H84="","",TODAY()-H84)</f>
        <v/>
      </c>
      <c r="S84" s="39" t="str">
        <f aca="true">IF(J84="","",J84-TODAY())</f>
        <v/>
      </c>
      <c r="T84" s="37"/>
      <c r="U84" s="37"/>
      <c r="V84" s="40" t="str">
        <f aca="false">IFERROR(INDEX('Azure Resource Map'!$D$2:$D$2001,MATCH($C84,'Azure Resource Map'!$A$2:$A$2001,0)),"")</f>
        <v/>
      </c>
      <c r="W84" s="39" t="str">
        <f aca="false">IFERROR(INDEX('Azure Resource Map'!$E$2:$E$2001,MATCH($C84,'Azure Resource Map'!$A$2:$A$2001,0)),"")</f>
        <v/>
      </c>
      <c r="X84" s="39" t="str">
        <f aca="false">IFERROR(INDEX('Azure Resource Map'!$F$2:$F$2001,MATCH($C84,'Azure Resource Map'!$A$2:$A$2001,0)),"")</f>
        <v/>
      </c>
      <c r="Y84" s="39" t="str">
        <f aca="false">IF($C84="","",IF(ISNUMBER(MATCH($C84,'CA Exclusion Map'!$A$2:$A$2001,0)),"Yes","No"))</f>
        <v/>
      </c>
      <c r="Z84" s="39" t="str">
        <f aca="false">IFERROR(INDEX('CA Exclusion Map'!$D$2:$D$2001,MATCH($C84,'CA Exclusion Map'!$A$2:$A$2001,0)),"")</f>
        <v/>
      </c>
      <c r="AA84" s="40" t="str">
        <f aca="false">IFERROR(INDEX('CA Exclusion Map'!$E$2:$E$2001,MATCH($C84,'CA Exclusion Map'!$A$2:$A$2001,0)),"")</f>
        <v/>
      </c>
      <c r="AB84" s="40" t="str">
        <f aca="false">IFERROR(INDEX('CA Exclusion Map'!$F$2:$F$2001,MATCH($C84,'CA Exclusion Map'!$A$2:$A$2001,0)),"")</f>
        <v/>
      </c>
      <c r="AC84" s="36"/>
      <c r="AD84" s="37"/>
      <c r="AE84" s="38"/>
      <c r="AF84" s="38"/>
      <c r="AG84" s="39" t="str">
        <f aca="true">IF(Y84="","",IF(Y84&lt;&gt;"Yes","N/A",IF(AF84="","NO EXPIRY SET",IF(TODAY()&gt;AF84,"EXPIRED",IF(AF84-TODAY()&lt;=30,"Expiring Soon","Active")))))</f>
        <v/>
      </c>
      <c r="AH84" s="36"/>
      <c r="AI84" s="36"/>
      <c r="AJ84" s="37"/>
      <c r="AK84" s="36"/>
      <c r="AL84" s="37"/>
      <c r="AM84" s="37"/>
      <c r="AN84" s="37"/>
      <c r="AO84" s="37"/>
      <c r="AP84" s="38"/>
      <c r="AQ84" s="37"/>
      <c r="AR84" s="37"/>
      <c r="AS84" s="41" t="str">
        <f aca="false">IF(AP84="","",AP84+90)</f>
        <v/>
      </c>
      <c r="AT84" s="39" t="str">
        <f aca="true">IF(C84="","",IF(AP84="","NOT REVIEWED",IF(TODAY()&gt;AS84,"OVERDUE",IF(AS84-TODAY()&lt;=14,"Due Soon","Current"))))</f>
        <v/>
      </c>
      <c r="AU84" s="36"/>
    </row>
    <row r="85" customFormat="false" ht="15" hidden="false" customHeight="false" outlineLevel="0" collapsed="false">
      <c r="A85" s="36"/>
      <c r="B85" s="36"/>
      <c r="C85" s="36"/>
      <c r="D85" s="37"/>
      <c r="E85" s="37"/>
      <c r="F85" s="37"/>
      <c r="G85" s="38"/>
      <c r="H85" s="38"/>
      <c r="I85" s="36"/>
      <c r="J85" s="38"/>
      <c r="K85" s="37"/>
      <c r="L85" s="36"/>
      <c r="M85" s="37"/>
      <c r="N85" s="37"/>
      <c r="O85" s="37"/>
      <c r="P85" s="37"/>
      <c r="Q85" s="36"/>
      <c r="R85" s="39" t="str">
        <f aca="true">IF(H85="","",TODAY()-H85)</f>
        <v/>
      </c>
      <c r="S85" s="39" t="str">
        <f aca="true">IF(J85="","",J85-TODAY())</f>
        <v/>
      </c>
      <c r="T85" s="37"/>
      <c r="U85" s="37"/>
      <c r="V85" s="40" t="str">
        <f aca="false">IFERROR(INDEX('Azure Resource Map'!$D$2:$D$2001,MATCH($C85,'Azure Resource Map'!$A$2:$A$2001,0)),"")</f>
        <v/>
      </c>
      <c r="W85" s="39" t="str">
        <f aca="false">IFERROR(INDEX('Azure Resource Map'!$E$2:$E$2001,MATCH($C85,'Azure Resource Map'!$A$2:$A$2001,0)),"")</f>
        <v/>
      </c>
      <c r="X85" s="39" t="str">
        <f aca="false">IFERROR(INDEX('Azure Resource Map'!$F$2:$F$2001,MATCH($C85,'Azure Resource Map'!$A$2:$A$2001,0)),"")</f>
        <v/>
      </c>
      <c r="Y85" s="39" t="str">
        <f aca="false">IF($C85="","",IF(ISNUMBER(MATCH($C85,'CA Exclusion Map'!$A$2:$A$2001,0)),"Yes","No"))</f>
        <v/>
      </c>
      <c r="Z85" s="39" t="str">
        <f aca="false">IFERROR(INDEX('CA Exclusion Map'!$D$2:$D$2001,MATCH($C85,'CA Exclusion Map'!$A$2:$A$2001,0)),"")</f>
        <v/>
      </c>
      <c r="AA85" s="40" t="str">
        <f aca="false">IFERROR(INDEX('CA Exclusion Map'!$E$2:$E$2001,MATCH($C85,'CA Exclusion Map'!$A$2:$A$2001,0)),"")</f>
        <v/>
      </c>
      <c r="AB85" s="40" t="str">
        <f aca="false">IFERROR(INDEX('CA Exclusion Map'!$F$2:$F$2001,MATCH($C85,'CA Exclusion Map'!$A$2:$A$2001,0)),"")</f>
        <v/>
      </c>
      <c r="AC85" s="36"/>
      <c r="AD85" s="37"/>
      <c r="AE85" s="38"/>
      <c r="AF85" s="38"/>
      <c r="AG85" s="39" t="str">
        <f aca="true">IF(Y85="","",IF(Y85&lt;&gt;"Yes","N/A",IF(AF85="","NO EXPIRY SET",IF(TODAY()&gt;AF85,"EXPIRED",IF(AF85-TODAY()&lt;=30,"Expiring Soon","Active")))))</f>
        <v/>
      </c>
      <c r="AH85" s="36"/>
      <c r="AI85" s="36"/>
      <c r="AJ85" s="37"/>
      <c r="AK85" s="36"/>
      <c r="AL85" s="37"/>
      <c r="AM85" s="37"/>
      <c r="AN85" s="37"/>
      <c r="AO85" s="37"/>
      <c r="AP85" s="38"/>
      <c r="AQ85" s="37"/>
      <c r="AR85" s="37"/>
      <c r="AS85" s="41" t="str">
        <f aca="false">IF(AP85="","",AP85+90)</f>
        <v/>
      </c>
      <c r="AT85" s="39" t="str">
        <f aca="true">IF(C85="","",IF(AP85="","NOT REVIEWED",IF(TODAY()&gt;AS85,"OVERDUE",IF(AS85-TODAY()&lt;=14,"Due Soon","Current"))))</f>
        <v/>
      </c>
      <c r="AU85" s="36"/>
    </row>
    <row r="86" customFormat="false" ht="15" hidden="false" customHeight="false" outlineLevel="0" collapsed="false">
      <c r="A86" s="36"/>
      <c r="B86" s="36"/>
      <c r="C86" s="36"/>
      <c r="D86" s="37"/>
      <c r="E86" s="37"/>
      <c r="F86" s="37"/>
      <c r="G86" s="38"/>
      <c r="H86" s="38"/>
      <c r="I86" s="36"/>
      <c r="J86" s="38"/>
      <c r="K86" s="37"/>
      <c r="L86" s="36"/>
      <c r="M86" s="37"/>
      <c r="N86" s="37"/>
      <c r="O86" s="37"/>
      <c r="P86" s="37"/>
      <c r="Q86" s="36"/>
      <c r="R86" s="39" t="str">
        <f aca="true">IF(H86="","",TODAY()-H86)</f>
        <v/>
      </c>
      <c r="S86" s="39" t="str">
        <f aca="true">IF(J86="","",J86-TODAY())</f>
        <v/>
      </c>
      <c r="T86" s="37"/>
      <c r="U86" s="37"/>
      <c r="V86" s="40" t="str">
        <f aca="false">IFERROR(INDEX('Azure Resource Map'!$D$2:$D$2001,MATCH($C86,'Azure Resource Map'!$A$2:$A$2001,0)),"")</f>
        <v/>
      </c>
      <c r="W86" s="39" t="str">
        <f aca="false">IFERROR(INDEX('Azure Resource Map'!$E$2:$E$2001,MATCH($C86,'Azure Resource Map'!$A$2:$A$2001,0)),"")</f>
        <v/>
      </c>
      <c r="X86" s="39" t="str">
        <f aca="false">IFERROR(INDEX('Azure Resource Map'!$F$2:$F$2001,MATCH($C86,'Azure Resource Map'!$A$2:$A$2001,0)),"")</f>
        <v/>
      </c>
      <c r="Y86" s="39" t="str">
        <f aca="false">IF($C86="","",IF(ISNUMBER(MATCH($C86,'CA Exclusion Map'!$A$2:$A$2001,0)),"Yes","No"))</f>
        <v/>
      </c>
      <c r="Z86" s="39" t="str">
        <f aca="false">IFERROR(INDEX('CA Exclusion Map'!$D$2:$D$2001,MATCH($C86,'CA Exclusion Map'!$A$2:$A$2001,0)),"")</f>
        <v/>
      </c>
      <c r="AA86" s="40" t="str">
        <f aca="false">IFERROR(INDEX('CA Exclusion Map'!$E$2:$E$2001,MATCH($C86,'CA Exclusion Map'!$A$2:$A$2001,0)),"")</f>
        <v/>
      </c>
      <c r="AB86" s="40" t="str">
        <f aca="false">IFERROR(INDEX('CA Exclusion Map'!$F$2:$F$2001,MATCH($C86,'CA Exclusion Map'!$A$2:$A$2001,0)),"")</f>
        <v/>
      </c>
      <c r="AC86" s="36"/>
      <c r="AD86" s="37"/>
      <c r="AE86" s="38"/>
      <c r="AF86" s="38"/>
      <c r="AG86" s="39" t="str">
        <f aca="true">IF(Y86="","",IF(Y86&lt;&gt;"Yes","N/A",IF(AF86="","NO EXPIRY SET",IF(TODAY()&gt;AF86,"EXPIRED",IF(AF86-TODAY()&lt;=30,"Expiring Soon","Active")))))</f>
        <v/>
      </c>
      <c r="AH86" s="36"/>
      <c r="AI86" s="36"/>
      <c r="AJ86" s="37"/>
      <c r="AK86" s="36"/>
      <c r="AL86" s="37"/>
      <c r="AM86" s="37"/>
      <c r="AN86" s="37"/>
      <c r="AO86" s="37"/>
      <c r="AP86" s="38"/>
      <c r="AQ86" s="37"/>
      <c r="AR86" s="37"/>
      <c r="AS86" s="41" t="str">
        <f aca="false">IF(AP86="","",AP86+90)</f>
        <v/>
      </c>
      <c r="AT86" s="39" t="str">
        <f aca="true">IF(C86="","",IF(AP86="","NOT REVIEWED",IF(TODAY()&gt;AS86,"OVERDUE",IF(AS86-TODAY()&lt;=14,"Due Soon","Current"))))</f>
        <v/>
      </c>
      <c r="AU86" s="36"/>
    </row>
    <row r="87" customFormat="false" ht="15" hidden="false" customHeight="false" outlineLevel="0" collapsed="false">
      <c r="A87" s="36"/>
      <c r="B87" s="36"/>
      <c r="C87" s="36"/>
      <c r="D87" s="37"/>
      <c r="E87" s="37"/>
      <c r="F87" s="37"/>
      <c r="G87" s="38"/>
      <c r="H87" s="38"/>
      <c r="I87" s="36"/>
      <c r="J87" s="38"/>
      <c r="K87" s="37"/>
      <c r="L87" s="36"/>
      <c r="M87" s="37"/>
      <c r="N87" s="37"/>
      <c r="O87" s="37"/>
      <c r="P87" s="37"/>
      <c r="Q87" s="36"/>
      <c r="R87" s="39" t="str">
        <f aca="true">IF(H87="","",TODAY()-H87)</f>
        <v/>
      </c>
      <c r="S87" s="39" t="str">
        <f aca="true">IF(J87="","",J87-TODAY())</f>
        <v/>
      </c>
      <c r="T87" s="37"/>
      <c r="U87" s="37"/>
      <c r="V87" s="40" t="str">
        <f aca="false">IFERROR(INDEX('Azure Resource Map'!$D$2:$D$2001,MATCH($C87,'Azure Resource Map'!$A$2:$A$2001,0)),"")</f>
        <v/>
      </c>
      <c r="W87" s="39" t="str">
        <f aca="false">IFERROR(INDEX('Azure Resource Map'!$E$2:$E$2001,MATCH($C87,'Azure Resource Map'!$A$2:$A$2001,0)),"")</f>
        <v/>
      </c>
      <c r="X87" s="39" t="str">
        <f aca="false">IFERROR(INDEX('Azure Resource Map'!$F$2:$F$2001,MATCH($C87,'Azure Resource Map'!$A$2:$A$2001,0)),"")</f>
        <v/>
      </c>
      <c r="Y87" s="39" t="str">
        <f aca="false">IF($C87="","",IF(ISNUMBER(MATCH($C87,'CA Exclusion Map'!$A$2:$A$2001,0)),"Yes","No"))</f>
        <v/>
      </c>
      <c r="Z87" s="39" t="str">
        <f aca="false">IFERROR(INDEX('CA Exclusion Map'!$D$2:$D$2001,MATCH($C87,'CA Exclusion Map'!$A$2:$A$2001,0)),"")</f>
        <v/>
      </c>
      <c r="AA87" s="40" t="str">
        <f aca="false">IFERROR(INDEX('CA Exclusion Map'!$E$2:$E$2001,MATCH($C87,'CA Exclusion Map'!$A$2:$A$2001,0)),"")</f>
        <v/>
      </c>
      <c r="AB87" s="40" t="str">
        <f aca="false">IFERROR(INDEX('CA Exclusion Map'!$F$2:$F$2001,MATCH($C87,'CA Exclusion Map'!$A$2:$A$2001,0)),"")</f>
        <v/>
      </c>
      <c r="AC87" s="36"/>
      <c r="AD87" s="37"/>
      <c r="AE87" s="38"/>
      <c r="AF87" s="38"/>
      <c r="AG87" s="39" t="str">
        <f aca="true">IF(Y87="","",IF(Y87&lt;&gt;"Yes","N/A",IF(AF87="","NO EXPIRY SET",IF(TODAY()&gt;AF87,"EXPIRED",IF(AF87-TODAY()&lt;=30,"Expiring Soon","Active")))))</f>
        <v/>
      </c>
      <c r="AH87" s="36"/>
      <c r="AI87" s="36"/>
      <c r="AJ87" s="37"/>
      <c r="AK87" s="36"/>
      <c r="AL87" s="37"/>
      <c r="AM87" s="37"/>
      <c r="AN87" s="37"/>
      <c r="AO87" s="37"/>
      <c r="AP87" s="38"/>
      <c r="AQ87" s="37"/>
      <c r="AR87" s="37"/>
      <c r="AS87" s="41" t="str">
        <f aca="false">IF(AP87="","",AP87+90)</f>
        <v/>
      </c>
      <c r="AT87" s="39" t="str">
        <f aca="true">IF(C87="","",IF(AP87="","NOT REVIEWED",IF(TODAY()&gt;AS87,"OVERDUE",IF(AS87-TODAY()&lt;=14,"Due Soon","Current"))))</f>
        <v/>
      </c>
      <c r="AU87" s="36"/>
    </row>
    <row r="88" customFormat="false" ht="15" hidden="false" customHeight="false" outlineLevel="0" collapsed="false">
      <c r="A88" s="36"/>
      <c r="B88" s="36"/>
      <c r="C88" s="36"/>
      <c r="D88" s="37"/>
      <c r="E88" s="37"/>
      <c r="F88" s="37"/>
      <c r="G88" s="38"/>
      <c r="H88" s="38"/>
      <c r="I88" s="36"/>
      <c r="J88" s="38"/>
      <c r="K88" s="37"/>
      <c r="L88" s="36"/>
      <c r="M88" s="37"/>
      <c r="N88" s="37"/>
      <c r="O88" s="37"/>
      <c r="P88" s="37"/>
      <c r="Q88" s="36"/>
      <c r="R88" s="39" t="str">
        <f aca="true">IF(H88="","",TODAY()-H88)</f>
        <v/>
      </c>
      <c r="S88" s="39" t="str">
        <f aca="true">IF(J88="","",J88-TODAY())</f>
        <v/>
      </c>
      <c r="T88" s="37"/>
      <c r="U88" s="37"/>
      <c r="V88" s="40" t="str">
        <f aca="false">IFERROR(INDEX('Azure Resource Map'!$D$2:$D$2001,MATCH($C88,'Azure Resource Map'!$A$2:$A$2001,0)),"")</f>
        <v/>
      </c>
      <c r="W88" s="39" t="str">
        <f aca="false">IFERROR(INDEX('Azure Resource Map'!$E$2:$E$2001,MATCH($C88,'Azure Resource Map'!$A$2:$A$2001,0)),"")</f>
        <v/>
      </c>
      <c r="X88" s="39" t="str">
        <f aca="false">IFERROR(INDEX('Azure Resource Map'!$F$2:$F$2001,MATCH($C88,'Azure Resource Map'!$A$2:$A$2001,0)),"")</f>
        <v/>
      </c>
      <c r="Y88" s="39" t="str">
        <f aca="false">IF($C88="","",IF(ISNUMBER(MATCH($C88,'CA Exclusion Map'!$A$2:$A$2001,0)),"Yes","No"))</f>
        <v/>
      </c>
      <c r="Z88" s="39" t="str">
        <f aca="false">IFERROR(INDEX('CA Exclusion Map'!$D$2:$D$2001,MATCH($C88,'CA Exclusion Map'!$A$2:$A$2001,0)),"")</f>
        <v/>
      </c>
      <c r="AA88" s="40" t="str">
        <f aca="false">IFERROR(INDEX('CA Exclusion Map'!$E$2:$E$2001,MATCH($C88,'CA Exclusion Map'!$A$2:$A$2001,0)),"")</f>
        <v/>
      </c>
      <c r="AB88" s="40" t="str">
        <f aca="false">IFERROR(INDEX('CA Exclusion Map'!$F$2:$F$2001,MATCH($C88,'CA Exclusion Map'!$A$2:$A$2001,0)),"")</f>
        <v/>
      </c>
      <c r="AC88" s="36"/>
      <c r="AD88" s="37"/>
      <c r="AE88" s="38"/>
      <c r="AF88" s="38"/>
      <c r="AG88" s="39" t="str">
        <f aca="true">IF(Y88="","",IF(Y88&lt;&gt;"Yes","N/A",IF(AF88="","NO EXPIRY SET",IF(TODAY()&gt;AF88,"EXPIRED",IF(AF88-TODAY()&lt;=30,"Expiring Soon","Active")))))</f>
        <v/>
      </c>
      <c r="AH88" s="36"/>
      <c r="AI88" s="36"/>
      <c r="AJ88" s="37"/>
      <c r="AK88" s="36"/>
      <c r="AL88" s="37"/>
      <c r="AM88" s="37"/>
      <c r="AN88" s="37"/>
      <c r="AO88" s="37"/>
      <c r="AP88" s="38"/>
      <c r="AQ88" s="37"/>
      <c r="AR88" s="37"/>
      <c r="AS88" s="41" t="str">
        <f aca="false">IF(AP88="","",AP88+90)</f>
        <v/>
      </c>
      <c r="AT88" s="39" t="str">
        <f aca="true">IF(C88="","",IF(AP88="","NOT REVIEWED",IF(TODAY()&gt;AS88,"OVERDUE",IF(AS88-TODAY()&lt;=14,"Due Soon","Current"))))</f>
        <v/>
      </c>
      <c r="AU88" s="36"/>
    </row>
    <row r="89" customFormat="false" ht="15" hidden="false" customHeight="false" outlineLevel="0" collapsed="false">
      <c r="A89" s="36"/>
      <c r="B89" s="36"/>
      <c r="C89" s="36"/>
      <c r="D89" s="37"/>
      <c r="E89" s="37"/>
      <c r="F89" s="37"/>
      <c r="G89" s="38"/>
      <c r="H89" s="38"/>
      <c r="I89" s="36"/>
      <c r="J89" s="38"/>
      <c r="K89" s="37"/>
      <c r="L89" s="36"/>
      <c r="M89" s="37"/>
      <c r="N89" s="37"/>
      <c r="O89" s="37"/>
      <c r="P89" s="37"/>
      <c r="Q89" s="36"/>
      <c r="R89" s="39" t="str">
        <f aca="true">IF(H89="","",TODAY()-H89)</f>
        <v/>
      </c>
      <c r="S89" s="39" t="str">
        <f aca="true">IF(J89="","",J89-TODAY())</f>
        <v/>
      </c>
      <c r="T89" s="37"/>
      <c r="U89" s="37"/>
      <c r="V89" s="40" t="str">
        <f aca="false">IFERROR(INDEX('Azure Resource Map'!$D$2:$D$2001,MATCH($C89,'Azure Resource Map'!$A$2:$A$2001,0)),"")</f>
        <v/>
      </c>
      <c r="W89" s="39" t="str">
        <f aca="false">IFERROR(INDEX('Azure Resource Map'!$E$2:$E$2001,MATCH($C89,'Azure Resource Map'!$A$2:$A$2001,0)),"")</f>
        <v/>
      </c>
      <c r="X89" s="39" t="str">
        <f aca="false">IFERROR(INDEX('Azure Resource Map'!$F$2:$F$2001,MATCH($C89,'Azure Resource Map'!$A$2:$A$2001,0)),"")</f>
        <v/>
      </c>
      <c r="Y89" s="39" t="str">
        <f aca="false">IF($C89="","",IF(ISNUMBER(MATCH($C89,'CA Exclusion Map'!$A$2:$A$2001,0)),"Yes","No"))</f>
        <v/>
      </c>
      <c r="Z89" s="39" t="str">
        <f aca="false">IFERROR(INDEX('CA Exclusion Map'!$D$2:$D$2001,MATCH($C89,'CA Exclusion Map'!$A$2:$A$2001,0)),"")</f>
        <v/>
      </c>
      <c r="AA89" s="40" t="str">
        <f aca="false">IFERROR(INDEX('CA Exclusion Map'!$E$2:$E$2001,MATCH($C89,'CA Exclusion Map'!$A$2:$A$2001,0)),"")</f>
        <v/>
      </c>
      <c r="AB89" s="40" t="str">
        <f aca="false">IFERROR(INDEX('CA Exclusion Map'!$F$2:$F$2001,MATCH($C89,'CA Exclusion Map'!$A$2:$A$2001,0)),"")</f>
        <v/>
      </c>
      <c r="AC89" s="36"/>
      <c r="AD89" s="37"/>
      <c r="AE89" s="38"/>
      <c r="AF89" s="38"/>
      <c r="AG89" s="39" t="str">
        <f aca="true">IF(Y89="","",IF(Y89&lt;&gt;"Yes","N/A",IF(AF89="","NO EXPIRY SET",IF(TODAY()&gt;AF89,"EXPIRED",IF(AF89-TODAY()&lt;=30,"Expiring Soon","Active")))))</f>
        <v/>
      </c>
      <c r="AH89" s="36"/>
      <c r="AI89" s="36"/>
      <c r="AJ89" s="37"/>
      <c r="AK89" s="36"/>
      <c r="AL89" s="37"/>
      <c r="AM89" s="37"/>
      <c r="AN89" s="37"/>
      <c r="AO89" s="37"/>
      <c r="AP89" s="38"/>
      <c r="AQ89" s="37"/>
      <c r="AR89" s="37"/>
      <c r="AS89" s="41" t="str">
        <f aca="false">IF(AP89="","",AP89+90)</f>
        <v/>
      </c>
      <c r="AT89" s="39" t="str">
        <f aca="true">IF(C89="","",IF(AP89="","NOT REVIEWED",IF(TODAY()&gt;AS89,"OVERDUE",IF(AS89-TODAY()&lt;=14,"Due Soon","Current"))))</f>
        <v/>
      </c>
      <c r="AU89" s="36"/>
    </row>
    <row r="90" customFormat="false" ht="15" hidden="false" customHeight="false" outlineLevel="0" collapsed="false">
      <c r="A90" s="36"/>
      <c r="B90" s="36"/>
      <c r="C90" s="36"/>
      <c r="D90" s="37"/>
      <c r="E90" s="37"/>
      <c r="F90" s="37"/>
      <c r="G90" s="38"/>
      <c r="H90" s="38"/>
      <c r="I90" s="36"/>
      <c r="J90" s="38"/>
      <c r="K90" s="37"/>
      <c r="L90" s="36"/>
      <c r="M90" s="37"/>
      <c r="N90" s="37"/>
      <c r="O90" s="37"/>
      <c r="P90" s="37"/>
      <c r="Q90" s="36"/>
      <c r="R90" s="39" t="str">
        <f aca="true">IF(H90="","",TODAY()-H90)</f>
        <v/>
      </c>
      <c r="S90" s="39" t="str">
        <f aca="true">IF(J90="","",J90-TODAY())</f>
        <v/>
      </c>
      <c r="T90" s="37"/>
      <c r="U90" s="37"/>
      <c r="V90" s="40" t="str">
        <f aca="false">IFERROR(INDEX('Azure Resource Map'!$D$2:$D$2001,MATCH($C90,'Azure Resource Map'!$A$2:$A$2001,0)),"")</f>
        <v/>
      </c>
      <c r="W90" s="39" t="str">
        <f aca="false">IFERROR(INDEX('Azure Resource Map'!$E$2:$E$2001,MATCH($C90,'Azure Resource Map'!$A$2:$A$2001,0)),"")</f>
        <v/>
      </c>
      <c r="X90" s="39" t="str">
        <f aca="false">IFERROR(INDEX('Azure Resource Map'!$F$2:$F$2001,MATCH($C90,'Azure Resource Map'!$A$2:$A$2001,0)),"")</f>
        <v/>
      </c>
      <c r="Y90" s="39" t="str">
        <f aca="false">IF($C90="","",IF(ISNUMBER(MATCH($C90,'CA Exclusion Map'!$A$2:$A$2001,0)),"Yes","No"))</f>
        <v/>
      </c>
      <c r="Z90" s="39" t="str">
        <f aca="false">IFERROR(INDEX('CA Exclusion Map'!$D$2:$D$2001,MATCH($C90,'CA Exclusion Map'!$A$2:$A$2001,0)),"")</f>
        <v/>
      </c>
      <c r="AA90" s="40" t="str">
        <f aca="false">IFERROR(INDEX('CA Exclusion Map'!$E$2:$E$2001,MATCH($C90,'CA Exclusion Map'!$A$2:$A$2001,0)),"")</f>
        <v/>
      </c>
      <c r="AB90" s="40" t="str">
        <f aca="false">IFERROR(INDEX('CA Exclusion Map'!$F$2:$F$2001,MATCH($C90,'CA Exclusion Map'!$A$2:$A$2001,0)),"")</f>
        <v/>
      </c>
      <c r="AC90" s="36"/>
      <c r="AD90" s="37"/>
      <c r="AE90" s="38"/>
      <c r="AF90" s="38"/>
      <c r="AG90" s="39" t="str">
        <f aca="true">IF(Y90="","",IF(Y90&lt;&gt;"Yes","N/A",IF(AF90="","NO EXPIRY SET",IF(TODAY()&gt;AF90,"EXPIRED",IF(AF90-TODAY()&lt;=30,"Expiring Soon","Active")))))</f>
        <v/>
      </c>
      <c r="AH90" s="36"/>
      <c r="AI90" s="36"/>
      <c r="AJ90" s="37"/>
      <c r="AK90" s="36"/>
      <c r="AL90" s="37"/>
      <c r="AM90" s="37"/>
      <c r="AN90" s="37"/>
      <c r="AO90" s="37"/>
      <c r="AP90" s="38"/>
      <c r="AQ90" s="37"/>
      <c r="AR90" s="37"/>
      <c r="AS90" s="41" t="str">
        <f aca="false">IF(AP90="","",AP90+90)</f>
        <v/>
      </c>
      <c r="AT90" s="39" t="str">
        <f aca="true">IF(C90="","",IF(AP90="","NOT REVIEWED",IF(TODAY()&gt;AS90,"OVERDUE",IF(AS90-TODAY()&lt;=14,"Due Soon","Current"))))</f>
        <v/>
      </c>
      <c r="AU90" s="36"/>
    </row>
    <row r="91" customFormat="false" ht="15" hidden="false" customHeight="false" outlineLevel="0" collapsed="false">
      <c r="A91" s="36"/>
      <c r="B91" s="36"/>
      <c r="C91" s="36"/>
      <c r="D91" s="37"/>
      <c r="E91" s="37"/>
      <c r="F91" s="37"/>
      <c r="G91" s="38"/>
      <c r="H91" s="38"/>
      <c r="I91" s="36"/>
      <c r="J91" s="38"/>
      <c r="K91" s="37"/>
      <c r="L91" s="36"/>
      <c r="M91" s="37"/>
      <c r="N91" s="37"/>
      <c r="O91" s="37"/>
      <c r="P91" s="37"/>
      <c r="Q91" s="36"/>
      <c r="R91" s="39" t="str">
        <f aca="true">IF(H91="","",TODAY()-H91)</f>
        <v/>
      </c>
      <c r="S91" s="39" t="str">
        <f aca="true">IF(J91="","",J91-TODAY())</f>
        <v/>
      </c>
      <c r="T91" s="37"/>
      <c r="U91" s="37"/>
      <c r="V91" s="40" t="str">
        <f aca="false">IFERROR(INDEX('Azure Resource Map'!$D$2:$D$2001,MATCH($C91,'Azure Resource Map'!$A$2:$A$2001,0)),"")</f>
        <v/>
      </c>
      <c r="W91" s="39" t="str">
        <f aca="false">IFERROR(INDEX('Azure Resource Map'!$E$2:$E$2001,MATCH($C91,'Azure Resource Map'!$A$2:$A$2001,0)),"")</f>
        <v/>
      </c>
      <c r="X91" s="39" t="str">
        <f aca="false">IFERROR(INDEX('Azure Resource Map'!$F$2:$F$2001,MATCH($C91,'Azure Resource Map'!$A$2:$A$2001,0)),"")</f>
        <v/>
      </c>
      <c r="Y91" s="39" t="str">
        <f aca="false">IF($C91="","",IF(ISNUMBER(MATCH($C91,'CA Exclusion Map'!$A$2:$A$2001,0)),"Yes","No"))</f>
        <v/>
      </c>
      <c r="Z91" s="39" t="str">
        <f aca="false">IFERROR(INDEX('CA Exclusion Map'!$D$2:$D$2001,MATCH($C91,'CA Exclusion Map'!$A$2:$A$2001,0)),"")</f>
        <v/>
      </c>
      <c r="AA91" s="40" t="str">
        <f aca="false">IFERROR(INDEX('CA Exclusion Map'!$E$2:$E$2001,MATCH($C91,'CA Exclusion Map'!$A$2:$A$2001,0)),"")</f>
        <v/>
      </c>
      <c r="AB91" s="40" t="str">
        <f aca="false">IFERROR(INDEX('CA Exclusion Map'!$F$2:$F$2001,MATCH($C91,'CA Exclusion Map'!$A$2:$A$2001,0)),"")</f>
        <v/>
      </c>
      <c r="AC91" s="36"/>
      <c r="AD91" s="37"/>
      <c r="AE91" s="38"/>
      <c r="AF91" s="38"/>
      <c r="AG91" s="39" t="str">
        <f aca="true">IF(Y91="","",IF(Y91&lt;&gt;"Yes","N/A",IF(AF91="","NO EXPIRY SET",IF(TODAY()&gt;AF91,"EXPIRED",IF(AF91-TODAY()&lt;=30,"Expiring Soon","Active")))))</f>
        <v/>
      </c>
      <c r="AH91" s="36"/>
      <c r="AI91" s="36"/>
      <c r="AJ91" s="37"/>
      <c r="AK91" s="36"/>
      <c r="AL91" s="37"/>
      <c r="AM91" s="37"/>
      <c r="AN91" s="37"/>
      <c r="AO91" s="37"/>
      <c r="AP91" s="38"/>
      <c r="AQ91" s="37"/>
      <c r="AR91" s="37"/>
      <c r="AS91" s="41" t="str">
        <f aca="false">IF(AP91="","",AP91+90)</f>
        <v/>
      </c>
      <c r="AT91" s="39" t="str">
        <f aca="true">IF(C91="","",IF(AP91="","NOT REVIEWED",IF(TODAY()&gt;AS91,"OVERDUE",IF(AS91-TODAY()&lt;=14,"Due Soon","Current"))))</f>
        <v/>
      </c>
      <c r="AU91" s="36"/>
    </row>
    <row r="92" customFormat="false" ht="15" hidden="false" customHeight="false" outlineLevel="0" collapsed="false">
      <c r="A92" s="36"/>
      <c r="B92" s="36"/>
      <c r="C92" s="36"/>
      <c r="D92" s="37"/>
      <c r="E92" s="37"/>
      <c r="F92" s="37"/>
      <c r="G92" s="38"/>
      <c r="H92" s="38"/>
      <c r="I92" s="36"/>
      <c r="J92" s="38"/>
      <c r="K92" s="37"/>
      <c r="L92" s="36"/>
      <c r="M92" s="37"/>
      <c r="N92" s="37"/>
      <c r="O92" s="37"/>
      <c r="P92" s="37"/>
      <c r="Q92" s="36"/>
      <c r="R92" s="39" t="str">
        <f aca="true">IF(H92="","",TODAY()-H92)</f>
        <v/>
      </c>
      <c r="S92" s="39" t="str">
        <f aca="true">IF(J92="","",J92-TODAY())</f>
        <v/>
      </c>
      <c r="T92" s="37"/>
      <c r="U92" s="37"/>
      <c r="V92" s="40" t="str">
        <f aca="false">IFERROR(INDEX('Azure Resource Map'!$D$2:$D$2001,MATCH($C92,'Azure Resource Map'!$A$2:$A$2001,0)),"")</f>
        <v/>
      </c>
      <c r="W92" s="39" t="str">
        <f aca="false">IFERROR(INDEX('Azure Resource Map'!$E$2:$E$2001,MATCH($C92,'Azure Resource Map'!$A$2:$A$2001,0)),"")</f>
        <v/>
      </c>
      <c r="X92" s="39" t="str">
        <f aca="false">IFERROR(INDEX('Azure Resource Map'!$F$2:$F$2001,MATCH($C92,'Azure Resource Map'!$A$2:$A$2001,0)),"")</f>
        <v/>
      </c>
      <c r="Y92" s="39" t="str">
        <f aca="false">IF($C92="","",IF(ISNUMBER(MATCH($C92,'CA Exclusion Map'!$A$2:$A$2001,0)),"Yes","No"))</f>
        <v/>
      </c>
      <c r="Z92" s="39" t="str">
        <f aca="false">IFERROR(INDEX('CA Exclusion Map'!$D$2:$D$2001,MATCH($C92,'CA Exclusion Map'!$A$2:$A$2001,0)),"")</f>
        <v/>
      </c>
      <c r="AA92" s="40" t="str">
        <f aca="false">IFERROR(INDEX('CA Exclusion Map'!$E$2:$E$2001,MATCH($C92,'CA Exclusion Map'!$A$2:$A$2001,0)),"")</f>
        <v/>
      </c>
      <c r="AB92" s="40" t="str">
        <f aca="false">IFERROR(INDEX('CA Exclusion Map'!$F$2:$F$2001,MATCH($C92,'CA Exclusion Map'!$A$2:$A$2001,0)),"")</f>
        <v/>
      </c>
      <c r="AC92" s="36"/>
      <c r="AD92" s="37"/>
      <c r="AE92" s="38"/>
      <c r="AF92" s="38"/>
      <c r="AG92" s="39" t="str">
        <f aca="true">IF(Y92="","",IF(Y92&lt;&gt;"Yes","N/A",IF(AF92="","NO EXPIRY SET",IF(TODAY()&gt;AF92,"EXPIRED",IF(AF92-TODAY()&lt;=30,"Expiring Soon","Active")))))</f>
        <v/>
      </c>
      <c r="AH92" s="36"/>
      <c r="AI92" s="36"/>
      <c r="AJ92" s="37"/>
      <c r="AK92" s="36"/>
      <c r="AL92" s="37"/>
      <c r="AM92" s="37"/>
      <c r="AN92" s="37"/>
      <c r="AO92" s="37"/>
      <c r="AP92" s="38"/>
      <c r="AQ92" s="37"/>
      <c r="AR92" s="37"/>
      <c r="AS92" s="41" t="str">
        <f aca="false">IF(AP92="","",AP92+90)</f>
        <v/>
      </c>
      <c r="AT92" s="39" t="str">
        <f aca="true">IF(C92="","",IF(AP92="","NOT REVIEWED",IF(TODAY()&gt;AS92,"OVERDUE",IF(AS92-TODAY()&lt;=14,"Due Soon","Current"))))</f>
        <v/>
      </c>
      <c r="AU92" s="36"/>
    </row>
    <row r="93" customFormat="false" ht="15" hidden="false" customHeight="false" outlineLevel="0" collapsed="false">
      <c r="A93" s="36"/>
      <c r="B93" s="36"/>
      <c r="C93" s="36"/>
      <c r="D93" s="37"/>
      <c r="E93" s="37"/>
      <c r="F93" s="37"/>
      <c r="G93" s="38"/>
      <c r="H93" s="38"/>
      <c r="I93" s="36"/>
      <c r="J93" s="38"/>
      <c r="K93" s="37"/>
      <c r="L93" s="36"/>
      <c r="M93" s="37"/>
      <c r="N93" s="37"/>
      <c r="O93" s="37"/>
      <c r="P93" s="37"/>
      <c r="Q93" s="36"/>
      <c r="R93" s="39" t="str">
        <f aca="true">IF(H93="","",TODAY()-H93)</f>
        <v/>
      </c>
      <c r="S93" s="39" t="str">
        <f aca="true">IF(J93="","",J93-TODAY())</f>
        <v/>
      </c>
      <c r="T93" s="37"/>
      <c r="U93" s="37"/>
      <c r="V93" s="40" t="str">
        <f aca="false">IFERROR(INDEX('Azure Resource Map'!$D$2:$D$2001,MATCH($C93,'Azure Resource Map'!$A$2:$A$2001,0)),"")</f>
        <v/>
      </c>
      <c r="W93" s="39" t="str">
        <f aca="false">IFERROR(INDEX('Azure Resource Map'!$E$2:$E$2001,MATCH($C93,'Azure Resource Map'!$A$2:$A$2001,0)),"")</f>
        <v/>
      </c>
      <c r="X93" s="39" t="str">
        <f aca="false">IFERROR(INDEX('Azure Resource Map'!$F$2:$F$2001,MATCH($C93,'Azure Resource Map'!$A$2:$A$2001,0)),"")</f>
        <v/>
      </c>
      <c r="Y93" s="39" t="str">
        <f aca="false">IF($C93="","",IF(ISNUMBER(MATCH($C93,'CA Exclusion Map'!$A$2:$A$2001,0)),"Yes","No"))</f>
        <v/>
      </c>
      <c r="Z93" s="39" t="str">
        <f aca="false">IFERROR(INDEX('CA Exclusion Map'!$D$2:$D$2001,MATCH($C93,'CA Exclusion Map'!$A$2:$A$2001,0)),"")</f>
        <v/>
      </c>
      <c r="AA93" s="40" t="str">
        <f aca="false">IFERROR(INDEX('CA Exclusion Map'!$E$2:$E$2001,MATCH($C93,'CA Exclusion Map'!$A$2:$A$2001,0)),"")</f>
        <v/>
      </c>
      <c r="AB93" s="40" t="str">
        <f aca="false">IFERROR(INDEX('CA Exclusion Map'!$F$2:$F$2001,MATCH($C93,'CA Exclusion Map'!$A$2:$A$2001,0)),"")</f>
        <v/>
      </c>
      <c r="AC93" s="36"/>
      <c r="AD93" s="37"/>
      <c r="AE93" s="38"/>
      <c r="AF93" s="38"/>
      <c r="AG93" s="39" t="str">
        <f aca="true">IF(Y93="","",IF(Y93&lt;&gt;"Yes","N/A",IF(AF93="","NO EXPIRY SET",IF(TODAY()&gt;AF93,"EXPIRED",IF(AF93-TODAY()&lt;=30,"Expiring Soon","Active")))))</f>
        <v/>
      </c>
      <c r="AH93" s="36"/>
      <c r="AI93" s="36"/>
      <c r="AJ93" s="37"/>
      <c r="AK93" s="36"/>
      <c r="AL93" s="37"/>
      <c r="AM93" s="37"/>
      <c r="AN93" s="37"/>
      <c r="AO93" s="37"/>
      <c r="AP93" s="38"/>
      <c r="AQ93" s="37"/>
      <c r="AR93" s="37"/>
      <c r="AS93" s="41" t="str">
        <f aca="false">IF(AP93="","",AP93+90)</f>
        <v/>
      </c>
      <c r="AT93" s="39" t="str">
        <f aca="true">IF(C93="","",IF(AP93="","NOT REVIEWED",IF(TODAY()&gt;AS93,"OVERDUE",IF(AS93-TODAY()&lt;=14,"Due Soon","Current"))))</f>
        <v/>
      </c>
      <c r="AU93" s="36"/>
    </row>
    <row r="94" customFormat="false" ht="15" hidden="false" customHeight="false" outlineLevel="0" collapsed="false">
      <c r="A94" s="36"/>
      <c r="B94" s="36"/>
      <c r="C94" s="36"/>
      <c r="D94" s="37"/>
      <c r="E94" s="37"/>
      <c r="F94" s="37"/>
      <c r="G94" s="38"/>
      <c r="H94" s="38"/>
      <c r="I94" s="36"/>
      <c r="J94" s="38"/>
      <c r="K94" s="37"/>
      <c r="L94" s="36"/>
      <c r="M94" s="37"/>
      <c r="N94" s="37"/>
      <c r="O94" s="37"/>
      <c r="P94" s="37"/>
      <c r="Q94" s="36"/>
      <c r="R94" s="39" t="str">
        <f aca="true">IF(H94="","",TODAY()-H94)</f>
        <v/>
      </c>
      <c r="S94" s="39" t="str">
        <f aca="true">IF(J94="","",J94-TODAY())</f>
        <v/>
      </c>
      <c r="T94" s="37"/>
      <c r="U94" s="37"/>
      <c r="V94" s="40" t="str">
        <f aca="false">IFERROR(INDEX('Azure Resource Map'!$D$2:$D$2001,MATCH($C94,'Azure Resource Map'!$A$2:$A$2001,0)),"")</f>
        <v/>
      </c>
      <c r="W94" s="39" t="str">
        <f aca="false">IFERROR(INDEX('Azure Resource Map'!$E$2:$E$2001,MATCH($C94,'Azure Resource Map'!$A$2:$A$2001,0)),"")</f>
        <v/>
      </c>
      <c r="X94" s="39" t="str">
        <f aca="false">IFERROR(INDEX('Azure Resource Map'!$F$2:$F$2001,MATCH($C94,'Azure Resource Map'!$A$2:$A$2001,0)),"")</f>
        <v/>
      </c>
      <c r="Y94" s="39" t="str">
        <f aca="false">IF($C94="","",IF(ISNUMBER(MATCH($C94,'CA Exclusion Map'!$A$2:$A$2001,0)),"Yes","No"))</f>
        <v/>
      </c>
      <c r="Z94" s="39" t="str">
        <f aca="false">IFERROR(INDEX('CA Exclusion Map'!$D$2:$D$2001,MATCH($C94,'CA Exclusion Map'!$A$2:$A$2001,0)),"")</f>
        <v/>
      </c>
      <c r="AA94" s="40" t="str">
        <f aca="false">IFERROR(INDEX('CA Exclusion Map'!$E$2:$E$2001,MATCH($C94,'CA Exclusion Map'!$A$2:$A$2001,0)),"")</f>
        <v/>
      </c>
      <c r="AB94" s="40" t="str">
        <f aca="false">IFERROR(INDEX('CA Exclusion Map'!$F$2:$F$2001,MATCH($C94,'CA Exclusion Map'!$A$2:$A$2001,0)),"")</f>
        <v/>
      </c>
      <c r="AC94" s="36"/>
      <c r="AD94" s="37"/>
      <c r="AE94" s="38"/>
      <c r="AF94" s="38"/>
      <c r="AG94" s="39" t="str">
        <f aca="true">IF(Y94="","",IF(Y94&lt;&gt;"Yes","N/A",IF(AF94="","NO EXPIRY SET",IF(TODAY()&gt;AF94,"EXPIRED",IF(AF94-TODAY()&lt;=30,"Expiring Soon","Active")))))</f>
        <v/>
      </c>
      <c r="AH94" s="36"/>
      <c r="AI94" s="36"/>
      <c r="AJ94" s="37"/>
      <c r="AK94" s="36"/>
      <c r="AL94" s="37"/>
      <c r="AM94" s="37"/>
      <c r="AN94" s="37"/>
      <c r="AO94" s="37"/>
      <c r="AP94" s="38"/>
      <c r="AQ94" s="37"/>
      <c r="AR94" s="37"/>
      <c r="AS94" s="41" t="str">
        <f aca="false">IF(AP94="","",AP94+90)</f>
        <v/>
      </c>
      <c r="AT94" s="39" t="str">
        <f aca="true">IF(C94="","",IF(AP94="","NOT REVIEWED",IF(TODAY()&gt;AS94,"OVERDUE",IF(AS94-TODAY()&lt;=14,"Due Soon","Current"))))</f>
        <v/>
      </c>
      <c r="AU94" s="36"/>
    </row>
    <row r="95" customFormat="false" ht="15" hidden="false" customHeight="false" outlineLevel="0" collapsed="false">
      <c r="A95" s="36"/>
      <c r="B95" s="36"/>
      <c r="C95" s="36"/>
      <c r="D95" s="37"/>
      <c r="E95" s="37"/>
      <c r="F95" s="37"/>
      <c r="G95" s="38"/>
      <c r="H95" s="38"/>
      <c r="I95" s="36"/>
      <c r="J95" s="38"/>
      <c r="K95" s="37"/>
      <c r="L95" s="36"/>
      <c r="M95" s="37"/>
      <c r="N95" s="37"/>
      <c r="O95" s="37"/>
      <c r="P95" s="37"/>
      <c r="Q95" s="36"/>
      <c r="R95" s="39" t="str">
        <f aca="true">IF(H95="","",TODAY()-H95)</f>
        <v/>
      </c>
      <c r="S95" s="39" t="str">
        <f aca="true">IF(J95="","",J95-TODAY())</f>
        <v/>
      </c>
      <c r="T95" s="37"/>
      <c r="U95" s="37"/>
      <c r="V95" s="40" t="str">
        <f aca="false">IFERROR(INDEX('Azure Resource Map'!$D$2:$D$2001,MATCH($C95,'Azure Resource Map'!$A$2:$A$2001,0)),"")</f>
        <v/>
      </c>
      <c r="W95" s="39" t="str">
        <f aca="false">IFERROR(INDEX('Azure Resource Map'!$E$2:$E$2001,MATCH($C95,'Azure Resource Map'!$A$2:$A$2001,0)),"")</f>
        <v/>
      </c>
      <c r="X95" s="39" t="str">
        <f aca="false">IFERROR(INDEX('Azure Resource Map'!$F$2:$F$2001,MATCH($C95,'Azure Resource Map'!$A$2:$A$2001,0)),"")</f>
        <v/>
      </c>
      <c r="Y95" s="39" t="str">
        <f aca="false">IF($C95="","",IF(ISNUMBER(MATCH($C95,'CA Exclusion Map'!$A$2:$A$2001,0)),"Yes","No"))</f>
        <v/>
      </c>
      <c r="Z95" s="39" t="str">
        <f aca="false">IFERROR(INDEX('CA Exclusion Map'!$D$2:$D$2001,MATCH($C95,'CA Exclusion Map'!$A$2:$A$2001,0)),"")</f>
        <v/>
      </c>
      <c r="AA95" s="40" t="str">
        <f aca="false">IFERROR(INDEX('CA Exclusion Map'!$E$2:$E$2001,MATCH($C95,'CA Exclusion Map'!$A$2:$A$2001,0)),"")</f>
        <v/>
      </c>
      <c r="AB95" s="40" t="str">
        <f aca="false">IFERROR(INDEX('CA Exclusion Map'!$F$2:$F$2001,MATCH($C95,'CA Exclusion Map'!$A$2:$A$2001,0)),"")</f>
        <v/>
      </c>
      <c r="AC95" s="36"/>
      <c r="AD95" s="37"/>
      <c r="AE95" s="38"/>
      <c r="AF95" s="38"/>
      <c r="AG95" s="39" t="str">
        <f aca="true">IF(Y95="","",IF(Y95&lt;&gt;"Yes","N/A",IF(AF95="","NO EXPIRY SET",IF(TODAY()&gt;AF95,"EXPIRED",IF(AF95-TODAY()&lt;=30,"Expiring Soon","Active")))))</f>
        <v/>
      </c>
      <c r="AH95" s="36"/>
      <c r="AI95" s="36"/>
      <c r="AJ95" s="37"/>
      <c r="AK95" s="36"/>
      <c r="AL95" s="37"/>
      <c r="AM95" s="37"/>
      <c r="AN95" s="37"/>
      <c r="AO95" s="37"/>
      <c r="AP95" s="38"/>
      <c r="AQ95" s="37"/>
      <c r="AR95" s="37"/>
      <c r="AS95" s="41" t="str">
        <f aca="false">IF(AP95="","",AP95+90)</f>
        <v/>
      </c>
      <c r="AT95" s="39" t="str">
        <f aca="true">IF(C95="","",IF(AP95="","NOT REVIEWED",IF(TODAY()&gt;AS95,"OVERDUE",IF(AS95-TODAY()&lt;=14,"Due Soon","Current"))))</f>
        <v/>
      </c>
      <c r="AU95" s="36"/>
    </row>
    <row r="96" customFormat="false" ht="15" hidden="false" customHeight="false" outlineLevel="0" collapsed="false">
      <c r="A96" s="36"/>
      <c r="B96" s="36"/>
      <c r="C96" s="36"/>
      <c r="D96" s="37"/>
      <c r="E96" s="37"/>
      <c r="F96" s="37"/>
      <c r="G96" s="38"/>
      <c r="H96" s="38"/>
      <c r="I96" s="36"/>
      <c r="J96" s="38"/>
      <c r="K96" s="37"/>
      <c r="L96" s="36"/>
      <c r="M96" s="37"/>
      <c r="N96" s="37"/>
      <c r="O96" s="37"/>
      <c r="P96" s="37"/>
      <c r="Q96" s="36"/>
      <c r="R96" s="39" t="str">
        <f aca="true">IF(H96="","",TODAY()-H96)</f>
        <v/>
      </c>
      <c r="S96" s="39" t="str">
        <f aca="true">IF(J96="","",J96-TODAY())</f>
        <v/>
      </c>
      <c r="T96" s="37"/>
      <c r="U96" s="37"/>
      <c r="V96" s="40" t="str">
        <f aca="false">IFERROR(INDEX('Azure Resource Map'!$D$2:$D$2001,MATCH($C96,'Azure Resource Map'!$A$2:$A$2001,0)),"")</f>
        <v/>
      </c>
      <c r="W96" s="39" t="str">
        <f aca="false">IFERROR(INDEX('Azure Resource Map'!$E$2:$E$2001,MATCH($C96,'Azure Resource Map'!$A$2:$A$2001,0)),"")</f>
        <v/>
      </c>
      <c r="X96" s="39" t="str">
        <f aca="false">IFERROR(INDEX('Azure Resource Map'!$F$2:$F$2001,MATCH($C96,'Azure Resource Map'!$A$2:$A$2001,0)),"")</f>
        <v/>
      </c>
      <c r="Y96" s="39" t="str">
        <f aca="false">IF($C96="","",IF(ISNUMBER(MATCH($C96,'CA Exclusion Map'!$A$2:$A$2001,0)),"Yes","No"))</f>
        <v/>
      </c>
      <c r="Z96" s="39" t="str">
        <f aca="false">IFERROR(INDEX('CA Exclusion Map'!$D$2:$D$2001,MATCH($C96,'CA Exclusion Map'!$A$2:$A$2001,0)),"")</f>
        <v/>
      </c>
      <c r="AA96" s="40" t="str">
        <f aca="false">IFERROR(INDEX('CA Exclusion Map'!$E$2:$E$2001,MATCH($C96,'CA Exclusion Map'!$A$2:$A$2001,0)),"")</f>
        <v/>
      </c>
      <c r="AB96" s="40" t="str">
        <f aca="false">IFERROR(INDEX('CA Exclusion Map'!$F$2:$F$2001,MATCH($C96,'CA Exclusion Map'!$A$2:$A$2001,0)),"")</f>
        <v/>
      </c>
      <c r="AC96" s="36"/>
      <c r="AD96" s="37"/>
      <c r="AE96" s="38"/>
      <c r="AF96" s="38"/>
      <c r="AG96" s="39" t="str">
        <f aca="true">IF(Y96="","",IF(Y96&lt;&gt;"Yes","N/A",IF(AF96="","NO EXPIRY SET",IF(TODAY()&gt;AF96,"EXPIRED",IF(AF96-TODAY()&lt;=30,"Expiring Soon","Active")))))</f>
        <v/>
      </c>
      <c r="AH96" s="36"/>
      <c r="AI96" s="36"/>
      <c r="AJ96" s="37"/>
      <c r="AK96" s="36"/>
      <c r="AL96" s="37"/>
      <c r="AM96" s="37"/>
      <c r="AN96" s="37"/>
      <c r="AO96" s="37"/>
      <c r="AP96" s="38"/>
      <c r="AQ96" s="37"/>
      <c r="AR96" s="37"/>
      <c r="AS96" s="41" t="str">
        <f aca="false">IF(AP96="","",AP96+90)</f>
        <v/>
      </c>
      <c r="AT96" s="39" t="str">
        <f aca="true">IF(C96="","",IF(AP96="","NOT REVIEWED",IF(TODAY()&gt;AS96,"OVERDUE",IF(AS96-TODAY()&lt;=14,"Due Soon","Current"))))</f>
        <v/>
      </c>
      <c r="AU96" s="36"/>
    </row>
    <row r="97" customFormat="false" ht="15" hidden="false" customHeight="false" outlineLevel="0" collapsed="false">
      <c r="A97" s="36"/>
      <c r="B97" s="36"/>
      <c r="C97" s="36"/>
      <c r="D97" s="37"/>
      <c r="E97" s="37"/>
      <c r="F97" s="37"/>
      <c r="G97" s="38"/>
      <c r="H97" s="38"/>
      <c r="I97" s="36"/>
      <c r="J97" s="38"/>
      <c r="K97" s="37"/>
      <c r="L97" s="36"/>
      <c r="M97" s="37"/>
      <c r="N97" s="37"/>
      <c r="O97" s="37"/>
      <c r="P97" s="37"/>
      <c r="Q97" s="36"/>
      <c r="R97" s="39" t="str">
        <f aca="true">IF(H97="","",TODAY()-H97)</f>
        <v/>
      </c>
      <c r="S97" s="39" t="str">
        <f aca="true">IF(J97="","",J97-TODAY())</f>
        <v/>
      </c>
      <c r="T97" s="37"/>
      <c r="U97" s="37"/>
      <c r="V97" s="40" t="str">
        <f aca="false">IFERROR(INDEX('Azure Resource Map'!$D$2:$D$2001,MATCH($C97,'Azure Resource Map'!$A$2:$A$2001,0)),"")</f>
        <v/>
      </c>
      <c r="W97" s="39" t="str">
        <f aca="false">IFERROR(INDEX('Azure Resource Map'!$E$2:$E$2001,MATCH($C97,'Azure Resource Map'!$A$2:$A$2001,0)),"")</f>
        <v/>
      </c>
      <c r="X97" s="39" t="str">
        <f aca="false">IFERROR(INDEX('Azure Resource Map'!$F$2:$F$2001,MATCH($C97,'Azure Resource Map'!$A$2:$A$2001,0)),"")</f>
        <v/>
      </c>
      <c r="Y97" s="39" t="str">
        <f aca="false">IF($C97="","",IF(ISNUMBER(MATCH($C97,'CA Exclusion Map'!$A$2:$A$2001,0)),"Yes","No"))</f>
        <v/>
      </c>
      <c r="Z97" s="39" t="str">
        <f aca="false">IFERROR(INDEX('CA Exclusion Map'!$D$2:$D$2001,MATCH($C97,'CA Exclusion Map'!$A$2:$A$2001,0)),"")</f>
        <v/>
      </c>
      <c r="AA97" s="40" t="str">
        <f aca="false">IFERROR(INDEX('CA Exclusion Map'!$E$2:$E$2001,MATCH($C97,'CA Exclusion Map'!$A$2:$A$2001,0)),"")</f>
        <v/>
      </c>
      <c r="AB97" s="40" t="str">
        <f aca="false">IFERROR(INDEX('CA Exclusion Map'!$F$2:$F$2001,MATCH($C97,'CA Exclusion Map'!$A$2:$A$2001,0)),"")</f>
        <v/>
      </c>
      <c r="AC97" s="36"/>
      <c r="AD97" s="37"/>
      <c r="AE97" s="38"/>
      <c r="AF97" s="38"/>
      <c r="AG97" s="39" t="str">
        <f aca="true">IF(Y97="","",IF(Y97&lt;&gt;"Yes","N/A",IF(AF97="","NO EXPIRY SET",IF(TODAY()&gt;AF97,"EXPIRED",IF(AF97-TODAY()&lt;=30,"Expiring Soon","Active")))))</f>
        <v/>
      </c>
      <c r="AH97" s="36"/>
      <c r="AI97" s="36"/>
      <c r="AJ97" s="37"/>
      <c r="AK97" s="36"/>
      <c r="AL97" s="37"/>
      <c r="AM97" s="37"/>
      <c r="AN97" s="37"/>
      <c r="AO97" s="37"/>
      <c r="AP97" s="38"/>
      <c r="AQ97" s="37"/>
      <c r="AR97" s="37"/>
      <c r="AS97" s="41" t="str">
        <f aca="false">IF(AP97="","",AP97+90)</f>
        <v/>
      </c>
      <c r="AT97" s="39" t="str">
        <f aca="true">IF(C97="","",IF(AP97="","NOT REVIEWED",IF(TODAY()&gt;AS97,"OVERDUE",IF(AS97-TODAY()&lt;=14,"Due Soon","Current"))))</f>
        <v/>
      </c>
      <c r="AU97" s="36"/>
    </row>
    <row r="98" customFormat="false" ht="15" hidden="false" customHeight="false" outlineLevel="0" collapsed="false">
      <c r="A98" s="36"/>
      <c r="B98" s="36"/>
      <c r="C98" s="36"/>
      <c r="D98" s="37"/>
      <c r="E98" s="37"/>
      <c r="F98" s="37"/>
      <c r="G98" s="38"/>
      <c r="H98" s="38"/>
      <c r="I98" s="36"/>
      <c r="J98" s="38"/>
      <c r="K98" s="37"/>
      <c r="L98" s="36"/>
      <c r="M98" s="37"/>
      <c r="N98" s="37"/>
      <c r="O98" s="37"/>
      <c r="P98" s="37"/>
      <c r="Q98" s="36"/>
      <c r="R98" s="39" t="str">
        <f aca="true">IF(H98="","",TODAY()-H98)</f>
        <v/>
      </c>
      <c r="S98" s="39" t="str">
        <f aca="true">IF(J98="","",J98-TODAY())</f>
        <v/>
      </c>
      <c r="T98" s="37"/>
      <c r="U98" s="37"/>
      <c r="V98" s="40" t="str">
        <f aca="false">IFERROR(INDEX('Azure Resource Map'!$D$2:$D$2001,MATCH($C98,'Azure Resource Map'!$A$2:$A$2001,0)),"")</f>
        <v/>
      </c>
      <c r="W98" s="39" t="str">
        <f aca="false">IFERROR(INDEX('Azure Resource Map'!$E$2:$E$2001,MATCH($C98,'Azure Resource Map'!$A$2:$A$2001,0)),"")</f>
        <v/>
      </c>
      <c r="X98" s="39" t="str">
        <f aca="false">IFERROR(INDEX('Azure Resource Map'!$F$2:$F$2001,MATCH($C98,'Azure Resource Map'!$A$2:$A$2001,0)),"")</f>
        <v/>
      </c>
      <c r="Y98" s="39" t="str">
        <f aca="false">IF($C98="","",IF(ISNUMBER(MATCH($C98,'CA Exclusion Map'!$A$2:$A$2001,0)),"Yes","No"))</f>
        <v/>
      </c>
      <c r="Z98" s="39" t="str">
        <f aca="false">IFERROR(INDEX('CA Exclusion Map'!$D$2:$D$2001,MATCH($C98,'CA Exclusion Map'!$A$2:$A$2001,0)),"")</f>
        <v/>
      </c>
      <c r="AA98" s="40" t="str">
        <f aca="false">IFERROR(INDEX('CA Exclusion Map'!$E$2:$E$2001,MATCH($C98,'CA Exclusion Map'!$A$2:$A$2001,0)),"")</f>
        <v/>
      </c>
      <c r="AB98" s="40" t="str">
        <f aca="false">IFERROR(INDEX('CA Exclusion Map'!$F$2:$F$2001,MATCH($C98,'CA Exclusion Map'!$A$2:$A$2001,0)),"")</f>
        <v/>
      </c>
      <c r="AC98" s="36"/>
      <c r="AD98" s="37"/>
      <c r="AE98" s="38"/>
      <c r="AF98" s="38"/>
      <c r="AG98" s="39" t="str">
        <f aca="true">IF(Y98="","",IF(Y98&lt;&gt;"Yes","N/A",IF(AF98="","NO EXPIRY SET",IF(TODAY()&gt;AF98,"EXPIRED",IF(AF98-TODAY()&lt;=30,"Expiring Soon","Active")))))</f>
        <v/>
      </c>
      <c r="AH98" s="36"/>
      <c r="AI98" s="36"/>
      <c r="AJ98" s="37"/>
      <c r="AK98" s="36"/>
      <c r="AL98" s="37"/>
      <c r="AM98" s="37"/>
      <c r="AN98" s="37"/>
      <c r="AO98" s="37"/>
      <c r="AP98" s="38"/>
      <c r="AQ98" s="37"/>
      <c r="AR98" s="37"/>
      <c r="AS98" s="41" t="str">
        <f aca="false">IF(AP98="","",AP98+90)</f>
        <v/>
      </c>
      <c r="AT98" s="39" t="str">
        <f aca="true">IF(C98="","",IF(AP98="","NOT REVIEWED",IF(TODAY()&gt;AS98,"OVERDUE",IF(AS98-TODAY()&lt;=14,"Due Soon","Current"))))</f>
        <v/>
      </c>
      <c r="AU98" s="36"/>
    </row>
    <row r="99" customFormat="false" ht="15" hidden="false" customHeight="false" outlineLevel="0" collapsed="false">
      <c r="A99" s="36"/>
      <c r="B99" s="36"/>
      <c r="C99" s="36"/>
      <c r="D99" s="37"/>
      <c r="E99" s="37"/>
      <c r="F99" s="37"/>
      <c r="G99" s="38"/>
      <c r="H99" s="38"/>
      <c r="I99" s="36"/>
      <c r="J99" s="38"/>
      <c r="K99" s="37"/>
      <c r="L99" s="36"/>
      <c r="M99" s="37"/>
      <c r="N99" s="37"/>
      <c r="O99" s="37"/>
      <c r="P99" s="37"/>
      <c r="Q99" s="36"/>
      <c r="R99" s="39" t="str">
        <f aca="true">IF(H99="","",TODAY()-H99)</f>
        <v/>
      </c>
      <c r="S99" s="39" t="str">
        <f aca="true">IF(J99="","",J99-TODAY())</f>
        <v/>
      </c>
      <c r="T99" s="37"/>
      <c r="U99" s="37"/>
      <c r="V99" s="40" t="str">
        <f aca="false">IFERROR(INDEX('Azure Resource Map'!$D$2:$D$2001,MATCH($C99,'Azure Resource Map'!$A$2:$A$2001,0)),"")</f>
        <v/>
      </c>
      <c r="W99" s="39" t="str">
        <f aca="false">IFERROR(INDEX('Azure Resource Map'!$E$2:$E$2001,MATCH($C99,'Azure Resource Map'!$A$2:$A$2001,0)),"")</f>
        <v/>
      </c>
      <c r="X99" s="39" t="str">
        <f aca="false">IFERROR(INDEX('Azure Resource Map'!$F$2:$F$2001,MATCH($C99,'Azure Resource Map'!$A$2:$A$2001,0)),"")</f>
        <v/>
      </c>
      <c r="Y99" s="39" t="str">
        <f aca="false">IF($C99="","",IF(ISNUMBER(MATCH($C99,'CA Exclusion Map'!$A$2:$A$2001,0)),"Yes","No"))</f>
        <v/>
      </c>
      <c r="Z99" s="39" t="str">
        <f aca="false">IFERROR(INDEX('CA Exclusion Map'!$D$2:$D$2001,MATCH($C99,'CA Exclusion Map'!$A$2:$A$2001,0)),"")</f>
        <v/>
      </c>
      <c r="AA99" s="40" t="str">
        <f aca="false">IFERROR(INDEX('CA Exclusion Map'!$E$2:$E$2001,MATCH($C99,'CA Exclusion Map'!$A$2:$A$2001,0)),"")</f>
        <v/>
      </c>
      <c r="AB99" s="40" t="str">
        <f aca="false">IFERROR(INDEX('CA Exclusion Map'!$F$2:$F$2001,MATCH($C99,'CA Exclusion Map'!$A$2:$A$2001,0)),"")</f>
        <v/>
      </c>
      <c r="AC99" s="36"/>
      <c r="AD99" s="37"/>
      <c r="AE99" s="38"/>
      <c r="AF99" s="38"/>
      <c r="AG99" s="39" t="str">
        <f aca="true">IF(Y99="","",IF(Y99&lt;&gt;"Yes","N/A",IF(AF99="","NO EXPIRY SET",IF(TODAY()&gt;AF99,"EXPIRED",IF(AF99-TODAY()&lt;=30,"Expiring Soon","Active")))))</f>
        <v/>
      </c>
      <c r="AH99" s="36"/>
      <c r="AI99" s="36"/>
      <c r="AJ99" s="37"/>
      <c r="AK99" s="36"/>
      <c r="AL99" s="37"/>
      <c r="AM99" s="37"/>
      <c r="AN99" s="37"/>
      <c r="AO99" s="37"/>
      <c r="AP99" s="38"/>
      <c r="AQ99" s="37"/>
      <c r="AR99" s="37"/>
      <c r="AS99" s="41" t="str">
        <f aca="false">IF(AP99="","",AP99+90)</f>
        <v/>
      </c>
      <c r="AT99" s="39" t="str">
        <f aca="true">IF(C99="","",IF(AP99="","NOT REVIEWED",IF(TODAY()&gt;AS99,"OVERDUE",IF(AS99-TODAY()&lt;=14,"Due Soon","Current"))))</f>
        <v/>
      </c>
      <c r="AU99" s="36"/>
    </row>
    <row r="100" customFormat="false" ht="15" hidden="false" customHeight="false" outlineLevel="0" collapsed="false">
      <c r="A100" s="36"/>
      <c r="B100" s="36"/>
      <c r="C100" s="36"/>
      <c r="D100" s="37"/>
      <c r="E100" s="37"/>
      <c r="F100" s="37"/>
      <c r="G100" s="38"/>
      <c r="H100" s="38"/>
      <c r="I100" s="36"/>
      <c r="J100" s="38"/>
      <c r="K100" s="37"/>
      <c r="L100" s="36"/>
      <c r="M100" s="37"/>
      <c r="N100" s="37"/>
      <c r="O100" s="37"/>
      <c r="P100" s="37"/>
      <c r="Q100" s="36"/>
      <c r="R100" s="39" t="str">
        <f aca="true">IF(H100="","",TODAY()-H100)</f>
        <v/>
      </c>
      <c r="S100" s="39" t="str">
        <f aca="true">IF(J100="","",J100-TODAY())</f>
        <v/>
      </c>
      <c r="T100" s="37"/>
      <c r="U100" s="37"/>
      <c r="V100" s="40" t="str">
        <f aca="false">IFERROR(INDEX('Azure Resource Map'!$D$2:$D$2001,MATCH($C100,'Azure Resource Map'!$A$2:$A$2001,0)),"")</f>
        <v/>
      </c>
      <c r="W100" s="39" t="str">
        <f aca="false">IFERROR(INDEX('Azure Resource Map'!$E$2:$E$2001,MATCH($C100,'Azure Resource Map'!$A$2:$A$2001,0)),"")</f>
        <v/>
      </c>
      <c r="X100" s="39" t="str">
        <f aca="false">IFERROR(INDEX('Azure Resource Map'!$F$2:$F$2001,MATCH($C100,'Azure Resource Map'!$A$2:$A$2001,0)),"")</f>
        <v/>
      </c>
      <c r="Y100" s="39" t="str">
        <f aca="false">IF($C100="","",IF(ISNUMBER(MATCH($C100,'CA Exclusion Map'!$A$2:$A$2001,0)),"Yes","No"))</f>
        <v/>
      </c>
      <c r="Z100" s="39" t="str">
        <f aca="false">IFERROR(INDEX('CA Exclusion Map'!$D$2:$D$2001,MATCH($C100,'CA Exclusion Map'!$A$2:$A$2001,0)),"")</f>
        <v/>
      </c>
      <c r="AA100" s="40" t="str">
        <f aca="false">IFERROR(INDEX('CA Exclusion Map'!$E$2:$E$2001,MATCH($C100,'CA Exclusion Map'!$A$2:$A$2001,0)),"")</f>
        <v/>
      </c>
      <c r="AB100" s="40" t="str">
        <f aca="false">IFERROR(INDEX('CA Exclusion Map'!$F$2:$F$2001,MATCH($C100,'CA Exclusion Map'!$A$2:$A$2001,0)),"")</f>
        <v/>
      </c>
      <c r="AC100" s="36"/>
      <c r="AD100" s="37"/>
      <c r="AE100" s="38"/>
      <c r="AF100" s="38"/>
      <c r="AG100" s="39" t="str">
        <f aca="true">IF(Y100="","",IF(Y100&lt;&gt;"Yes","N/A",IF(AF100="","NO EXPIRY SET",IF(TODAY()&gt;AF100,"EXPIRED",IF(AF100-TODAY()&lt;=30,"Expiring Soon","Active")))))</f>
        <v/>
      </c>
      <c r="AH100" s="36"/>
      <c r="AI100" s="36"/>
      <c r="AJ100" s="37"/>
      <c r="AK100" s="36"/>
      <c r="AL100" s="37"/>
      <c r="AM100" s="37"/>
      <c r="AN100" s="37"/>
      <c r="AO100" s="37"/>
      <c r="AP100" s="38"/>
      <c r="AQ100" s="37"/>
      <c r="AR100" s="37"/>
      <c r="AS100" s="41" t="str">
        <f aca="false">IF(AP100="","",AP100+90)</f>
        <v/>
      </c>
      <c r="AT100" s="39" t="str">
        <f aca="true">IF(C100="","",IF(AP100="","NOT REVIEWED",IF(TODAY()&gt;AS100,"OVERDUE",IF(AS100-TODAY()&lt;=14,"Due Soon","Current"))))</f>
        <v/>
      </c>
      <c r="AU100" s="36"/>
    </row>
    <row r="101" customFormat="false" ht="15" hidden="false" customHeight="false" outlineLevel="0" collapsed="false">
      <c r="A101" s="36"/>
      <c r="B101" s="36"/>
      <c r="C101" s="36"/>
      <c r="D101" s="37"/>
      <c r="E101" s="37"/>
      <c r="F101" s="37"/>
      <c r="G101" s="38"/>
      <c r="H101" s="38"/>
      <c r="I101" s="36"/>
      <c r="J101" s="38"/>
      <c r="K101" s="37"/>
      <c r="L101" s="36"/>
      <c r="M101" s="37"/>
      <c r="N101" s="37"/>
      <c r="O101" s="37"/>
      <c r="P101" s="37"/>
      <c r="Q101" s="36"/>
      <c r="R101" s="39" t="str">
        <f aca="true">IF(H101="","",TODAY()-H101)</f>
        <v/>
      </c>
      <c r="S101" s="39" t="str">
        <f aca="true">IF(J101="","",J101-TODAY())</f>
        <v/>
      </c>
      <c r="T101" s="37"/>
      <c r="U101" s="37"/>
      <c r="V101" s="40" t="str">
        <f aca="false">IFERROR(INDEX('Azure Resource Map'!$D$2:$D$2001,MATCH($C101,'Azure Resource Map'!$A$2:$A$2001,0)),"")</f>
        <v/>
      </c>
      <c r="W101" s="39" t="str">
        <f aca="false">IFERROR(INDEX('Azure Resource Map'!$E$2:$E$2001,MATCH($C101,'Azure Resource Map'!$A$2:$A$2001,0)),"")</f>
        <v/>
      </c>
      <c r="X101" s="39" t="str">
        <f aca="false">IFERROR(INDEX('Azure Resource Map'!$F$2:$F$2001,MATCH($C101,'Azure Resource Map'!$A$2:$A$2001,0)),"")</f>
        <v/>
      </c>
      <c r="Y101" s="39" t="str">
        <f aca="false">IF($C101="","",IF(ISNUMBER(MATCH($C101,'CA Exclusion Map'!$A$2:$A$2001,0)),"Yes","No"))</f>
        <v/>
      </c>
      <c r="Z101" s="39" t="str">
        <f aca="false">IFERROR(INDEX('CA Exclusion Map'!$D$2:$D$2001,MATCH($C101,'CA Exclusion Map'!$A$2:$A$2001,0)),"")</f>
        <v/>
      </c>
      <c r="AA101" s="40" t="str">
        <f aca="false">IFERROR(INDEX('CA Exclusion Map'!$E$2:$E$2001,MATCH($C101,'CA Exclusion Map'!$A$2:$A$2001,0)),"")</f>
        <v/>
      </c>
      <c r="AB101" s="40" t="str">
        <f aca="false">IFERROR(INDEX('CA Exclusion Map'!$F$2:$F$2001,MATCH($C101,'CA Exclusion Map'!$A$2:$A$2001,0)),"")</f>
        <v/>
      </c>
      <c r="AC101" s="36"/>
      <c r="AD101" s="37"/>
      <c r="AE101" s="38"/>
      <c r="AF101" s="38"/>
      <c r="AG101" s="39" t="str">
        <f aca="true">IF(Y101="","",IF(Y101&lt;&gt;"Yes","N/A",IF(AF101="","NO EXPIRY SET",IF(TODAY()&gt;AF101,"EXPIRED",IF(AF101-TODAY()&lt;=30,"Expiring Soon","Active")))))</f>
        <v/>
      </c>
      <c r="AH101" s="36"/>
      <c r="AI101" s="36"/>
      <c r="AJ101" s="37"/>
      <c r="AK101" s="36"/>
      <c r="AL101" s="37"/>
      <c r="AM101" s="37"/>
      <c r="AN101" s="37"/>
      <c r="AO101" s="37"/>
      <c r="AP101" s="38"/>
      <c r="AQ101" s="37"/>
      <c r="AR101" s="37"/>
      <c r="AS101" s="41" t="str">
        <f aca="false">IF(AP101="","",AP101+90)</f>
        <v/>
      </c>
      <c r="AT101" s="39" t="str">
        <f aca="true">IF(C101="","",IF(AP101="","NOT REVIEWED",IF(TODAY()&gt;AS101,"OVERDUE",IF(AS101-TODAY()&lt;=14,"Due Soon","Current"))))</f>
        <v/>
      </c>
      <c r="AU101" s="36"/>
    </row>
    <row r="102" customFormat="false" ht="15" hidden="false" customHeight="false" outlineLevel="0" collapsed="false">
      <c r="A102" s="36"/>
      <c r="B102" s="36"/>
      <c r="C102" s="36"/>
      <c r="D102" s="37"/>
      <c r="E102" s="37"/>
      <c r="F102" s="37"/>
      <c r="G102" s="38"/>
      <c r="H102" s="38"/>
      <c r="I102" s="36"/>
      <c r="J102" s="38"/>
      <c r="K102" s="37"/>
      <c r="L102" s="36"/>
      <c r="M102" s="37"/>
      <c r="N102" s="37"/>
      <c r="O102" s="37"/>
      <c r="P102" s="37"/>
      <c r="Q102" s="36"/>
      <c r="R102" s="39" t="str">
        <f aca="true">IF(H102="","",TODAY()-H102)</f>
        <v/>
      </c>
      <c r="S102" s="39" t="str">
        <f aca="true">IF(J102="","",J102-TODAY())</f>
        <v/>
      </c>
      <c r="T102" s="37"/>
      <c r="U102" s="37"/>
      <c r="V102" s="40" t="str">
        <f aca="false">IFERROR(INDEX('Azure Resource Map'!$D$2:$D$2001,MATCH($C102,'Azure Resource Map'!$A$2:$A$2001,0)),"")</f>
        <v/>
      </c>
      <c r="W102" s="39" t="str">
        <f aca="false">IFERROR(INDEX('Azure Resource Map'!$E$2:$E$2001,MATCH($C102,'Azure Resource Map'!$A$2:$A$2001,0)),"")</f>
        <v/>
      </c>
      <c r="X102" s="39" t="str">
        <f aca="false">IFERROR(INDEX('Azure Resource Map'!$F$2:$F$2001,MATCH($C102,'Azure Resource Map'!$A$2:$A$2001,0)),"")</f>
        <v/>
      </c>
      <c r="Y102" s="39" t="str">
        <f aca="false">IF($C102="","",IF(ISNUMBER(MATCH($C102,'CA Exclusion Map'!$A$2:$A$2001,0)),"Yes","No"))</f>
        <v/>
      </c>
      <c r="Z102" s="39" t="str">
        <f aca="false">IFERROR(INDEX('CA Exclusion Map'!$D$2:$D$2001,MATCH($C102,'CA Exclusion Map'!$A$2:$A$2001,0)),"")</f>
        <v/>
      </c>
      <c r="AA102" s="40" t="str">
        <f aca="false">IFERROR(INDEX('CA Exclusion Map'!$E$2:$E$2001,MATCH($C102,'CA Exclusion Map'!$A$2:$A$2001,0)),"")</f>
        <v/>
      </c>
      <c r="AB102" s="40" t="str">
        <f aca="false">IFERROR(INDEX('CA Exclusion Map'!$F$2:$F$2001,MATCH($C102,'CA Exclusion Map'!$A$2:$A$2001,0)),"")</f>
        <v/>
      </c>
      <c r="AC102" s="36"/>
      <c r="AD102" s="37"/>
      <c r="AE102" s="38"/>
      <c r="AF102" s="38"/>
      <c r="AG102" s="39" t="str">
        <f aca="true">IF(Y102="","",IF(Y102&lt;&gt;"Yes","N/A",IF(AF102="","NO EXPIRY SET",IF(TODAY()&gt;AF102,"EXPIRED",IF(AF102-TODAY()&lt;=30,"Expiring Soon","Active")))))</f>
        <v/>
      </c>
      <c r="AH102" s="36"/>
      <c r="AI102" s="36"/>
      <c r="AJ102" s="37"/>
      <c r="AK102" s="36"/>
      <c r="AL102" s="37"/>
      <c r="AM102" s="37"/>
      <c r="AN102" s="37"/>
      <c r="AO102" s="37"/>
      <c r="AP102" s="38"/>
      <c r="AQ102" s="37"/>
      <c r="AR102" s="37"/>
      <c r="AS102" s="41" t="str">
        <f aca="false">IF(AP102="","",AP102+90)</f>
        <v/>
      </c>
      <c r="AT102" s="39" t="str">
        <f aca="true">IF(C102="","",IF(AP102="","NOT REVIEWED",IF(TODAY()&gt;AS102,"OVERDUE",IF(AS102-TODAY()&lt;=14,"Due Soon","Current"))))</f>
        <v/>
      </c>
      <c r="AU102" s="36"/>
    </row>
    <row r="103" customFormat="false" ht="15" hidden="false" customHeight="false" outlineLevel="0" collapsed="false">
      <c r="A103" s="36"/>
      <c r="B103" s="36"/>
      <c r="C103" s="36"/>
      <c r="D103" s="37"/>
      <c r="E103" s="37"/>
      <c r="F103" s="37"/>
      <c r="G103" s="38"/>
      <c r="H103" s="38"/>
      <c r="I103" s="36"/>
      <c r="J103" s="38"/>
      <c r="K103" s="37"/>
      <c r="L103" s="36"/>
      <c r="M103" s="37"/>
      <c r="N103" s="37"/>
      <c r="O103" s="37"/>
      <c r="P103" s="37"/>
      <c r="Q103" s="36"/>
      <c r="R103" s="39" t="str">
        <f aca="true">IF(H103="","",TODAY()-H103)</f>
        <v/>
      </c>
      <c r="S103" s="39" t="str">
        <f aca="true">IF(J103="","",J103-TODAY())</f>
        <v/>
      </c>
      <c r="T103" s="37"/>
      <c r="U103" s="37"/>
      <c r="V103" s="40" t="str">
        <f aca="false">IFERROR(INDEX('Azure Resource Map'!$D$2:$D$2001,MATCH($C103,'Azure Resource Map'!$A$2:$A$2001,0)),"")</f>
        <v/>
      </c>
      <c r="W103" s="39" t="str">
        <f aca="false">IFERROR(INDEX('Azure Resource Map'!$E$2:$E$2001,MATCH($C103,'Azure Resource Map'!$A$2:$A$2001,0)),"")</f>
        <v/>
      </c>
      <c r="X103" s="39" t="str">
        <f aca="false">IFERROR(INDEX('Azure Resource Map'!$F$2:$F$2001,MATCH($C103,'Azure Resource Map'!$A$2:$A$2001,0)),"")</f>
        <v/>
      </c>
      <c r="Y103" s="39" t="str">
        <f aca="false">IF($C103="","",IF(ISNUMBER(MATCH($C103,'CA Exclusion Map'!$A$2:$A$2001,0)),"Yes","No"))</f>
        <v/>
      </c>
      <c r="Z103" s="39" t="str">
        <f aca="false">IFERROR(INDEX('CA Exclusion Map'!$D$2:$D$2001,MATCH($C103,'CA Exclusion Map'!$A$2:$A$2001,0)),"")</f>
        <v/>
      </c>
      <c r="AA103" s="40" t="str">
        <f aca="false">IFERROR(INDEX('CA Exclusion Map'!$E$2:$E$2001,MATCH($C103,'CA Exclusion Map'!$A$2:$A$2001,0)),"")</f>
        <v/>
      </c>
      <c r="AB103" s="40" t="str">
        <f aca="false">IFERROR(INDEX('CA Exclusion Map'!$F$2:$F$2001,MATCH($C103,'CA Exclusion Map'!$A$2:$A$2001,0)),"")</f>
        <v/>
      </c>
      <c r="AC103" s="36"/>
      <c r="AD103" s="37"/>
      <c r="AE103" s="38"/>
      <c r="AF103" s="38"/>
      <c r="AG103" s="39" t="str">
        <f aca="true">IF(Y103="","",IF(Y103&lt;&gt;"Yes","N/A",IF(AF103="","NO EXPIRY SET",IF(TODAY()&gt;AF103,"EXPIRED",IF(AF103-TODAY()&lt;=30,"Expiring Soon","Active")))))</f>
        <v/>
      </c>
      <c r="AH103" s="36"/>
      <c r="AI103" s="36"/>
      <c r="AJ103" s="37"/>
      <c r="AK103" s="36"/>
      <c r="AL103" s="37"/>
      <c r="AM103" s="37"/>
      <c r="AN103" s="37"/>
      <c r="AO103" s="37"/>
      <c r="AP103" s="38"/>
      <c r="AQ103" s="37"/>
      <c r="AR103" s="37"/>
      <c r="AS103" s="41" t="str">
        <f aca="false">IF(AP103="","",AP103+90)</f>
        <v/>
      </c>
      <c r="AT103" s="39" t="str">
        <f aca="true">IF(C103="","",IF(AP103="","NOT REVIEWED",IF(TODAY()&gt;AS103,"OVERDUE",IF(AS103-TODAY()&lt;=14,"Due Soon","Current"))))</f>
        <v/>
      </c>
      <c r="AU103" s="36"/>
    </row>
    <row r="104" customFormat="false" ht="15" hidden="false" customHeight="false" outlineLevel="0" collapsed="false">
      <c r="A104" s="36"/>
      <c r="B104" s="36"/>
      <c r="C104" s="36"/>
      <c r="D104" s="37"/>
      <c r="E104" s="37"/>
      <c r="F104" s="37"/>
      <c r="G104" s="38"/>
      <c r="H104" s="38"/>
      <c r="I104" s="36"/>
      <c r="J104" s="38"/>
      <c r="K104" s="37"/>
      <c r="L104" s="36"/>
      <c r="M104" s="37"/>
      <c r="N104" s="37"/>
      <c r="O104" s="37"/>
      <c r="P104" s="37"/>
      <c r="Q104" s="36"/>
      <c r="R104" s="39" t="str">
        <f aca="true">IF(H104="","",TODAY()-H104)</f>
        <v/>
      </c>
      <c r="S104" s="39" t="str">
        <f aca="true">IF(J104="","",J104-TODAY())</f>
        <v/>
      </c>
      <c r="T104" s="37"/>
      <c r="U104" s="37"/>
      <c r="V104" s="40" t="str">
        <f aca="false">IFERROR(INDEX('Azure Resource Map'!$D$2:$D$2001,MATCH($C104,'Azure Resource Map'!$A$2:$A$2001,0)),"")</f>
        <v/>
      </c>
      <c r="W104" s="39" t="str">
        <f aca="false">IFERROR(INDEX('Azure Resource Map'!$E$2:$E$2001,MATCH($C104,'Azure Resource Map'!$A$2:$A$2001,0)),"")</f>
        <v/>
      </c>
      <c r="X104" s="39" t="str">
        <f aca="false">IFERROR(INDEX('Azure Resource Map'!$F$2:$F$2001,MATCH($C104,'Azure Resource Map'!$A$2:$A$2001,0)),"")</f>
        <v/>
      </c>
      <c r="Y104" s="39" t="str">
        <f aca="false">IF($C104="","",IF(ISNUMBER(MATCH($C104,'CA Exclusion Map'!$A$2:$A$2001,0)),"Yes","No"))</f>
        <v/>
      </c>
      <c r="Z104" s="39" t="str">
        <f aca="false">IFERROR(INDEX('CA Exclusion Map'!$D$2:$D$2001,MATCH($C104,'CA Exclusion Map'!$A$2:$A$2001,0)),"")</f>
        <v/>
      </c>
      <c r="AA104" s="40" t="str">
        <f aca="false">IFERROR(INDEX('CA Exclusion Map'!$E$2:$E$2001,MATCH($C104,'CA Exclusion Map'!$A$2:$A$2001,0)),"")</f>
        <v/>
      </c>
      <c r="AB104" s="40" t="str">
        <f aca="false">IFERROR(INDEX('CA Exclusion Map'!$F$2:$F$2001,MATCH($C104,'CA Exclusion Map'!$A$2:$A$2001,0)),"")</f>
        <v/>
      </c>
      <c r="AC104" s="36"/>
      <c r="AD104" s="37"/>
      <c r="AE104" s="38"/>
      <c r="AF104" s="38"/>
      <c r="AG104" s="39" t="str">
        <f aca="true">IF(Y104="","",IF(Y104&lt;&gt;"Yes","N/A",IF(AF104="","NO EXPIRY SET",IF(TODAY()&gt;AF104,"EXPIRED",IF(AF104-TODAY()&lt;=30,"Expiring Soon","Active")))))</f>
        <v/>
      </c>
      <c r="AH104" s="36"/>
      <c r="AI104" s="36"/>
      <c r="AJ104" s="37"/>
      <c r="AK104" s="36"/>
      <c r="AL104" s="37"/>
      <c r="AM104" s="37"/>
      <c r="AN104" s="37"/>
      <c r="AO104" s="37"/>
      <c r="AP104" s="38"/>
      <c r="AQ104" s="37"/>
      <c r="AR104" s="37"/>
      <c r="AS104" s="41" t="str">
        <f aca="false">IF(AP104="","",AP104+90)</f>
        <v/>
      </c>
      <c r="AT104" s="39" t="str">
        <f aca="true">IF(C104="","",IF(AP104="","NOT REVIEWED",IF(TODAY()&gt;AS104,"OVERDUE",IF(AS104-TODAY()&lt;=14,"Due Soon","Current"))))</f>
        <v/>
      </c>
      <c r="AU104" s="36"/>
    </row>
    <row r="105" customFormat="false" ht="15" hidden="false" customHeight="false" outlineLevel="0" collapsed="false">
      <c r="A105" s="36"/>
      <c r="B105" s="36"/>
      <c r="C105" s="36"/>
      <c r="D105" s="37"/>
      <c r="E105" s="37"/>
      <c r="F105" s="37"/>
      <c r="G105" s="38"/>
      <c r="H105" s="38"/>
      <c r="I105" s="36"/>
      <c r="J105" s="38"/>
      <c r="K105" s="37"/>
      <c r="L105" s="36"/>
      <c r="M105" s="37"/>
      <c r="N105" s="37"/>
      <c r="O105" s="37"/>
      <c r="P105" s="37"/>
      <c r="Q105" s="36"/>
      <c r="R105" s="39" t="str">
        <f aca="true">IF(H105="","",TODAY()-H105)</f>
        <v/>
      </c>
      <c r="S105" s="39" t="str">
        <f aca="true">IF(J105="","",J105-TODAY())</f>
        <v/>
      </c>
      <c r="T105" s="37"/>
      <c r="U105" s="37"/>
      <c r="V105" s="40" t="str">
        <f aca="false">IFERROR(INDEX('Azure Resource Map'!$D$2:$D$2001,MATCH($C105,'Azure Resource Map'!$A$2:$A$2001,0)),"")</f>
        <v/>
      </c>
      <c r="W105" s="39" t="str">
        <f aca="false">IFERROR(INDEX('Azure Resource Map'!$E$2:$E$2001,MATCH($C105,'Azure Resource Map'!$A$2:$A$2001,0)),"")</f>
        <v/>
      </c>
      <c r="X105" s="39" t="str">
        <f aca="false">IFERROR(INDEX('Azure Resource Map'!$F$2:$F$2001,MATCH($C105,'Azure Resource Map'!$A$2:$A$2001,0)),"")</f>
        <v/>
      </c>
      <c r="Y105" s="39" t="str">
        <f aca="false">IF($C105="","",IF(ISNUMBER(MATCH($C105,'CA Exclusion Map'!$A$2:$A$2001,0)),"Yes","No"))</f>
        <v/>
      </c>
      <c r="Z105" s="39" t="str">
        <f aca="false">IFERROR(INDEX('CA Exclusion Map'!$D$2:$D$2001,MATCH($C105,'CA Exclusion Map'!$A$2:$A$2001,0)),"")</f>
        <v/>
      </c>
      <c r="AA105" s="40" t="str">
        <f aca="false">IFERROR(INDEX('CA Exclusion Map'!$E$2:$E$2001,MATCH($C105,'CA Exclusion Map'!$A$2:$A$2001,0)),"")</f>
        <v/>
      </c>
      <c r="AB105" s="40" t="str">
        <f aca="false">IFERROR(INDEX('CA Exclusion Map'!$F$2:$F$2001,MATCH($C105,'CA Exclusion Map'!$A$2:$A$2001,0)),"")</f>
        <v/>
      </c>
      <c r="AC105" s="36"/>
      <c r="AD105" s="37"/>
      <c r="AE105" s="38"/>
      <c r="AF105" s="38"/>
      <c r="AG105" s="39" t="str">
        <f aca="true">IF(Y105="","",IF(Y105&lt;&gt;"Yes","N/A",IF(AF105="","NO EXPIRY SET",IF(TODAY()&gt;AF105,"EXPIRED",IF(AF105-TODAY()&lt;=30,"Expiring Soon","Active")))))</f>
        <v/>
      </c>
      <c r="AH105" s="36"/>
      <c r="AI105" s="36"/>
      <c r="AJ105" s="37"/>
      <c r="AK105" s="36"/>
      <c r="AL105" s="37"/>
      <c r="AM105" s="37"/>
      <c r="AN105" s="37"/>
      <c r="AO105" s="37"/>
      <c r="AP105" s="38"/>
      <c r="AQ105" s="37"/>
      <c r="AR105" s="37"/>
      <c r="AS105" s="41" t="str">
        <f aca="false">IF(AP105="","",AP105+90)</f>
        <v/>
      </c>
      <c r="AT105" s="39" t="str">
        <f aca="true">IF(C105="","",IF(AP105="","NOT REVIEWED",IF(TODAY()&gt;AS105,"OVERDUE",IF(AS105-TODAY()&lt;=14,"Due Soon","Current"))))</f>
        <v/>
      </c>
      <c r="AU105" s="36"/>
    </row>
    <row r="106" customFormat="false" ht="15" hidden="false" customHeight="false" outlineLevel="0" collapsed="false">
      <c r="A106" s="36"/>
      <c r="B106" s="36"/>
      <c r="C106" s="36"/>
      <c r="D106" s="37"/>
      <c r="E106" s="37"/>
      <c r="F106" s="37"/>
      <c r="G106" s="38"/>
      <c r="H106" s="38"/>
      <c r="I106" s="36"/>
      <c r="J106" s="38"/>
      <c r="K106" s="37"/>
      <c r="L106" s="36"/>
      <c r="M106" s="37"/>
      <c r="N106" s="37"/>
      <c r="O106" s="37"/>
      <c r="P106" s="37"/>
      <c r="Q106" s="36"/>
      <c r="R106" s="39" t="str">
        <f aca="true">IF(H106="","",TODAY()-H106)</f>
        <v/>
      </c>
      <c r="S106" s="39" t="str">
        <f aca="true">IF(J106="","",J106-TODAY())</f>
        <v/>
      </c>
      <c r="T106" s="37"/>
      <c r="U106" s="37"/>
      <c r="V106" s="40" t="str">
        <f aca="false">IFERROR(INDEX('Azure Resource Map'!$D$2:$D$2001,MATCH($C106,'Azure Resource Map'!$A$2:$A$2001,0)),"")</f>
        <v/>
      </c>
      <c r="W106" s="39" t="str">
        <f aca="false">IFERROR(INDEX('Azure Resource Map'!$E$2:$E$2001,MATCH($C106,'Azure Resource Map'!$A$2:$A$2001,0)),"")</f>
        <v/>
      </c>
      <c r="X106" s="39" t="str">
        <f aca="false">IFERROR(INDEX('Azure Resource Map'!$F$2:$F$2001,MATCH($C106,'Azure Resource Map'!$A$2:$A$2001,0)),"")</f>
        <v/>
      </c>
      <c r="Y106" s="39" t="str">
        <f aca="false">IF($C106="","",IF(ISNUMBER(MATCH($C106,'CA Exclusion Map'!$A$2:$A$2001,0)),"Yes","No"))</f>
        <v/>
      </c>
      <c r="Z106" s="39" t="str">
        <f aca="false">IFERROR(INDEX('CA Exclusion Map'!$D$2:$D$2001,MATCH($C106,'CA Exclusion Map'!$A$2:$A$2001,0)),"")</f>
        <v/>
      </c>
      <c r="AA106" s="40" t="str">
        <f aca="false">IFERROR(INDEX('CA Exclusion Map'!$E$2:$E$2001,MATCH($C106,'CA Exclusion Map'!$A$2:$A$2001,0)),"")</f>
        <v/>
      </c>
      <c r="AB106" s="40" t="str">
        <f aca="false">IFERROR(INDEX('CA Exclusion Map'!$F$2:$F$2001,MATCH($C106,'CA Exclusion Map'!$A$2:$A$2001,0)),"")</f>
        <v/>
      </c>
      <c r="AC106" s="36"/>
      <c r="AD106" s="37"/>
      <c r="AE106" s="38"/>
      <c r="AF106" s="38"/>
      <c r="AG106" s="39" t="str">
        <f aca="true">IF(Y106="","",IF(Y106&lt;&gt;"Yes","N/A",IF(AF106="","NO EXPIRY SET",IF(TODAY()&gt;AF106,"EXPIRED",IF(AF106-TODAY()&lt;=30,"Expiring Soon","Active")))))</f>
        <v/>
      </c>
      <c r="AH106" s="36"/>
      <c r="AI106" s="36"/>
      <c r="AJ106" s="37"/>
      <c r="AK106" s="36"/>
      <c r="AL106" s="37"/>
      <c r="AM106" s="37"/>
      <c r="AN106" s="37"/>
      <c r="AO106" s="37"/>
      <c r="AP106" s="38"/>
      <c r="AQ106" s="37"/>
      <c r="AR106" s="37"/>
      <c r="AS106" s="41" t="str">
        <f aca="false">IF(AP106="","",AP106+90)</f>
        <v/>
      </c>
      <c r="AT106" s="39" t="str">
        <f aca="true">IF(C106="","",IF(AP106="","NOT REVIEWED",IF(TODAY()&gt;AS106,"OVERDUE",IF(AS106-TODAY()&lt;=14,"Due Soon","Current"))))</f>
        <v/>
      </c>
      <c r="AU106" s="36"/>
    </row>
    <row r="107" customFormat="false" ht="15" hidden="false" customHeight="false" outlineLevel="0" collapsed="false">
      <c r="A107" s="36"/>
      <c r="B107" s="36"/>
      <c r="C107" s="36"/>
      <c r="D107" s="37"/>
      <c r="E107" s="37"/>
      <c r="F107" s="37"/>
      <c r="G107" s="38"/>
      <c r="H107" s="38"/>
      <c r="I107" s="36"/>
      <c r="J107" s="38"/>
      <c r="K107" s="37"/>
      <c r="L107" s="36"/>
      <c r="M107" s="37"/>
      <c r="N107" s="37"/>
      <c r="O107" s="37"/>
      <c r="P107" s="37"/>
      <c r="Q107" s="36"/>
      <c r="R107" s="39" t="str">
        <f aca="true">IF(H107="","",TODAY()-H107)</f>
        <v/>
      </c>
      <c r="S107" s="39" t="str">
        <f aca="true">IF(J107="","",J107-TODAY())</f>
        <v/>
      </c>
      <c r="T107" s="37"/>
      <c r="U107" s="37"/>
      <c r="V107" s="40" t="str">
        <f aca="false">IFERROR(INDEX('Azure Resource Map'!$D$2:$D$2001,MATCH($C107,'Azure Resource Map'!$A$2:$A$2001,0)),"")</f>
        <v/>
      </c>
      <c r="W107" s="39" t="str">
        <f aca="false">IFERROR(INDEX('Azure Resource Map'!$E$2:$E$2001,MATCH($C107,'Azure Resource Map'!$A$2:$A$2001,0)),"")</f>
        <v/>
      </c>
      <c r="X107" s="39" t="str">
        <f aca="false">IFERROR(INDEX('Azure Resource Map'!$F$2:$F$2001,MATCH($C107,'Azure Resource Map'!$A$2:$A$2001,0)),"")</f>
        <v/>
      </c>
      <c r="Y107" s="39" t="str">
        <f aca="false">IF($C107="","",IF(ISNUMBER(MATCH($C107,'CA Exclusion Map'!$A$2:$A$2001,0)),"Yes","No"))</f>
        <v/>
      </c>
      <c r="Z107" s="39" t="str">
        <f aca="false">IFERROR(INDEX('CA Exclusion Map'!$D$2:$D$2001,MATCH($C107,'CA Exclusion Map'!$A$2:$A$2001,0)),"")</f>
        <v/>
      </c>
      <c r="AA107" s="40" t="str">
        <f aca="false">IFERROR(INDEX('CA Exclusion Map'!$E$2:$E$2001,MATCH($C107,'CA Exclusion Map'!$A$2:$A$2001,0)),"")</f>
        <v/>
      </c>
      <c r="AB107" s="40" t="str">
        <f aca="false">IFERROR(INDEX('CA Exclusion Map'!$F$2:$F$2001,MATCH($C107,'CA Exclusion Map'!$A$2:$A$2001,0)),"")</f>
        <v/>
      </c>
      <c r="AC107" s="36"/>
      <c r="AD107" s="37"/>
      <c r="AE107" s="38"/>
      <c r="AF107" s="38"/>
      <c r="AG107" s="39" t="str">
        <f aca="true">IF(Y107="","",IF(Y107&lt;&gt;"Yes","N/A",IF(AF107="","NO EXPIRY SET",IF(TODAY()&gt;AF107,"EXPIRED",IF(AF107-TODAY()&lt;=30,"Expiring Soon","Active")))))</f>
        <v/>
      </c>
      <c r="AH107" s="36"/>
      <c r="AI107" s="36"/>
      <c r="AJ107" s="37"/>
      <c r="AK107" s="36"/>
      <c r="AL107" s="37"/>
      <c r="AM107" s="37"/>
      <c r="AN107" s="37"/>
      <c r="AO107" s="37"/>
      <c r="AP107" s="38"/>
      <c r="AQ107" s="37"/>
      <c r="AR107" s="37"/>
      <c r="AS107" s="41" t="str">
        <f aca="false">IF(AP107="","",AP107+90)</f>
        <v/>
      </c>
      <c r="AT107" s="39" t="str">
        <f aca="true">IF(C107="","",IF(AP107="","NOT REVIEWED",IF(TODAY()&gt;AS107,"OVERDUE",IF(AS107-TODAY()&lt;=14,"Due Soon","Current"))))</f>
        <v/>
      </c>
      <c r="AU107" s="36"/>
    </row>
    <row r="108" customFormat="false" ht="15" hidden="false" customHeight="false" outlineLevel="0" collapsed="false">
      <c r="A108" s="36"/>
      <c r="B108" s="36"/>
      <c r="C108" s="36"/>
      <c r="D108" s="37"/>
      <c r="E108" s="37"/>
      <c r="F108" s="37"/>
      <c r="G108" s="38"/>
      <c r="H108" s="38"/>
      <c r="I108" s="36"/>
      <c r="J108" s="38"/>
      <c r="K108" s="37"/>
      <c r="L108" s="36"/>
      <c r="M108" s="37"/>
      <c r="N108" s="37"/>
      <c r="O108" s="37"/>
      <c r="P108" s="37"/>
      <c r="Q108" s="36"/>
      <c r="R108" s="39" t="str">
        <f aca="true">IF(H108="","",TODAY()-H108)</f>
        <v/>
      </c>
      <c r="S108" s="39" t="str">
        <f aca="true">IF(J108="","",J108-TODAY())</f>
        <v/>
      </c>
      <c r="T108" s="37"/>
      <c r="U108" s="37"/>
      <c r="V108" s="40" t="str">
        <f aca="false">IFERROR(INDEX('Azure Resource Map'!$D$2:$D$2001,MATCH($C108,'Azure Resource Map'!$A$2:$A$2001,0)),"")</f>
        <v/>
      </c>
      <c r="W108" s="39" t="str">
        <f aca="false">IFERROR(INDEX('Azure Resource Map'!$E$2:$E$2001,MATCH($C108,'Azure Resource Map'!$A$2:$A$2001,0)),"")</f>
        <v/>
      </c>
      <c r="X108" s="39" t="str">
        <f aca="false">IFERROR(INDEX('Azure Resource Map'!$F$2:$F$2001,MATCH($C108,'Azure Resource Map'!$A$2:$A$2001,0)),"")</f>
        <v/>
      </c>
      <c r="Y108" s="39" t="str">
        <f aca="false">IF($C108="","",IF(ISNUMBER(MATCH($C108,'CA Exclusion Map'!$A$2:$A$2001,0)),"Yes","No"))</f>
        <v/>
      </c>
      <c r="Z108" s="39" t="str">
        <f aca="false">IFERROR(INDEX('CA Exclusion Map'!$D$2:$D$2001,MATCH($C108,'CA Exclusion Map'!$A$2:$A$2001,0)),"")</f>
        <v/>
      </c>
      <c r="AA108" s="40" t="str">
        <f aca="false">IFERROR(INDEX('CA Exclusion Map'!$E$2:$E$2001,MATCH($C108,'CA Exclusion Map'!$A$2:$A$2001,0)),"")</f>
        <v/>
      </c>
      <c r="AB108" s="40" t="str">
        <f aca="false">IFERROR(INDEX('CA Exclusion Map'!$F$2:$F$2001,MATCH($C108,'CA Exclusion Map'!$A$2:$A$2001,0)),"")</f>
        <v/>
      </c>
      <c r="AC108" s="36"/>
      <c r="AD108" s="37"/>
      <c r="AE108" s="38"/>
      <c r="AF108" s="38"/>
      <c r="AG108" s="39" t="str">
        <f aca="true">IF(Y108="","",IF(Y108&lt;&gt;"Yes","N/A",IF(AF108="","NO EXPIRY SET",IF(TODAY()&gt;AF108,"EXPIRED",IF(AF108-TODAY()&lt;=30,"Expiring Soon","Active")))))</f>
        <v/>
      </c>
      <c r="AH108" s="36"/>
      <c r="AI108" s="36"/>
      <c r="AJ108" s="37"/>
      <c r="AK108" s="36"/>
      <c r="AL108" s="37"/>
      <c r="AM108" s="37"/>
      <c r="AN108" s="37"/>
      <c r="AO108" s="37"/>
      <c r="AP108" s="38"/>
      <c r="AQ108" s="37"/>
      <c r="AR108" s="37"/>
      <c r="AS108" s="41" t="str">
        <f aca="false">IF(AP108="","",AP108+90)</f>
        <v/>
      </c>
      <c r="AT108" s="39" t="str">
        <f aca="true">IF(C108="","",IF(AP108="","NOT REVIEWED",IF(TODAY()&gt;AS108,"OVERDUE",IF(AS108-TODAY()&lt;=14,"Due Soon","Current"))))</f>
        <v/>
      </c>
      <c r="AU108" s="36"/>
    </row>
    <row r="109" customFormat="false" ht="15" hidden="false" customHeight="false" outlineLevel="0" collapsed="false">
      <c r="A109" s="36"/>
      <c r="B109" s="36"/>
      <c r="C109" s="36"/>
      <c r="D109" s="37"/>
      <c r="E109" s="37"/>
      <c r="F109" s="37"/>
      <c r="G109" s="38"/>
      <c r="H109" s="38"/>
      <c r="I109" s="36"/>
      <c r="J109" s="38"/>
      <c r="K109" s="37"/>
      <c r="L109" s="36"/>
      <c r="M109" s="37"/>
      <c r="N109" s="37"/>
      <c r="O109" s="37"/>
      <c r="P109" s="37"/>
      <c r="Q109" s="36"/>
      <c r="R109" s="39" t="str">
        <f aca="true">IF(H109="","",TODAY()-H109)</f>
        <v/>
      </c>
      <c r="S109" s="39" t="str">
        <f aca="true">IF(J109="","",J109-TODAY())</f>
        <v/>
      </c>
      <c r="T109" s="37"/>
      <c r="U109" s="37"/>
      <c r="V109" s="40" t="str">
        <f aca="false">IFERROR(INDEX('Azure Resource Map'!$D$2:$D$2001,MATCH($C109,'Azure Resource Map'!$A$2:$A$2001,0)),"")</f>
        <v/>
      </c>
      <c r="W109" s="39" t="str">
        <f aca="false">IFERROR(INDEX('Azure Resource Map'!$E$2:$E$2001,MATCH($C109,'Azure Resource Map'!$A$2:$A$2001,0)),"")</f>
        <v/>
      </c>
      <c r="X109" s="39" t="str">
        <f aca="false">IFERROR(INDEX('Azure Resource Map'!$F$2:$F$2001,MATCH($C109,'Azure Resource Map'!$A$2:$A$2001,0)),"")</f>
        <v/>
      </c>
      <c r="Y109" s="39" t="str">
        <f aca="false">IF($C109="","",IF(ISNUMBER(MATCH($C109,'CA Exclusion Map'!$A$2:$A$2001,0)),"Yes","No"))</f>
        <v/>
      </c>
      <c r="Z109" s="39" t="str">
        <f aca="false">IFERROR(INDEX('CA Exclusion Map'!$D$2:$D$2001,MATCH($C109,'CA Exclusion Map'!$A$2:$A$2001,0)),"")</f>
        <v/>
      </c>
      <c r="AA109" s="40" t="str">
        <f aca="false">IFERROR(INDEX('CA Exclusion Map'!$E$2:$E$2001,MATCH($C109,'CA Exclusion Map'!$A$2:$A$2001,0)),"")</f>
        <v/>
      </c>
      <c r="AB109" s="40" t="str">
        <f aca="false">IFERROR(INDEX('CA Exclusion Map'!$F$2:$F$2001,MATCH($C109,'CA Exclusion Map'!$A$2:$A$2001,0)),"")</f>
        <v/>
      </c>
      <c r="AC109" s="36"/>
      <c r="AD109" s="37"/>
      <c r="AE109" s="38"/>
      <c r="AF109" s="38"/>
      <c r="AG109" s="39" t="str">
        <f aca="true">IF(Y109="","",IF(Y109&lt;&gt;"Yes","N/A",IF(AF109="","NO EXPIRY SET",IF(TODAY()&gt;AF109,"EXPIRED",IF(AF109-TODAY()&lt;=30,"Expiring Soon","Active")))))</f>
        <v/>
      </c>
      <c r="AH109" s="36"/>
      <c r="AI109" s="36"/>
      <c r="AJ109" s="37"/>
      <c r="AK109" s="36"/>
      <c r="AL109" s="37"/>
      <c r="AM109" s="37"/>
      <c r="AN109" s="37"/>
      <c r="AO109" s="37"/>
      <c r="AP109" s="38"/>
      <c r="AQ109" s="37"/>
      <c r="AR109" s="37"/>
      <c r="AS109" s="41" t="str">
        <f aca="false">IF(AP109="","",AP109+90)</f>
        <v/>
      </c>
      <c r="AT109" s="39" t="str">
        <f aca="true">IF(C109="","",IF(AP109="","NOT REVIEWED",IF(TODAY()&gt;AS109,"OVERDUE",IF(AS109-TODAY()&lt;=14,"Due Soon","Current"))))</f>
        <v/>
      </c>
      <c r="AU109" s="36"/>
    </row>
    <row r="110" customFormat="false" ht="15" hidden="false" customHeight="false" outlineLevel="0" collapsed="false">
      <c r="A110" s="36"/>
      <c r="B110" s="36"/>
      <c r="C110" s="36"/>
      <c r="D110" s="37"/>
      <c r="E110" s="37"/>
      <c r="F110" s="37"/>
      <c r="G110" s="38"/>
      <c r="H110" s="38"/>
      <c r="I110" s="36"/>
      <c r="J110" s="38"/>
      <c r="K110" s="37"/>
      <c r="L110" s="36"/>
      <c r="M110" s="37"/>
      <c r="N110" s="37"/>
      <c r="O110" s="37"/>
      <c r="P110" s="37"/>
      <c r="Q110" s="36"/>
      <c r="R110" s="39" t="str">
        <f aca="true">IF(H110="","",TODAY()-H110)</f>
        <v/>
      </c>
      <c r="S110" s="39" t="str">
        <f aca="true">IF(J110="","",J110-TODAY())</f>
        <v/>
      </c>
      <c r="T110" s="37"/>
      <c r="U110" s="37"/>
      <c r="V110" s="40" t="str">
        <f aca="false">IFERROR(INDEX('Azure Resource Map'!$D$2:$D$2001,MATCH($C110,'Azure Resource Map'!$A$2:$A$2001,0)),"")</f>
        <v/>
      </c>
      <c r="W110" s="39" t="str">
        <f aca="false">IFERROR(INDEX('Azure Resource Map'!$E$2:$E$2001,MATCH($C110,'Azure Resource Map'!$A$2:$A$2001,0)),"")</f>
        <v/>
      </c>
      <c r="X110" s="39" t="str">
        <f aca="false">IFERROR(INDEX('Azure Resource Map'!$F$2:$F$2001,MATCH($C110,'Azure Resource Map'!$A$2:$A$2001,0)),"")</f>
        <v/>
      </c>
      <c r="Y110" s="39" t="str">
        <f aca="false">IF($C110="","",IF(ISNUMBER(MATCH($C110,'CA Exclusion Map'!$A$2:$A$2001,0)),"Yes","No"))</f>
        <v/>
      </c>
      <c r="Z110" s="39" t="str">
        <f aca="false">IFERROR(INDEX('CA Exclusion Map'!$D$2:$D$2001,MATCH($C110,'CA Exclusion Map'!$A$2:$A$2001,0)),"")</f>
        <v/>
      </c>
      <c r="AA110" s="40" t="str">
        <f aca="false">IFERROR(INDEX('CA Exclusion Map'!$E$2:$E$2001,MATCH($C110,'CA Exclusion Map'!$A$2:$A$2001,0)),"")</f>
        <v/>
      </c>
      <c r="AB110" s="40" t="str">
        <f aca="false">IFERROR(INDEX('CA Exclusion Map'!$F$2:$F$2001,MATCH($C110,'CA Exclusion Map'!$A$2:$A$2001,0)),"")</f>
        <v/>
      </c>
      <c r="AC110" s="36"/>
      <c r="AD110" s="37"/>
      <c r="AE110" s="38"/>
      <c r="AF110" s="38"/>
      <c r="AG110" s="39" t="str">
        <f aca="true">IF(Y110="","",IF(Y110&lt;&gt;"Yes","N/A",IF(AF110="","NO EXPIRY SET",IF(TODAY()&gt;AF110,"EXPIRED",IF(AF110-TODAY()&lt;=30,"Expiring Soon","Active")))))</f>
        <v/>
      </c>
      <c r="AH110" s="36"/>
      <c r="AI110" s="36"/>
      <c r="AJ110" s="37"/>
      <c r="AK110" s="36"/>
      <c r="AL110" s="37"/>
      <c r="AM110" s="37"/>
      <c r="AN110" s="37"/>
      <c r="AO110" s="37"/>
      <c r="AP110" s="38"/>
      <c r="AQ110" s="37"/>
      <c r="AR110" s="37"/>
      <c r="AS110" s="41" t="str">
        <f aca="false">IF(AP110="","",AP110+90)</f>
        <v/>
      </c>
      <c r="AT110" s="39" t="str">
        <f aca="true">IF(C110="","",IF(AP110="","NOT REVIEWED",IF(TODAY()&gt;AS110,"OVERDUE",IF(AS110-TODAY()&lt;=14,"Due Soon","Current"))))</f>
        <v/>
      </c>
      <c r="AU110" s="36"/>
    </row>
    <row r="111" customFormat="false" ht="15" hidden="false" customHeight="false" outlineLevel="0" collapsed="false">
      <c r="A111" s="36"/>
      <c r="B111" s="36"/>
      <c r="C111" s="36"/>
      <c r="D111" s="37"/>
      <c r="E111" s="37"/>
      <c r="F111" s="37"/>
      <c r="G111" s="38"/>
      <c r="H111" s="38"/>
      <c r="I111" s="36"/>
      <c r="J111" s="38"/>
      <c r="K111" s="37"/>
      <c r="L111" s="36"/>
      <c r="M111" s="37"/>
      <c r="N111" s="37"/>
      <c r="O111" s="37"/>
      <c r="P111" s="37"/>
      <c r="Q111" s="36"/>
      <c r="R111" s="39" t="str">
        <f aca="true">IF(H111="","",TODAY()-H111)</f>
        <v/>
      </c>
      <c r="S111" s="39" t="str">
        <f aca="true">IF(J111="","",J111-TODAY())</f>
        <v/>
      </c>
      <c r="T111" s="37"/>
      <c r="U111" s="37"/>
      <c r="V111" s="40" t="str">
        <f aca="false">IFERROR(INDEX('Azure Resource Map'!$D$2:$D$2001,MATCH($C111,'Azure Resource Map'!$A$2:$A$2001,0)),"")</f>
        <v/>
      </c>
      <c r="W111" s="39" t="str">
        <f aca="false">IFERROR(INDEX('Azure Resource Map'!$E$2:$E$2001,MATCH($C111,'Azure Resource Map'!$A$2:$A$2001,0)),"")</f>
        <v/>
      </c>
      <c r="X111" s="39" t="str">
        <f aca="false">IFERROR(INDEX('Azure Resource Map'!$F$2:$F$2001,MATCH($C111,'Azure Resource Map'!$A$2:$A$2001,0)),"")</f>
        <v/>
      </c>
      <c r="Y111" s="39" t="str">
        <f aca="false">IF($C111="","",IF(ISNUMBER(MATCH($C111,'CA Exclusion Map'!$A$2:$A$2001,0)),"Yes","No"))</f>
        <v/>
      </c>
      <c r="Z111" s="39" t="str">
        <f aca="false">IFERROR(INDEX('CA Exclusion Map'!$D$2:$D$2001,MATCH($C111,'CA Exclusion Map'!$A$2:$A$2001,0)),"")</f>
        <v/>
      </c>
      <c r="AA111" s="40" t="str">
        <f aca="false">IFERROR(INDEX('CA Exclusion Map'!$E$2:$E$2001,MATCH($C111,'CA Exclusion Map'!$A$2:$A$2001,0)),"")</f>
        <v/>
      </c>
      <c r="AB111" s="40" t="str">
        <f aca="false">IFERROR(INDEX('CA Exclusion Map'!$F$2:$F$2001,MATCH($C111,'CA Exclusion Map'!$A$2:$A$2001,0)),"")</f>
        <v/>
      </c>
      <c r="AC111" s="36"/>
      <c r="AD111" s="37"/>
      <c r="AE111" s="38"/>
      <c r="AF111" s="38"/>
      <c r="AG111" s="39" t="str">
        <f aca="true">IF(Y111="","",IF(Y111&lt;&gt;"Yes","N/A",IF(AF111="","NO EXPIRY SET",IF(TODAY()&gt;AF111,"EXPIRED",IF(AF111-TODAY()&lt;=30,"Expiring Soon","Active")))))</f>
        <v/>
      </c>
      <c r="AH111" s="36"/>
      <c r="AI111" s="36"/>
      <c r="AJ111" s="37"/>
      <c r="AK111" s="36"/>
      <c r="AL111" s="37"/>
      <c r="AM111" s="37"/>
      <c r="AN111" s="37"/>
      <c r="AO111" s="37"/>
      <c r="AP111" s="38"/>
      <c r="AQ111" s="37"/>
      <c r="AR111" s="37"/>
      <c r="AS111" s="41" t="str">
        <f aca="false">IF(AP111="","",AP111+90)</f>
        <v/>
      </c>
      <c r="AT111" s="39" t="str">
        <f aca="true">IF(C111="","",IF(AP111="","NOT REVIEWED",IF(TODAY()&gt;AS111,"OVERDUE",IF(AS111-TODAY()&lt;=14,"Due Soon","Current"))))</f>
        <v/>
      </c>
      <c r="AU111" s="36"/>
    </row>
    <row r="112" customFormat="false" ht="15" hidden="false" customHeight="false" outlineLevel="0" collapsed="false">
      <c r="A112" s="36"/>
      <c r="B112" s="36"/>
      <c r="C112" s="36"/>
      <c r="D112" s="37"/>
      <c r="E112" s="37"/>
      <c r="F112" s="37"/>
      <c r="G112" s="38"/>
      <c r="H112" s="38"/>
      <c r="I112" s="36"/>
      <c r="J112" s="38"/>
      <c r="K112" s="37"/>
      <c r="L112" s="36"/>
      <c r="M112" s="37"/>
      <c r="N112" s="37"/>
      <c r="O112" s="37"/>
      <c r="P112" s="37"/>
      <c r="Q112" s="36"/>
      <c r="R112" s="39" t="str">
        <f aca="true">IF(H112="","",TODAY()-H112)</f>
        <v/>
      </c>
      <c r="S112" s="39" t="str">
        <f aca="true">IF(J112="","",J112-TODAY())</f>
        <v/>
      </c>
      <c r="T112" s="37"/>
      <c r="U112" s="37"/>
      <c r="V112" s="40" t="str">
        <f aca="false">IFERROR(INDEX('Azure Resource Map'!$D$2:$D$2001,MATCH($C112,'Azure Resource Map'!$A$2:$A$2001,0)),"")</f>
        <v/>
      </c>
      <c r="W112" s="39" t="str">
        <f aca="false">IFERROR(INDEX('Azure Resource Map'!$E$2:$E$2001,MATCH($C112,'Azure Resource Map'!$A$2:$A$2001,0)),"")</f>
        <v/>
      </c>
      <c r="X112" s="39" t="str">
        <f aca="false">IFERROR(INDEX('Azure Resource Map'!$F$2:$F$2001,MATCH($C112,'Azure Resource Map'!$A$2:$A$2001,0)),"")</f>
        <v/>
      </c>
      <c r="Y112" s="39" t="str">
        <f aca="false">IF($C112="","",IF(ISNUMBER(MATCH($C112,'CA Exclusion Map'!$A$2:$A$2001,0)),"Yes","No"))</f>
        <v/>
      </c>
      <c r="Z112" s="39" t="str">
        <f aca="false">IFERROR(INDEX('CA Exclusion Map'!$D$2:$D$2001,MATCH($C112,'CA Exclusion Map'!$A$2:$A$2001,0)),"")</f>
        <v/>
      </c>
      <c r="AA112" s="40" t="str">
        <f aca="false">IFERROR(INDEX('CA Exclusion Map'!$E$2:$E$2001,MATCH($C112,'CA Exclusion Map'!$A$2:$A$2001,0)),"")</f>
        <v/>
      </c>
      <c r="AB112" s="40" t="str">
        <f aca="false">IFERROR(INDEX('CA Exclusion Map'!$F$2:$F$2001,MATCH($C112,'CA Exclusion Map'!$A$2:$A$2001,0)),"")</f>
        <v/>
      </c>
      <c r="AC112" s="36"/>
      <c r="AD112" s="37"/>
      <c r="AE112" s="38"/>
      <c r="AF112" s="38"/>
      <c r="AG112" s="39" t="str">
        <f aca="true">IF(Y112="","",IF(Y112&lt;&gt;"Yes","N/A",IF(AF112="","NO EXPIRY SET",IF(TODAY()&gt;AF112,"EXPIRED",IF(AF112-TODAY()&lt;=30,"Expiring Soon","Active")))))</f>
        <v/>
      </c>
      <c r="AH112" s="36"/>
      <c r="AI112" s="36"/>
      <c r="AJ112" s="37"/>
      <c r="AK112" s="36"/>
      <c r="AL112" s="37"/>
      <c r="AM112" s="37"/>
      <c r="AN112" s="37"/>
      <c r="AO112" s="37"/>
      <c r="AP112" s="38"/>
      <c r="AQ112" s="37"/>
      <c r="AR112" s="37"/>
      <c r="AS112" s="41" t="str">
        <f aca="false">IF(AP112="","",AP112+90)</f>
        <v/>
      </c>
      <c r="AT112" s="39" t="str">
        <f aca="true">IF(C112="","",IF(AP112="","NOT REVIEWED",IF(TODAY()&gt;AS112,"OVERDUE",IF(AS112-TODAY()&lt;=14,"Due Soon","Current"))))</f>
        <v/>
      </c>
      <c r="AU112" s="36"/>
    </row>
    <row r="113" customFormat="false" ht="15" hidden="false" customHeight="false" outlineLevel="0" collapsed="false">
      <c r="A113" s="36"/>
      <c r="B113" s="36"/>
      <c r="C113" s="36"/>
      <c r="D113" s="37"/>
      <c r="E113" s="37"/>
      <c r="F113" s="37"/>
      <c r="G113" s="38"/>
      <c r="H113" s="38"/>
      <c r="I113" s="36"/>
      <c r="J113" s="38"/>
      <c r="K113" s="37"/>
      <c r="L113" s="36"/>
      <c r="M113" s="37"/>
      <c r="N113" s="37"/>
      <c r="O113" s="37"/>
      <c r="P113" s="37"/>
      <c r="Q113" s="36"/>
      <c r="R113" s="39" t="str">
        <f aca="true">IF(H113="","",TODAY()-H113)</f>
        <v/>
      </c>
      <c r="S113" s="39" t="str">
        <f aca="true">IF(J113="","",J113-TODAY())</f>
        <v/>
      </c>
      <c r="T113" s="37"/>
      <c r="U113" s="37"/>
      <c r="V113" s="40" t="str">
        <f aca="false">IFERROR(INDEX('Azure Resource Map'!$D$2:$D$2001,MATCH($C113,'Azure Resource Map'!$A$2:$A$2001,0)),"")</f>
        <v/>
      </c>
      <c r="W113" s="39" t="str">
        <f aca="false">IFERROR(INDEX('Azure Resource Map'!$E$2:$E$2001,MATCH($C113,'Azure Resource Map'!$A$2:$A$2001,0)),"")</f>
        <v/>
      </c>
      <c r="X113" s="39" t="str">
        <f aca="false">IFERROR(INDEX('Azure Resource Map'!$F$2:$F$2001,MATCH($C113,'Azure Resource Map'!$A$2:$A$2001,0)),"")</f>
        <v/>
      </c>
      <c r="Y113" s="39" t="str">
        <f aca="false">IF($C113="","",IF(ISNUMBER(MATCH($C113,'CA Exclusion Map'!$A$2:$A$2001,0)),"Yes","No"))</f>
        <v/>
      </c>
      <c r="Z113" s="39" t="str">
        <f aca="false">IFERROR(INDEX('CA Exclusion Map'!$D$2:$D$2001,MATCH($C113,'CA Exclusion Map'!$A$2:$A$2001,0)),"")</f>
        <v/>
      </c>
      <c r="AA113" s="40" t="str">
        <f aca="false">IFERROR(INDEX('CA Exclusion Map'!$E$2:$E$2001,MATCH($C113,'CA Exclusion Map'!$A$2:$A$2001,0)),"")</f>
        <v/>
      </c>
      <c r="AB113" s="40" t="str">
        <f aca="false">IFERROR(INDEX('CA Exclusion Map'!$F$2:$F$2001,MATCH($C113,'CA Exclusion Map'!$A$2:$A$2001,0)),"")</f>
        <v/>
      </c>
      <c r="AC113" s="36"/>
      <c r="AD113" s="37"/>
      <c r="AE113" s="38"/>
      <c r="AF113" s="38"/>
      <c r="AG113" s="39" t="str">
        <f aca="true">IF(Y113="","",IF(Y113&lt;&gt;"Yes","N/A",IF(AF113="","NO EXPIRY SET",IF(TODAY()&gt;AF113,"EXPIRED",IF(AF113-TODAY()&lt;=30,"Expiring Soon","Active")))))</f>
        <v/>
      </c>
      <c r="AH113" s="36"/>
      <c r="AI113" s="36"/>
      <c r="AJ113" s="37"/>
      <c r="AK113" s="36"/>
      <c r="AL113" s="37"/>
      <c r="AM113" s="37"/>
      <c r="AN113" s="37"/>
      <c r="AO113" s="37"/>
      <c r="AP113" s="38"/>
      <c r="AQ113" s="37"/>
      <c r="AR113" s="37"/>
      <c r="AS113" s="41" t="str">
        <f aca="false">IF(AP113="","",AP113+90)</f>
        <v/>
      </c>
      <c r="AT113" s="39" t="str">
        <f aca="true">IF(C113="","",IF(AP113="","NOT REVIEWED",IF(TODAY()&gt;AS113,"OVERDUE",IF(AS113-TODAY()&lt;=14,"Due Soon","Current"))))</f>
        <v/>
      </c>
      <c r="AU113" s="36"/>
    </row>
    <row r="114" customFormat="false" ht="15" hidden="false" customHeight="false" outlineLevel="0" collapsed="false">
      <c r="A114" s="36"/>
      <c r="B114" s="36"/>
      <c r="C114" s="36"/>
      <c r="D114" s="37"/>
      <c r="E114" s="37"/>
      <c r="F114" s="37"/>
      <c r="G114" s="38"/>
      <c r="H114" s="38"/>
      <c r="I114" s="36"/>
      <c r="J114" s="38"/>
      <c r="K114" s="37"/>
      <c r="L114" s="36"/>
      <c r="M114" s="37"/>
      <c r="N114" s="37"/>
      <c r="O114" s="37"/>
      <c r="P114" s="37"/>
      <c r="Q114" s="36"/>
      <c r="R114" s="39" t="str">
        <f aca="true">IF(H114="","",TODAY()-H114)</f>
        <v/>
      </c>
      <c r="S114" s="39" t="str">
        <f aca="true">IF(J114="","",J114-TODAY())</f>
        <v/>
      </c>
      <c r="T114" s="37"/>
      <c r="U114" s="37"/>
      <c r="V114" s="40" t="str">
        <f aca="false">IFERROR(INDEX('Azure Resource Map'!$D$2:$D$2001,MATCH($C114,'Azure Resource Map'!$A$2:$A$2001,0)),"")</f>
        <v/>
      </c>
      <c r="W114" s="39" t="str">
        <f aca="false">IFERROR(INDEX('Azure Resource Map'!$E$2:$E$2001,MATCH($C114,'Azure Resource Map'!$A$2:$A$2001,0)),"")</f>
        <v/>
      </c>
      <c r="X114" s="39" t="str">
        <f aca="false">IFERROR(INDEX('Azure Resource Map'!$F$2:$F$2001,MATCH($C114,'Azure Resource Map'!$A$2:$A$2001,0)),"")</f>
        <v/>
      </c>
      <c r="Y114" s="39" t="str">
        <f aca="false">IF($C114="","",IF(ISNUMBER(MATCH($C114,'CA Exclusion Map'!$A$2:$A$2001,0)),"Yes","No"))</f>
        <v/>
      </c>
      <c r="Z114" s="39" t="str">
        <f aca="false">IFERROR(INDEX('CA Exclusion Map'!$D$2:$D$2001,MATCH($C114,'CA Exclusion Map'!$A$2:$A$2001,0)),"")</f>
        <v/>
      </c>
      <c r="AA114" s="40" t="str">
        <f aca="false">IFERROR(INDEX('CA Exclusion Map'!$E$2:$E$2001,MATCH($C114,'CA Exclusion Map'!$A$2:$A$2001,0)),"")</f>
        <v/>
      </c>
      <c r="AB114" s="40" t="str">
        <f aca="false">IFERROR(INDEX('CA Exclusion Map'!$F$2:$F$2001,MATCH($C114,'CA Exclusion Map'!$A$2:$A$2001,0)),"")</f>
        <v/>
      </c>
      <c r="AC114" s="36"/>
      <c r="AD114" s="37"/>
      <c r="AE114" s="38"/>
      <c r="AF114" s="38"/>
      <c r="AG114" s="39" t="str">
        <f aca="true">IF(Y114="","",IF(Y114&lt;&gt;"Yes","N/A",IF(AF114="","NO EXPIRY SET",IF(TODAY()&gt;AF114,"EXPIRED",IF(AF114-TODAY()&lt;=30,"Expiring Soon","Active")))))</f>
        <v/>
      </c>
      <c r="AH114" s="36"/>
      <c r="AI114" s="36"/>
      <c r="AJ114" s="37"/>
      <c r="AK114" s="36"/>
      <c r="AL114" s="37"/>
      <c r="AM114" s="37"/>
      <c r="AN114" s="37"/>
      <c r="AO114" s="37"/>
      <c r="AP114" s="38"/>
      <c r="AQ114" s="37"/>
      <c r="AR114" s="37"/>
      <c r="AS114" s="41" t="str">
        <f aca="false">IF(AP114="","",AP114+90)</f>
        <v/>
      </c>
      <c r="AT114" s="39" t="str">
        <f aca="true">IF(C114="","",IF(AP114="","NOT REVIEWED",IF(TODAY()&gt;AS114,"OVERDUE",IF(AS114-TODAY()&lt;=14,"Due Soon","Current"))))</f>
        <v/>
      </c>
      <c r="AU114" s="36"/>
    </row>
    <row r="115" customFormat="false" ht="15" hidden="false" customHeight="false" outlineLevel="0" collapsed="false">
      <c r="A115" s="36"/>
      <c r="B115" s="36"/>
      <c r="C115" s="36"/>
      <c r="D115" s="37"/>
      <c r="E115" s="37"/>
      <c r="F115" s="37"/>
      <c r="G115" s="38"/>
      <c r="H115" s="38"/>
      <c r="I115" s="36"/>
      <c r="J115" s="38"/>
      <c r="K115" s="37"/>
      <c r="L115" s="36"/>
      <c r="M115" s="37"/>
      <c r="N115" s="37"/>
      <c r="O115" s="37"/>
      <c r="P115" s="37"/>
      <c r="Q115" s="36"/>
      <c r="R115" s="39" t="str">
        <f aca="true">IF(H115="","",TODAY()-H115)</f>
        <v/>
      </c>
      <c r="S115" s="39" t="str">
        <f aca="true">IF(J115="","",J115-TODAY())</f>
        <v/>
      </c>
      <c r="T115" s="37"/>
      <c r="U115" s="37"/>
      <c r="V115" s="40" t="str">
        <f aca="false">IFERROR(INDEX('Azure Resource Map'!$D$2:$D$2001,MATCH($C115,'Azure Resource Map'!$A$2:$A$2001,0)),"")</f>
        <v/>
      </c>
      <c r="W115" s="39" t="str">
        <f aca="false">IFERROR(INDEX('Azure Resource Map'!$E$2:$E$2001,MATCH($C115,'Azure Resource Map'!$A$2:$A$2001,0)),"")</f>
        <v/>
      </c>
      <c r="X115" s="39" t="str">
        <f aca="false">IFERROR(INDEX('Azure Resource Map'!$F$2:$F$2001,MATCH($C115,'Azure Resource Map'!$A$2:$A$2001,0)),"")</f>
        <v/>
      </c>
      <c r="Y115" s="39" t="str">
        <f aca="false">IF($C115="","",IF(ISNUMBER(MATCH($C115,'CA Exclusion Map'!$A$2:$A$2001,0)),"Yes","No"))</f>
        <v/>
      </c>
      <c r="Z115" s="39" t="str">
        <f aca="false">IFERROR(INDEX('CA Exclusion Map'!$D$2:$D$2001,MATCH($C115,'CA Exclusion Map'!$A$2:$A$2001,0)),"")</f>
        <v/>
      </c>
      <c r="AA115" s="40" t="str">
        <f aca="false">IFERROR(INDEX('CA Exclusion Map'!$E$2:$E$2001,MATCH($C115,'CA Exclusion Map'!$A$2:$A$2001,0)),"")</f>
        <v/>
      </c>
      <c r="AB115" s="40" t="str">
        <f aca="false">IFERROR(INDEX('CA Exclusion Map'!$F$2:$F$2001,MATCH($C115,'CA Exclusion Map'!$A$2:$A$2001,0)),"")</f>
        <v/>
      </c>
      <c r="AC115" s="36"/>
      <c r="AD115" s="37"/>
      <c r="AE115" s="38"/>
      <c r="AF115" s="38"/>
      <c r="AG115" s="39" t="str">
        <f aca="true">IF(Y115="","",IF(Y115&lt;&gt;"Yes","N/A",IF(AF115="","NO EXPIRY SET",IF(TODAY()&gt;AF115,"EXPIRED",IF(AF115-TODAY()&lt;=30,"Expiring Soon","Active")))))</f>
        <v/>
      </c>
      <c r="AH115" s="36"/>
      <c r="AI115" s="36"/>
      <c r="AJ115" s="37"/>
      <c r="AK115" s="36"/>
      <c r="AL115" s="37"/>
      <c r="AM115" s="37"/>
      <c r="AN115" s="37"/>
      <c r="AO115" s="37"/>
      <c r="AP115" s="38"/>
      <c r="AQ115" s="37"/>
      <c r="AR115" s="37"/>
      <c r="AS115" s="41" t="str">
        <f aca="false">IF(AP115="","",AP115+90)</f>
        <v/>
      </c>
      <c r="AT115" s="39" t="str">
        <f aca="true">IF(C115="","",IF(AP115="","NOT REVIEWED",IF(TODAY()&gt;AS115,"OVERDUE",IF(AS115-TODAY()&lt;=14,"Due Soon","Current"))))</f>
        <v/>
      </c>
      <c r="AU115" s="36"/>
    </row>
    <row r="116" customFormat="false" ht="15" hidden="false" customHeight="false" outlineLevel="0" collapsed="false">
      <c r="A116" s="36"/>
      <c r="B116" s="36"/>
      <c r="C116" s="36"/>
      <c r="D116" s="37"/>
      <c r="E116" s="37"/>
      <c r="F116" s="37"/>
      <c r="G116" s="38"/>
      <c r="H116" s="38"/>
      <c r="I116" s="36"/>
      <c r="J116" s="38"/>
      <c r="K116" s="37"/>
      <c r="L116" s="36"/>
      <c r="M116" s="37"/>
      <c r="N116" s="37"/>
      <c r="O116" s="37"/>
      <c r="P116" s="37"/>
      <c r="Q116" s="36"/>
      <c r="R116" s="39" t="str">
        <f aca="true">IF(H116="","",TODAY()-H116)</f>
        <v/>
      </c>
      <c r="S116" s="39" t="str">
        <f aca="true">IF(J116="","",J116-TODAY())</f>
        <v/>
      </c>
      <c r="T116" s="37"/>
      <c r="U116" s="37"/>
      <c r="V116" s="40" t="str">
        <f aca="false">IFERROR(INDEX('Azure Resource Map'!$D$2:$D$2001,MATCH($C116,'Azure Resource Map'!$A$2:$A$2001,0)),"")</f>
        <v/>
      </c>
      <c r="W116" s="39" t="str">
        <f aca="false">IFERROR(INDEX('Azure Resource Map'!$E$2:$E$2001,MATCH($C116,'Azure Resource Map'!$A$2:$A$2001,0)),"")</f>
        <v/>
      </c>
      <c r="X116" s="39" t="str">
        <f aca="false">IFERROR(INDEX('Azure Resource Map'!$F$2:$F$2001,MATCH($C116,'Azure Resource Map'!$A$2:$A$2001,0)),"")</f>
        <v/>
      </c>
      <c r="Y116" s="39" t="str">
        <f aca="false">IF($C116="","",IF(ISNUMBER(MATCH($C116,'CA Exclusion Map'!$A$2:$A$2001,0)),"Yes","No"))</f>
        <v/>
      </c>
      <c r="Z116" s="39" t="str">
        <f aca="false">IFERROR(INDEX('CA Exclusion Map'!$D$2:$D$2001,MATCH($C116,'CA Exclusion Map'!$A$2:$A$2001,0)),"")</f>
        <v/>
      </c>
      <c r="AA116" s="40" t="str">
        <f aca="false">IFERROR(INDEX('CA Exclusion Map'!$E$2:$E$2001,MATCH($C116,'CA Exclusion Map'!$A$2:$A$2001,0)),"")</f>
        <v/>
      </c>
      <c r="AB116" s="40" t="str">
        <f aca="false">IFERROR(INDEX('CA Exclusion Map'!$F$2:$F$2001,MATCH($C116,'CA Exclusion Map'!$A$2:$A$2001,0)),"")</f>
        <v/>
      </c>
      <c r="AC116" s="36"/>
      <c r="AD116" s="37"/>
      <c r="AE116" s="38"/>
      <c r="AF116" s="38"/>
      <c r="AG116" s="39" t="str">
        <f aca="true">IF(Y116="","",IF(Y116&lt;&gt;"Yes","N/A",IF(AF116="","NO EXPIRY SET",IF(TODAY()&gt;AF116,"EXPIRED",IF(AF116-TODAY()&lt;=30,"Expiring Soon","Active")))))</f>
        <v/>
      </c>
      <c r="AH116" s="36"/>
      <c r="AI116" s="36"/>
      <c r="AJ116" s="37"/>
      <c r="AK116" s="36"/>
      <c r="AL116" s="37"/>
      <c r="AM116" s="37"/>
      <c r="AN116" s="37"/>
      <c r="AO116" s="37"/>
      <c r="AP116" s="38"/>
      <c r="AQ116" s="37"/>
      <c r="AR116" s="37"/>
      <c r="AS116" s="41" t="str">
        <f aca="false">IF(AP116="","",AP116+90)</f>
        <v/>
      </c>
      <c r="AT116" s="39" t="str">
        <f aca="true">IF(C116="","",IF(AP116="","NOT REVIEWED",IF(TODAY()&gt;AS116,"OVERDUE",IF(AS116-TODAY()&lt;=14,"Due Soon","Current"))))</f>
        <v/>
      </c>
      <c r="AU116" s="36"/>
    </row>
    <row r="117" customFormat="false" ht="15" hidden="false" customHeight="false" outlineLevel="0" collapsed="false">
      <c r="A117" s="36"/>
      <c r="B117" s="36"/>
      <c r="C117" s="36"/>
      <c r="D117" s="37"/>
      <c r="E117" s="37"/>
      <c r="F117" s="37"/>
      <c r="G117" s="38"/>
      <c r="H117" s="38"/>
      <c r="I117" s="36"/>
      <c r="J117" s="38"/>
      <c r="K117" s="37"/>
      <c r="L117" s="36"/>
      <c r="M117" s="37"/>
      <c r="N117" s="37"/>
      <c r="O117" s="37"/>
      <c r="P117" s="37"/>
      <c r="Q117" s="36"/>
      <c r="R117" s="39" t="str">
        <f aca="true">IF(H117="","",TODAY()-H117)</f>
        <v/>
      </c>
      <c r="S117" s="39" t="str">
        <f aca="true">IF(J117="","",J117-TODAY())</f>
        <v/>
      </c>
      <c r="T117" s="37"/>
      <c r="U117" s="37"/>
      <c r="V117" s="40" t="str">
        <f aca="false">IFERROR(INDEX('Azure Resource Map'!$D$2:$D$2001,MATCH($C117,'Azure Resource Map'!$A$2:$A$2001,0)),"")</f>
        <v/>
      </c>
      <c r="W117" s="39" t="str">
        <f aca="false">IFERROR(INDEX('Azure Resource Map'!$E$2:$E$2001,MATCH($C117,'Azure Resource Map'!$A$2:$A$2001,0)),"")</f>
        <v/>
      </c>
      <c r="X117" s="39" t="str">
        <f aca="false">IFERROR(INDEX('Azure Resource Map'!$F$2:$F$2001,MATCH($C117,'Azure Resource Map'!$A$2:$A$2001,0)),"")</f>
        <v/>
      </c>
      <c r="Y117" s="39" t="str">
        <f aca="false">IF($C117="","",IF(ISNUMBER(MATCH($C117,'CA Exclusion Map'!$A$2:$A$2001,0)),"Yes","No"))</f>
        <v/>
      </c>
      <c r="Z117" s="39" t="str">
        <f aca="false">IFERROR(INDEX('CA Exclusion Map'!$D$2:$D$2001,MATCH($C117,'CA Exclusion Map'!$A$2:$A$2001,0)),"")</f>
        <v/>
      </c>
      <c r="AA117" s="40" t="str">
        <f aca="false">IFERROR(INDEX('CA Exclusion Map'!$E$2:$E$2001,MATCH($C117,'CA Exclusion Map'!$A$2:$A$2001,0)),"")</f>
        <v/>
      </c>
      <c r="AB117" s="40" t="str">
        <f aca="false">IFERROR(INDEX('CA Exclusion Map'!$F$2:$F$2001,MATCH($C117,'CA Exclusion Map'!$A$2:$A$2001,0)),"")</f>
        <v/>
      </c>
      <c r="AC117" s="36"/>
      <c r="AD117" s="37"/>
      <c r="AE117" s="38"/>
      <c r="AF117" s="38"/>
      <c r="AG117" s="39" t="str">
        <f aca="true">IF(Y117="","",IF(Y117&lt;&gt;"Yes","N/A",IF(AF117="","NO EXPIRY SET",IF(TODAY()&gt;AF117,"EXPIRED",IF(AF117-TODAY()&lt;=30,"Expiring Soon","Active")))))</f>
        <v/>
      </c>
      <c r="AH117" s="36"/>
      <c r="AI117" s="36"/>
      <c r="AJ117" s="37"/>
      <c r="AK117" s="36"/>
      <c r="AL117" s="37"/>
      <c r="AM117" s="37"/>
      <c r="AN117" s="37"/>
      <c r="AO117" s="37"/>
      <c r="AP117" s="38"/>
      <c r="AQ117" s="37"/>
      <c r="AR117" s="37"/>
      <c r="AS117" s="41" t="str">
        <f aca="false">IF(AP117="","",AP117+90)</f>
        <v/>
      </c>
      <c r="AT117" s="39" t="str">
        <f aca="true">IF(C117="","",IF(AP117="","NOT REVIEWED",IF(TODAY()&gt;AS117,"OVERDUE",IF(AS117-TODAY()&lt;=14,"Due Soon","Current"))))</f>
        <v/>
      </c>
      <c r="AU117" s="36"/>
    </row>
    <row r="118" customFormat="false" ht="15" hidden="false" customHeight="false" outlineLevel="0" collapsed="false">
      <c r="A118" s="36"/>
      <c r="B118" s="36"/>
      <c r="C118" s="36"/>
      <c r="D118" s="37"/>
      <c r="E118" s="37"/>
      <c r="F118" s="37"/>
      <c r="G118" s="38"/>
      <c r="H118" s="38"/>
      <c r="I118" s="36"/>
      <c r="J118" s="38"/>
      <c r="K118" s="37"/>
      <c r="L118" s="36"/>
      <c r="M118" s="37"/>
      <c r="N118" s="37"/>
      <c r="O118" s="37"/>
      <c r="P118" s="37"/>
      <c r="Q118" s="36"/>
      <c r="R118" s="39" t="str">
        <f aca="true">IF(H118="","",TODAY()-H118)</f>
        <v/>
      </c>
      <c r="S118" s="39" t="str">
        <f aca="true">IF(J118="","",J118-TODAY())</f>
        <v/>
      </c>
      <c r="T118" s="37"/>
      <c r="U118" s="37"/>
      <c r="V118" s="40" t="str">
        <f aca="false">IFERROR(INDEX('Azure Resource Map'!$D$2:$D$2001,MATCH($C118,'Azure Resource Map'!$A$2:$A$2001,0)),"")</f>
        <v/>
      </c>
      <c r="W118" s="39" t="str">
        <f aca="false">IFERROR(INDEX('Azure Resource Map'!$E$2:$E$2001,MATCH($C118,'Azure Resource Map'!$A$2:$A$2001,0)),"")</f>
        <v/>
      </c>
      <c r="X118" s="39" t="str">
        <f aca="false">IFERROR(INDEX('Azure Resource Map'!$F$2:$F$2001,MATCH($C118,'Azure Resource Map'!$A$2:$A$2001,0)),"")</f>
        <v/>
      </c>
      <c r="Y118" s="39" t="str">
        <f aca="false">IF($C118="","",IF(ISNUMBER(MATCH($C118,'CA Exclusion Map'!$A$2:$A$2001,0)),"Yes","No"))</f>
        <v/>
      </c>
      <c r="Z118" s="39" t="str">
        <f aca="false">IFERROR(INDEX('CA Exclusion Map'!$D$2:$D$2001,MATCH($C118,'CA Exclusion Map'!$A$2:$A$2001,0)),"")</f>
        <v/>
      </c>
      <c r="AA118" s="40" t="str">
        <f aca="false">IFERROR(INDEX('CA Exclusion Map'!$E$2:$E$2001,MATCH($C118,'CA Exclusion Map'!$A$2:$A$2001,0)),"")</f>
        <v/>
      </c>
      <c r="AB118" s="40" t="str">
        <f aca="false">IFERROR(INDEX('CA Exclusion Map'!$F$2:$F$2001,MATCH($C118,'CA Exclusion Map'!$A$2:$A$2001,0)),"")</f>
        <v/>
      </c>
      <c r="AC118" s="36"/>
      <c r="AD118" s="37"/>
      <c r="AE118" s="38"/>
      <c r="AF118" s="38"/>
      <c r="AG118" s="39" t="str">
        <f aca="true">IF(Y118="","",IF(Y118&lt;&gt;"Yes","N/A",IF(AF118="","NO EXPIRY SET",IF(TODAY()&gt;AF118,"EXPIRED",IF(AF118-TODAY()&lt;=30,"Expiring Soon","Active")))))</f>
        <v/>
      </c>
      <c r="AH118" s="36"/>
      <c r="AI118" s="36"/>
      <c r="AJ118" s="37"/>
      <c r="AK118" s="36"/>
      <c r="AL118" s="37"/>
      <c r="AM118" s="37"/>
      <c r="AN118" s="37"/>
      <c r="AO118" s="37"/>
      <c r="AP118" s="38"/>
      <c r="AQ118" s="37"/>
      <c r="AR118" s="37"/>
      <c r="AS118" s="41" t="str">
        <f aca="false">IF(AP118="","",AP118+90)</f>
        <v/>
      </c>
      <c r="AT118" s="39" t="str">
        <f aca="true">IF(C118="","",IF(AP118="","NOT REVIEWED",IF(TODAY()&gt;AS118,"OVERDUE",IF(AS118-TODAY()&lt;=14,"Due Soon","Current"))))</f>
        <v/>
      </c>
      <c r="AU118" s="36"/>
    </row>
    <row r="119" customFormat="false" ht="15" hidden="false" customHeight="false" outlineLevel="0" collapsed="false">
      <c r="A119" s="36"/>
      <c r="B119" s="36"/>
      <c r="C119" s="36"/>
      <c r="D119" s="37"/>
      <c r="E119" s="37"/>
      <c r="F119" s="37"/>
      <c r="G119" s="38"/>
      <c r="H119" s="38"/>
      <c r="I119" s="36"/>
      <c r="J119" s="38"/>
      <c r="K119" s="37"/>
      <c r="L119" s="36"/>
      <c r="M119" s="37"/>
      <c r="N119" s="37"/>
      <c r="O119" s="37"/>
      <c r="P119" s="37"/>
      <c r="Q119" s="36"/>
      <c r="R119" s="39" t="str">
        <f aca="true">IF(H119="","",TODAY()-H119)</f>
        <v/>
      </c>
      <c r="S119" s="39" t="str">
        <f aca="true">IF(J119="","",J119-TODAY())</f>
        <v/>
      </c>
      <c r="T119" s="37"/>
      <c r="U119" s="37"/>
      <c r="V119" s="40" t="str">
        <f aca="false">IFERROR(INDEX('Azure Resource Map'!$D$2:$D$2001,MATCH($C119,'Azure Resource Map'!$A$2:$A$2001,0)),"")</f>
        <v/>
      </c>
      <c r="W119" s="39" t="str">
        <f aca="false">IFERROR(INDEX('Azure Resource Map'!$E$2:$E$2001,MATCH($C119,'Azure Resource Map'!$A$2:$A$2001,0)),"")</f>
        <v/>
      </c>
      <c r="X119" s="39" t="str">
        <f aca="false">IFERROR(INDEX('Azure Resource Map'!$F$2:$F$2001,MATCH($C119,'Azure Resource Map'!$A$2:$A$2001,0)),"")</f>
        <v/>
      </c>
      <c r="Y119" s="39" t="str">
        <f aca="false">IF($C119="","",IF(ISNUMBER(MATCH($C119,'CA Exclusion Map'!$A$2:$A$2001,0)),"Yes","No"))</f>
        <v/>
      </c>
      <c r="Z119" s="39" t="str">
        <f aca="false">IFERROR(INDEX('CA Exclusion Map'!$D$2:$D$2001,MATCH($C119,'CA Exclusion Map'!$A$2:$A$2001,0)),"")</f>
        <v/>
      </c>
      <c r="AA119" s="40" t="str">
        <f aca="false">IFERROR(INDEX('CA Exclusion Map'!$E$2:$E$2001,MATCH($C119,'CA Exclusion Map'!$A$2:$A$2001,0)),"")</f>
        <v/>
      </c>
      <c r="AB119" s="40" t="str">
        <f aca="false">IFERROR(INDEX('CA Exclusion Map'!$F$2:$F$2001,MATCH($C119,'CA Exclusion Map'!$A$2:$A$2001,0)),"")</f>
        <v/>
      </c>
      <c r="AC119" s="36"/>
      <c r="AD119" s="37"/>
      <c r="AE119" s="38"/>
      <c r="AF119" s="38"/>
      <c r="AG119" s="39" t="str">
        <f aca="true">IF(Y119="","",IF(Y119&lt;&gt;"Yes","N/A",IF(AF119="","NO EXPIRY SET",IF(TODAY()&gt;AF119,"EXPIRED",IF(AF119-TODAY()&lt;=30,"Expiring Soon","Active")))))</f>
        <v/>
      </c>
      <c r="AH119" s="36"/>
      <c r="AI119" s="36"/>
      <c r="AJ119" s="37"/>
      <c r="AK119" s="36"/>
      <c r="AL119" s="37"/>
      <c r="AM119" s="37"/>
      <c r="AN119" s="37"/>
      <c r="AO119" s="37"/>
      <c r="AP119" s="38"/>
      <c r="AQ119" s="37"/>
      <c r="AR119" s="37"/>
      <c r="AS119" s="41" t="str">
        <f aca="false">IF(AP119="","",AP119+90)</f>
        <v/>
      </c>
      <c r="AT119" s="39" t="str">
        <f aca="true">IF(C119="","",IF(AP119="","NOT REVIEWED",IF(TODAY()&gt;AS119,"OVERDUE",IF(AS119-TODAY()&lt;=14,"Due Soon","Current"))))</f>
        <v/>
      </c>
      <c r="AU119" s="36"/>
    </row>
    <row r="120" customFormat="false" ht="15" hidden="false" customHeight="false" outlineLevel="0" collapsed="false">
      <c r="A120" s="36"/>
      <c r="B120" s="36"/>
      <c r="C120" s="36"/>
      <c r="D120" s="37"/>
      <c r="E120" s="37"/>
      <c r="F120" s="37"/>
      <c r="G120" s="38"/>
      <c r="H120" s="38"/>
      <c r="I120" s="36"/>
      <c r="J120" s="38"/>
      <c r="K120" s="37"/>
      <c r="L120" s="36"/>
      <c r="M120" s="37"/>
      <c r="N120" s="37"/>
      <c r="O120" s="37"/>
      <c r="P120" s="37"/>
      <c r="Q120" s="36"/>
      <c r="R120" s="39" t="str">
        <f aca="true">IF(H120="","",TODAY()-H120)</f>
        <v/>
      </c>
      <c r="S120" s="39" t="str">
        <f aca="true">IF(J120="","",J120-TODAY())</f>
        <v/>
      </c>
      <c r="T120" s="37"/>
      <c r="U120" s="37"/>
      <c r="V120" s="40" t="str">
        <f aca="false">IFERROR(INDEX('Azure Resource Map'!$D$2:$D$2001,MATCH($C120,'Azure Resource Map'!$A$2:$A$2001,0)),"")</f>
        <v/>
      </c>
      <c r="W120" s="39" t="str">
        <f aca="false">IFERROR(INDEX('Azure Resource Map'!$E$2:$E$2001,MATCH($C120,'Azure Resource Map'!$A$2:$A$2001,0)),"")</f>
        <v/>
      </c>
      <c r="X120" s="39" t="str">
        <f aca="false">IFERROR(INDEX('Azure Resource Map'!$F$2:$F$2001,MATCH($C120,'Azure Resource Map'!$A$2:$A$2001,0)),"")</f>
        <v/>
      </c>
      <c r="Y120" s="39" t="str">
        <f aca="false">IF($C120="","",IF(ISNUMBER(MATCH($C120,'CA Exclusion Map'!$A$2:$A$2001,0)),"Yes","No"))</f>
        <v/>
      </c>
      <c r="Z120" s="39" t="str">
        <f aca="false">IFERROR(INDEX('CA Exclusion Map'!$D$2:$D$2001,MATCH($C120,'CA Exclusion Map'!$A$2:$A$2001,0)),"")</f>
        <v/>
      </c>
      <c r="AA120" s="40" t="str">
        <f aca="false">IFERROR(INDEX('CA Exclusion Map'!$E$2:$E$2001,MATCH($C120,'CA Exclusion Map'!$A$2:$A$2001,0)),"")</f>
        <v/>
      </c>
      <c r="AB120" s="40" t="str">
        <f aca="false">IFERROR(INDEX('CA Exclusion Map'!$F$2:$F$2001,MATCH($C120,'CA Exclusion Map'!$A$2:$A$2001,0)),"")</f>
        <v/>
      </c>
      <c r="AC120" s="36"/>
      <c r="AD120" s="37"/>
      <c r="AE120" s="38"/>
      <c r="AF120" s="38"/>
      <c r="AG120" s="39" t="str">
        <f aca="true">IF(Y120="","",IF(Y120&lt;&gt;"Yes","N/A",IF(AF120="","NO EXPIRY SET",IF(TODAY()&gt;AF120,"EXPIRED",IF(AF120-TODAY()&lt;=30,"Expiring Soon","Active")))))</f>
        <v/>
      </c>
      <c r="AH120" s="36"/>
      <c r="AI120" s="36"/>
      <c r="AJ120" s="37"/>
      <c r="AK120" s="36"/>
      <c r="AL120" s="37"/>
      <c r="AM120" s="37"/>
      <c r="AN120" s="37"/>
      <c r="AO120" s="37"/>
      <c r="AP120" s="38"/>
      <c r="AQ120" s="37"/>
      <c r="AR120" s="37"/>
      <c r="AS120" s="41" t="str">
        <f aca="false">IF(AP120="","",AP120+90)</f>
        <v/>
      </c>
      <c r="AT120" s="39" t="str">
        <f aca="true">IF(C120="","",IF(AP120="","NOT REVIEWED",IF(TODAY()&gt;AS120,"OVERDUE",IF(AS120-TODAY()&lt;=14,"Due Soon","Current"))))</f>
        <v/>
      </c>
      <c r="AU120" s="36"/>
    </row>
    <row r="121" customFormat="false" ht="15" hidden="false" customHeight="false" outlineLevel="0" collapsed="false">
      <c r="A121" s="36"/>
      <c r="B121" s="36"/>
      <c r="C121" s="36"/>
      <c r="D121" s="37"/>
      <c r="E121" s="37"/>
      <c r="F121" s="37"/>
      <c r="G121" s="38"/>
      <c r="H121" s="38"/>
      <c r="I121" s="36"/>
      <c r="J121" s="38"/>
      <c r="K121" s="37"/>
      <c r="L121" s="36"/>
      <c r="M121" s="37"/>
      <c r="N121" s="37"/>
      <c r="O121" s="37"/>
      <c r="P121" s="37"/>
      <c r="Q121" s="36"/>
      <c r="R121" s="39" t="str">
        <f aca="true">IF(H121="","",TODAY()-H121)</f>
        <v/>
      </c>
      <c r="S121" s="39" t="str">
        <f aca="true">IF(J121="","",J121-TODAY())</f>
        <v/>
      </c>
      <c r="T121" s="37"/>
      <c r="U121" s="37"/>
      <c r="V121" s="40" t="str">
        <f aca="false">IFERROR(INDEX('Azure Resource Map'!$D$2:$D$2001,MATCH($C121,'Azure Resource Map'!$A$2:$A$2001,0)),"")</f>
        <v/>
      </c>
      <c r="W121" s="39" t="str">
        <f aca="false">IFERROR(INDEX('Azure Resource Map'!$E$2:$E$2001,MATCH($C121,'Azure Resource Map'!$A$2:$A$2001,0)),"")</f>
        <v/>
      </c>
      <c r="X121" s="39" t="str">
        <f aca="false">IFERROR(INDEX('Azure Resource Map'!$F$2:$F$2001,MATCH($C121,'Azure Resource Map'!$A$2:$A$2001,0)),"")</f>
        <v/>
      </c>
      <c r="Y121" s="39" t="str">
        <f aca="false">IF($C121="","",IF(ISNUMBER(MATCH($C121,'CA Exclusion Map'!$A$2:$A$2001,0)),"Yes","No"))</f>
        <v/>
      </c>
      <c r="Z121" s="39" t="str">
        <f aca="false">IFERROR(INDEX('CA Exclusion Map'!$D$2:$D$2001,MATCH($C121,'CA Exclusion Map'!$A$2:$A$2001,0)),"")</f>
        <v/>
      </c>
      <c r="AA121" s="40" t="str">
        <f aca="false">IFERROR(INDEX('CA Exclusion Map'!$E$2:$E$2001,MATCH($C121,'CA Exclusion Map'!$A$2:$A$2001,0)),"")</f>
        <v/>
      </c>
      <c r="AB121" s="40" t="str">
        <f aca="false">IFERROR(INDEX('CA Exclusion Map'!$F$2:$F$2001,MATCH($C121,'CA Exclusion Map'!$A$2:$A$2001,0)),"")</f>
        <v/>
      </c>
      <c r="AC121" s="36"/>
      <c r="AD121" s="37"/>
      <c r="AE121" s="38"/>
      <c r="AF121" s="38"/>
      <c r="AG121" s="39" t="str">
        <f aca="true">IF(Y121="","",IF(Y121&lt;&gt;"Yes","N/A",IF(AF121="","NO EXPIRY SET",IF(TODAY()&gt;AF121,"EXPIRED",IF(AF121-TODAY()&lt;=30,"Expiring Soon","Active")))))</f>
        <v/>
      </c>
      <c r="AH121" s="36"/>
      <c r="AI121" s="36"/>
      <c r="AJ121" s="37"/>
      <c r="AK121" s="36"/>
      <c r="AL121" s="37"/>
      <c r="AM121" s="37"/>
      <c r="AN121" s="37"/>
      <c r="AO121" s="37"/>
      <c r="AP121" s="38"/>
      <c r="AQ121" s="37"/>
      <c r="AR121" s="37"/>
      <c r="AS121" s="41" t="str">
        <f aca="false">IF(AP121="","",AP121+90)</f>
        <v/>
      </c>
      <c r="AT121" s="39" t="str">
        <f aca="true">IF(C121="","",IF(AP121="","NOT REVIEWED",IF(TODAY()&gt;AS121,"OVERDUE",IF(AS121-TODAY()&lt;=14,"Due Soon","Current"))))</f>
        <v/>
      </c>
      <c r="AU121" s="36"/>
    </row>
    <row r="122" customFormat="false" ht="15" hidden="false" customHeight="false" outlineLevel="0" collapsed="false">
      <c r="A122" s="36"/>
      <c r="B122" s="36"/>
      <c r="C122" s="36"/>
      <c r="D122" s="37"/>
      <c r="E122" s="37"/>
      <c r="F122" s="37"/>
      <c r="G122" s="38"/>
      <c r="H122" s="38"/>
      <c r="I122" s="36"/>
      <c r="J122" s="38"/>
      <c r="K122" s="37"/>
      <c r="L122" s="36"/>
      <c r="M122" s="37"/>
      <c r="N122" s="37"/>
      <c r="O122" s="37"/>
      <c r="P122" s="37"/>
      <c r="Q122" s="36"/>
      <c r="R122" s="39" t="str">
        <f aca="true">IF(H122="","",TODAY()-H122)</f>
        <v/>
      </c>
      <c r="S122" s="39" t="str">
        <f aca="true">IF(J122="","",J122-TODAY())</f>
        <v/>
      </c>
      <c r="T122" s="37"/>
      <c r="U122" s="37"/>
      <c r="V122" s="40" t="str">
        <f aca="false">IFERROR(INDEX('Azure Resource Map'!$D$2:$D$2001,MATCH($C122,'Azure Resource Map'!$A$2:$A$2001,0)),"")</f>
        <v/>
      </c>
      <c r="W122" s="39" t="str">
        <f aca="false">IFERROR(INDEX('Azure Resource Map'!$E$2:$E$2001,MATCH($C122,'Azure Resource Map'!$A$2:$A$2001,0)),"")</f>
        <v/>
      </c>
      <c r="X122" s="39" t="str">
        <f aca="false">IFERROR(INDEX('Azure Resource Map'!$F$2:$F$2001,MATCH($C122,'Azure Resource Map'!$A$2:$A$2001,0)),"")</f>
        <v/>
      </c>
      <c r="Y122" s="39" t="str">
        <f aca="false">IF($C122="","",IF(ISNUMBER(MATCH($C122,'CA Exclusion Map'!$A$2:$A$2001,0)),"Yes","No"))</f>
        <v/>
      </c>
      <c r="Z122" s="39" t="str">
        <f aca="false">IFERROR(INDEX('CA Exclusion Map'!$D$2:$D$2001,MATCH($C122,'CA Exclusion Map'!$A$2:$A$2001,0)),"")</f>
        <v/>
      </c>
      <c r="AA122" s="40" t="str">
        <f aca="false">IFERROR(INDEX('CA Exclusion Map'!$E$2:$E$2001,MATCH($C122,'CA Exclusion Map'!$A$2:$A$2001,0)),"")</f>
        <v/>
      </c>
      <c r="AB122" s="40" t="str">
        <f aca="false">IFERROR(INDEX('CA Exclusion Map'!$F$2:$F$2001,MATCH($C122,'CA Exclusion Map'!$A$2:$A$2001,0)),"")</f>
        <v/>
      </c>
      <c r="AC122" s="36"/>
      <c r="AD122" s="37"/>
      <c r="AE122" s="38"/>
      <c r="AF122" s="38"/>
      <c r="AG122" s="39" t="str">
        <f aca="true">IF(Y122="","",IF(Y122&lt;&gt;"Yes","N/A",IF(AF122="","NO EXPIRY SET",IF(TODAY()&gt;AF122,"EXPIRED",IF(AF122-TODAY()&lt;=30,"Expiring Soon","Active")))))</f>
        <v/>
      </c>
      <c r="AH122" s="36"/>
      <c r="AI122" s="36"/>
      <c r="AJ122" s="37"/>
      <c r="AK122" s="36"/>
      <c r="AL122" s="37"/>
      <c r="AM122" s="37"/>
      <c r="AN122" s="37"/>
      <c r="AO122" s="37"/>
      <c r="AP122" s="38"/>
      <c r="AQ122" s="37"/>
      <c r="AR122" s="37"/>
      <c r="AS122" s="41" t="str">
        <f aca="false">IF(AP122="","",AP122+90)</f>
        <v/>
      </c>
      <c r="AT122" s="39" t="str">
        <f aca="true">IF(C122="","",IF(AP122="","NOT REVIEWED",IF(TODAY()&gt;AS122,"OVERDUE",IF(AS122-TODAY()&lt;=14,"Due Soon","Current"))))</f>
        <v/>
      </c>
      <c r="AU122" s="36"/>
    </row>
    <row r="123" customFormat="false" ht="15" hidden="false" customHeight="false" outlineLevel="0" collapsed="false">
      <c r="A123" s="36"/>
      <c r="B123" s="36"/>
      <c r="C123" s="36"/>
      <c r="D123" s="37"/>
      <c r="E123" s="37"/>
      <c r="F123" s="37"/>
      <c r="G123" s="38"/>
      <c r="H123" s="38"/>
      <c r="I123" s="36"/>
      <c r="J123" s="38"/>
      <c r="K123" s="37"/>
      <c r="L123" s="36"/>
      <c r="M123" s="37"/>
      <c r="N123" s="37"/>
      <c r="O123" s="37"/>
      <c r="P123" s="37"/>
      <c r="Q123" s="36"/>
      <c r="R123" s="39" t="str">
        <f aca="true">IF(H123="","",TODAY()-H123)</f>
        <v/>
      </c>
      <c r="S123" s="39" t="str">
        <f aca="true">IF(J123="","",J123-TODAY())</f>
        <v/>
      </c>
      <c r="T123" s="37"/>
      <c r="U123" s="37"/>
      <c r="V123" s="40" t="str">
        <f aca="false">IFERROR(INDEX('Azure Resource Map'!$D$2:$D$2001,MATCH($C123,'Azure Resource Map'!$A$2:$A$2001,0)),"")</f>
        <v/>
      </c>
      <c r="W123" s="39" t="str">
        <f aca="false">IFERROR(INDEX('Azure Resource Map'!$E$2:$E$2001,MATCH($C123,'Azure Resource Map'!$A$2:$A$2001,0)),"")</f>
        <v/>
      </c>
      <c r="X123" s="39" t="str">
        <f aca="false">IFERROR(INDEX('Azure Resource Map'!$F$2:$F$2001,MATCH($C123,'Azure Resource Map'!$A$2:$A$2001,0)),"")</f>
        <v/>
      </c>
      <c r="Y123" s="39" t="str">
        <f aca="false">IF($C123="","",IF(ISNUMBER(MATCH($C123,'CA Exclusion Map'!$A$2:$A$2001,0)),"Yes","No"))</f>
        <v/>
      </c>
      <c r="Z123" s="39" t="str">
        <f aca="false">IFERROR(INDEX('CA Exclusion Map'!$D$2:$D$2001,MATCH($C123,'CA Exclusion Map'!$A$2:$A$2001,0)),"")</f>
        <v/>
      </c>
      <c r="AA123" s="40" t="str">
        <f aca="false">IFERROR(INDEX('CA Exclusion Map'!$E$2:$E$2001,MATCH($C123,'CA Exclusion Map'!$A$2:$A$2001,0)),"")</f>
        <v/>
      </c>
      <c r="AB123" s="40" t="str">
        <f aca="false">IFERROR(INDEX('CA Exclusion Map'!$F$2:$F$2001,MATCH($C123,'CA Exclusion Map'!$A$2:$A$2001,0)),"")</f>
        <v/>
      </c>
      <c r="AC123" s="36"/>
      <c r="AD123" s="37"/>
      <c r="AE123" s="38"/>
      <c r="AF123" s="38"/>
      <c r="AG123" s="39" t="str">
        <f aca="true">IF(Y123="","",IF(Y123&lt;&gt;"Yes","N/A",IF(AF123="","NO EXPIRY SET",IF(TODAY()&gt;AF123,"EXPIRED",IF(AF123-TODAY()&lt;=30,"Expiring Soon","Active")))))</f>
        <v/>
      </c>
      <c r="AH123" s="36"/>
      <c r="AI123" s="36"/>
      <c r="AJ123" s="37"/>
      <c r="AK123" s="36"/>
      <c r="AL123" s="37"/>
      <c r="AM123" s="37"/>
      <c r="AN123" s="37"/>
      <c r="AO123" s="37"/>
      <c r="AP123" s="38"/>
      <c r="AQ123" s="37"/>
      <c r="AR123" s="37"/>
      <c r="AS123" s="41" t="str">
        <f aca="false">IF(AP123="","",AP123+90)</f>
        <v/>
      </c>
      <c r="AT123" s="39" t="str">
        <f aca="true">IF(C123="","",IF(AP123="","NOT REVIEWED",IF(TODAY()&gt;AS123,"OVERDUE",IF(AS123-TODAY()&lt;=14,"Due Soon","Current"))))</f>
        <v/>
      </c>
      <c r="AU123" s="36"/>
    </row>
    <row r="124" customFormat="false" ht="15" hidden="false" customHeight="false" outlineLevel="0" collapsed="false">
      <c r="A124" s="36"/>
      <c r="B124" s="36"/>
      <c r="C124" s="36"/>
      <c r="D124" s="37"/>
      <c r="E124" s="37"/>
      <c r="F124" s="37"/>
      <c r="G124" s="38"/>
      <c r="H124" s="38"/>
      <c r="I124" s="36"/>
      <c r="J124" s="38"/>
      <c r="K124" s="37"/>
      <c r="L124" s="36"/>
      <c r="M124" s="37"/>
      <c r="N124" s="37"/>
      <c r="O124" s="37"/>
      <c r="P124" s="37"/>
      <c r="Q124" s="36"/>
      <c r="R124" s="39" t="str">
        <f aca="true">IF(H124="","",TODAY()-H124)</f>
        <v/>
      </c>
      <c r="S124" s="39" t="str">
        <f aca="true">IF(J124="","",J124-TODAY())</f>
        <v/>
      </c>
      <c r="T124" s="37"/>
      <c r="U124" s="37"/>
      <c r="V124" s="40" t="str">
        <f aca="false">IFERROR(INDEX('Azure Resource Map'!$D$2:$D$2001,MATCH($C124,'Azure Resource Map'!$A$2:$A$2001,0)),"")</f>
        <v/>
      </c>
      <c r="W124" s="39" t="str">
        <f aca="false">IFERROR(INDEX('Azure Resource Map'!$E$2:$E$2001,MATCH($C124,'Azure Resource Map'!$A$2:$A$2001,0)),"")</f>
        <v/>
      </c>
      <c r="X124" s="39" t="str">
        <f aca="false">IFERROR(INDEX('Azure Resource Map'!$F$2:$F$2001,MATCH($C124,'Azure Resource Map'!$A$2:$A$2001,0)),"")</f>
        <v/>
      </c>
      <c r="Y124" s="39" t="str">
        <f aca="false">IF($C124="","",IF(ISNUMBER(MATCH($C124,'CA Exclusion Map'!$A$2:$A$2001,0)),"Yes","No"))</f>
        <v/>
      </c>
      <c r="Z124" s="39" t="str">
        <f aca="false">IFERROR(INDEX('CA Exclusion Map'!$D$2:$D$2001,MATCH($C124,'CA Exclusion Map'!$A$2:$A$2001,0)),"")</f>
        <v/>
      </c>
      <c r="AA124" s="40" t="str">
        <f aca="false">IFERROR(INDEX('CA Exclusion Map'!$E$2:$E$2001,MATCH($C124,'CA Exclusion Map'!$A$2:$A$2001,0)),"")</f>
        <v/>
      </c>
      <c r="AB124" s="40" t="str">
        <f aca="false">IFERROR(INDEX('CA Exclusion Map'!$F$2:$F$2001,MATCH($C124,'CA Exclusion Map'!$A$2:$A$2001,0)),"")</f>
        <v/>
      </c>
      <c r="AC124" s="36"/>
      <c r="AD124" s="37"/>
      <c r="AE124" s="38"/>
      <c r="AF124" s="38"/>
      <c r="AG124" s="39" t="str">
        <f aca="true">IF(Y124="","",IF(Y124&lt;&gt;"Yes","N/A",IF(AF124="","NO EXPIRY SET",IF(TODAY()&gt;AF124,"EXPIRED",IF(AF124-TODAY()&lt;=30,"Expiring Soon","Active")))))</f>
        <v/>
      </c>
      <c r="AH124" s="36"/>
      <c r="AI124" s="36"/>
      <c r="AJ124" s="37"/>
      <c r="AK124" s="36"/>
      <c r="AL124" s="37"/>
      <c r="AM124" s="37"/>
      <c r="AN124" s="37"/>
      <c r="AO124" s="37"/>
      <c r="AP124" s="38"/>
      <c r="AQ124" s="37"/>
      <c r="AR124" s="37"/>
      <c r="AS124" s="41" t="str">
        <f aca="false">IF(AP124="","",AP124+90)</f>
        <v/>
      </c>
      <c r="AT124" s="39" t="str">
        <f aca="true">IF(C124="","",IF(AP124="","NOT REVIEWED",IF(TODAY()&gt;AS124,"OVERDUE",IF(AS124-TODAY()&lt;=14,"Due Soon","Current"))))</f>
        <v/>
      </c>
      <c r="AU124" s="36"/>
    </row>
    <row r="125" customFormat="false" ht="15" hidden="false" customHeight="false" outlineLevel="0" collapsed="false">
      <c r="A125" s="36"/>
      <c r="B125" s="36"/>
      <c r="C125" s="36"/>
      <c r="D125" s="37"/>
      <c r="E125" s="37"/>
      <c r="F125" s="37"/>
      <c r="G125" s="38"/>
      <c r="H125" s="38"/>
      <c r="I125" s="36"/>
      <c r="J125" s="38"/>
      <c r="K125" s="37"/>
      <c r="L125" s="36"/>
      <c r="M125" s="37"/>
      <c r="N125" s="37"/>
      <c r="O125" s="37"/>
      <c r="P125" s="37"/>
      <c r="Q125" s="36"/>
      <c r="R125" s="39" t="str">
        <f aca="true">IF(H125="","",TODAY()-H125)</f>
        <v/>
      </c>
      <c r="S125" s="39" t="str">
        <f aca="true">IF(J125="","",J125-TODAY())</f>
        <v/>
      </c>
      <c r="T125" s="37"/>
      <c r="U125" s="37"/>
      <c r="V125" s="40" t="str">
        <f aca="false">IFERROR(INDEX('Azure Resource Map'!$D$2:$D$2001,MATCH($C125,'Azure Resource Map'!$A$2:$A$2001,0)),"")</f>
        <v/>
      </c>
      <c r="W125" s="39" t="str">
        <f aca="false">IFERROR(INDEX('Azure Resource Map'!$E$2:$E$2001,MATCH($C125,'Azure Resource Map'!$A$2:$A$2001,0)),"")</f>
        <v/>
      </c>
      <c r="X125" s="39" t="str">
        <f aca="false">IFERROR(INDEX('Azure Resource Map'!$F$2:$F$2001,MATCH($C125,'Azure Resource Map'!$A$2:$A$2001,0)),"")</f>
        <v/>
      </c>
      <c r="Y125" s="39" t="str">
        <f aca="false">IF($C125="","",IF(ISNUMBER(MATCH($C125,'CA Exclusion Map'!$A$2:$A$2001,0)),"Yes","No"))</f>
        <v/>
      </c>
      <c r="Z125" s="39" t="str">
        <f aca="false">IFERROR(INDEX('CA Exclusion Map'!$D$2:$D$2001,MATCH($C125,'CA Exclusion Map'!$A$2:$A$2001,0)),"")</f>
        <v/>
      </c>
      <c r="AA125" s="40" t="str">
        <f aca="false">IFERROR(INDEX('CA Exclusion Map'!$E$2:$E$2001,MATCH($C125,'CA Exclusion Map'!$A$2:$A$2001,0)),"")</f>
        <v/>
      </c>
      <c r="AB125" s="40" t="str">
        <f aca="false">IFERROR(INDEX('CA Exclusion Map'!$F$2:$F$2001,MATCH($C125,'CA Exclusion Map'!$A$2:$A$2001,0)),"")</f>
        <v/>
      </c>
      <c r="AC125" s="36"/>
      <c r="AD125" s="37"/>
      <c r="AE125" s="38"/>
      <c r="AF125" s="38"/>
      <c r="AG125" s="39" t="str">
        <f aca="true">IF(Y125="","",IF(Y125&lt;&gt;"Yes","N/A",IF(AF125="","NO EXPIRY SET",IF(TODAY()&gt;AF125,"EXPIRED",IF(AF125-TODAY()&lt;=30,"Expiring Soon","Active")))))</f>
        <v/>
      </c>
      <c r="AH125" s="36"/>
      <c r="AI125" s="36"/>
      <c r="AJ125" s="37"/>
      <c r="AK125" s="36"/>
      <c r="AL125" s="37"/>
      <c r="AM125" s="37"/>
      <c r="AN125" s="37"/>
      <c r="AO125" s="37"/>
      <c r="AP125" s="38"/>
      <c r="AQ125" s="37"/>
      <c r="AR125" s="37"/>
      <c r="AS125" s="41" t="str">
        <f aca="false">IF(AP125="","",AP125+90)</f>
        <v/>
      </c>
      <c r="AT125" s="39" t="str">
        <f aca="true">IF(C125="","",IF(AP125="","NOT REVIEWED",IF(TODAY()&gt;AS125,"OVERDUE",IF(AS125-TODAY()&lt;=14,"Due Soon","Current"))))</f>
        <v/>
      </c>
      <c r="AU125" s="36"/>
    </row>
    <row r="126" customFormat="false" ht="15" hidden="false" customHeight="false" outlineLevel="0" collapsed="false">
      <c r="A126" s="36"/>
      <c r="B126" s="36"/>
      <c r="C126" s="36"/>
      <c r="D126" s="37"/>
      <c r="E126" s="37"/>
      <c r="F126" s="37"/>
      <c r="G126" s="38"/>
      <c r="H126" s="38"/>
      <c r="I126" s="36"/>
      <c r="J126" s="38"/>
      <c r="K126" s="37"/>
      <c r="L126" s="36"/>
      <c r="M126" s="37"/>
      <c r="N126" s="37"/>
      <c r="O126" s="37"/>
      <c r="P126" s="37"/>
      <c r="Q126" s="36"/>
      <c r="R126" s="39" t="str">
        <f aca="true">IF(H126="","",TODAY()-H126)</f>
        <v/>
      </c>
      <c r="S126" s="39" t="str">
        <f aca="true">IF(J126="","",J126-TODAY())</f>
        <v/>
      </c>
      <c r="T126" s="37"/>
      <c r="U126" s="37"/>
      <c r="V126" s="40" t="str">
        <f aca="false">IFERROR(INDEX('Azure Resource Map'!$D$2:$D$2001,MATCH($C126,'Azure Resource Map'!$A$2:$A$2001,0)),"")</f>
        <v/>
      </c>
      <c r="W126" s="39" t="str">
        <f aca="false">IFERROR(INDEX('Azure Resource Map'!$E$2:$E$2001,MATCH($C126,'Azure Resource Map'!$A$2:$A$2001,0)),"")</f>
        <v/>
      </c>
      <c r="X126" s="39" t="str">
        <f aca="false">IFERROR(INDEX('Azure Resource Map'!$F$2:$F$2001,MATCH($C126,'Azure Resource Map'!$A$2:$A$2001,0)),"")</f>
        <v/>
      </c>
      <c r="Y126" s="39" t="str">
        <f aca="false">IF($C126="","",IF(ISNUMBER(MATCH($C126,'CA Exclusion Map'!$A$2:$A$2001,0)),"Yes","No"))</f>
        <v/>
      </c>
      <c r="Z126" s="39" t="str">
        <f aca="false">IFERROR(INDEX('CA Exclusion Map'!$D$2:$D$2001,MATCH($C126,'CA Exclusion Map'!$A$2:$A$2001,0)),"")</f>
        <v/>
      </c>
      <c r="AA126" s="40" t="str">
        <f aca="false">IFERROR(INDEX('CA Exclusion Map'!$E$2:$E$2001,MATCH($C126,'CA Exclusion Map'!$A$2:$A$2001,0)),"")</f>
        <v/>
      </c>
      <c r="AB126" s="40" t="str">
        <f aca="false">IFERROR(INDEX('CA Exclusion Map'!$F$2:$F$2001,MATCH($C126,'CA Exclusion Map'!$A$2:$A$2001,0)),"")</f>
        <v/>
      </c>
      <c r="AC126" s="36"/>
      <c r="AD126" s="37"/>
      <c r="AE126" s="38"/>
      <c r="AF126" s="38"/>
      <c r="AG126" s="39" t="str">
        <f aca="true">IF(Y126="","",IF(Y126&lt;&gt;"Yes","N/A",IF(AF126="","NO EXPIRY SET",IF(TODAY()&gt;AF126,"EXPIRED",IF(AF126-TODAY()&lt;=30,"Expiring Soon","Active")))))</f>
        <v/>
      </c>
      <c r="AH126" s="36"/>
      <c r="AI126" s="36"/>
      <c r="AJ126" s="37"/>
      <c r="AK126" s="36"/>
      <c r="AL126" s="37"/>
      <c r="AM126" s="37"/>
      <c r="AN126" s="37"/>
      <c r="AO126" s="37"/>
      <c r="AP126" s="38"/>
      <c r="AQ126" s="37"/>
      <c r="AR126" s="37"/>
      <c r="AS126" s="41" t="str">
        <f aca="false">IF(AP126="","",AP126+90)</f>
        <v/>
      </c>
      <c r="AT126" s="39" t="str">
        <f aca="true">IF(C126="","",IF(AP126="","NOT REVIEWED",IF(TODAY()&gt;AS126,"OVERDUE",IF(AS126-TODAY()&lt;=14,"Due Soon","Current"))))</f>
        <v/>
      </c>
      <c r="AU126" s="36"/>
    </row>
    <row r="127" customFormat="false" ht="15" hidden="false" customHeight="false" outlineLevel="0" collapsed="false">
      <c r="A127" s="36"/>
      <c r="B127" s="36"/>
      <c r="C127" s="36"/>
      <c r="D127" s="37"/>
      <c r="E127" s="37"/>
      <c r="F127" s="37"/>
      <c r="G127" s="38"/>
      <c r="H127" s="38"/>
      <c r="I127" s="36"/>
      <c r="J127" s="38"/>
      <c r="K127" s="37"/>
      <c r="L127" s="36"/>
      <c r="M127" s="37"/>
      <c r="N127" s="37"/>
      <c r="O127" s="37"/>
      <c r="P127" s="37"/>
      <c r="Q127" s="36"/>
      <c r="R127" s="39" t="str">
        <f aca="true">IF(H127="","",TODAY()-H127)</f>
        <v/>
      </c>
      <c r="S127" s="39" t="str">
        <f aca="true">IF(J127="","",J127-TODAY())</f>
        <v/>
      </c>
      <c r="T127" s="37"/>
      <c r="U127" s="37"/>
      <c r="V127" s="40" t="str">
        <f aca="false">IFERROR(INDEX('Azure Resource Map'!$D$2:$D$2001,MATCH($C127,'Azure Resource Map'!$A$2:$A$2001,0)),"")</f>
        <v/>
      </c>
      <c r="W127" s="39" t="str">
        <f aca="false">IFERROR(INDEX('Azure Resource Map'!$E$2:$E$2001,MATCH($C127,'Azure Resource Map'!$A$2:$A$2001,0)),"")</f>
        <v/>
      </c>
      <c r="X127" s="39" t="str">
        <f aca="false">IFERROR(INDEX('Azure Resource Map'!$F$2:$F$2001,MATCH($C127,'Azure Resource Map'!$A$2:$A$2001,0)),"")</f>
        <v/>
      </c>
      <c r="Y127" s="39" t="str">
        <f aca="false">IF($C127="","",IF(ISNUMBER(MATCH($C127,'CA Exclusion Map'!$A$2:$A$2001,0)),"Yes","No"))</f>
        <v/>
      </c>
      <c r="Z127" s="39" t="str">
        <f aca="false">IFERROR(INDEX('CA Exclusion Map'!$D$2:$D$2001,MATCH($C127,'CA Exclusion Map'!$A$2:$A$2001,0)),"")</f>
        <v/>
      </c>
      <c r="AA127" s="40" t="str">
        <f aca="false">IFERROR(INDEX('CA Exclusion Map'!$E$2:$E$2001,MATCH($C127,'CA Exclusion Map'!$A$2:$A$2001,0)),"")</f>
        <v/>
      </c>
      <c r="AB127" s="40" t="str">
        <f aca="false">IFERROR(INDEX('CA Exclusion Map'!$F$2:$F$2001,MATCH($C127,'CA Exclusion Map'!$A$2:$A$2001,0)),"")</f>
        <v/>
      </c>
      <c r="AC127" s="36"/>
      <c r="AD127" s="37"/>
      <c r="AE127" s="38"/>
      <c r="AF127" s="38"/>
      <c r="AG127" s="39" t="str">
        <f aca="true">IF(Y127="","",IF(Y127&lt;&gt;"Yes","N/A",IF(AF127="","NO EXPIRY SET",IF(TODAY()&gt;AF127,"EXPIRED",IF(AF127-TODAY()&lt;=30,"Expiring Soon","Active")))))</f>
        <v/>
      </c>
      <c r="AH127" s="36"/>
      <c r="AI127" s="36"/>
      <c r="AJ127" s="37"/>
      <c r="AK127" s="36"/>
      <c r="AL127" s="37"/>
      <c r="AM127" s="37"/>
      <c r="AN127" s="37"/>
      <c r="AO127" s="37"/>
      <c r="AP127" s="38"/>
      <c r="AQ127" s="37"/>
      <c r="AR127" s="37"/>
      <c r="AS127" s="41" t="str">
        <f aca="false">IF(AP127="","",AP127+90)</f>
        <v/>
      </c>
      <c r="AT127" s="39" t="str">
        <f aca="true">IF(C127="","",IF(AP127="","NOT REVIEWED",IF(TODAY()&gt;AS127,"OVERDUE",IF(AS127-TODAY()&lt;=14,"Due Soon","Current"))))</f>
        <v/>
      </c>
      <c r="AU127" s="36"/>
    </row>
    <row r="128" customFormat="false" ht="15" hidden="false" customHeight="false" outlineLevel="0" collapsed="false">
      <c r="A128" s="36"/>
      <c r="B128" s="36"/>
      <c r="C128" s="36"/>
      <c r="D128" s="37"/>
      <c r="E128" s="37"/>
      <c r="F128" s="37"/>
      <c r="G128" s="38"/>
      <c r="H128" s="38"/>
      <c r="I128" s="36"/>
      <c r="J128" s="38"/>
      <c r="K128" s="37"/>
      <c r="L128" s="36"/>
      <c r="M128" s="37"/>
      <c r="N128" s="37"/>
      <c r="O128" s="37"/>
      <c r="P128" s="37"/>
      <c r="Q128" s="36"/>
      <c r="R128" s="39" t="str">
        <f aca="true">IF(H128="","",TODAY()-H128)</f>
        <v/>
      </c>
      <c r="S128" s="39" t="str">
        <f aca="true">IF(J128="","",J128-TODAY())</f>
        <v/>
      </c>
      <c r="T128" s="37"/>
      <c r="U128" s="37"/>
      <c r="V128" s="40" t="str">
        <f aca="false">IFERROR(INDEX('Azure Resource Map'!$D$2:$D$2001,MATCH($C128,'Azure Resource Map'!$A$2:$A$2001,0)),"")</f>
        <v/>
      </c>
      <c r="W128" s="39" t="str">
        <f aca="false">IFERROR(INDEX('Azure Resource Map'!$E$2:$E$2001,MATCH($C128,'Azure Resource Map'!$A$2:$A$2001,0)),"")</f>
        <v/>
      </c>
      <c r="X128" s="39" t="str">
        <f aca="false">IFERROR(INDEX('Azure Resource Map'!$F$2:$F$2001,MATCH($C128,'Azure Resource Map'!$A$2:$A$2001,0)),"")</f>
        <v/>
      </c>
      <c r="Y128" s="39" t="str">
        <f aca="false">IF($C128="","",IF(ISNUMBER(MATCH($C128,'CA Exclusion Map'!$A$2:$A$2001,0)),"Yes","No"))</f>
        <v/>
      </c>
      <c r="Z128" s="39" t="str">
        <f aca="false">IFERROR(INDEX('CA Exclusion Map'!$D$2:$D$2001,MATCH($C128,'CA Exclusion Map'!$A$2:$A$2001,0)),"")</f>
        <v/>
      </c>
      <c r="AA128" s="40" t="str">
        <f aca="false">IFERROR(INDEX('CA Exclusion Map'!$E$2:$E$2001,MATCH($C128,'CA Exclusion Map'!$A$2:$A$2001,0)),"")</f>
        <v/>
      </c>
      <c r="AB128" s="40" t="str">
        <f aca="false">IFERROR(INDEX('CA Exclusion Map'!$F$2:$F$2001,MATCH($C128,'CA Exclusion Map'!$A$2:$A$2001,0)),"")</f>
        <v/>
      </c>
      <c r="AC128" s="36"/>
      <c r="AD128" s="37"/>
      <c r="AE128" s="38"/>
      <c r="AF128" s="38"/>
      <c r="AG128" s="39" t="str">
        <f aca="true">IF(Y128="","",IF(Y128&lt;&gt;"Yes","N/A",IF(AF128="","NO EXPIRY SET",IF(TODAY()&gt;AF128,"EXPIRED",IF(AF128-TODAY()&lt;=30,"Expiring Soon","Active")))))</f>
        <v/>
      </c>
      <c r="AH128" s="36"/>
      <c r="AI128" s="36"/>
      <c r="AJ128" s="37"/>
      <c r="AK128" s="36"/>
      <c r="AL128" s="37"/>
      <c r="AM128" s="37"/>
      <c r="AN128" s="37"/>
      <c r="AO128" s="37"/>
      <c r="AP128" s="38"/>
      <c r="AQ128" s="37"/>
      <c r="AR128" s="37"/>
      <c r="AS128" s="41" t="str">
        <f aca="false">IF(AP128="","",AP128+90)</f>
        <v/>
      </c>
      <c r="AT128" s="39" t="str">
        <f aca="true">IF(C128="","",IF(AP128="","NOT REVIEWED",IF(TODAY()&gt;AS128,"OVERDUE",IF(AS128-TODAY()&lt;=14,"Due Soon","Current"))))</f>
        <v/>
      </c>
      <c r="AU128" s="36"/>
    </row>
    <row r="129" customFormat="false" ht="15" hidden="false" customHeight="false" outlineLevel="0" collapsed="false">
      <c r="A129" s="36"/>
      <c r="B129" s="36"/>
      <c r="C129" s="36"/>
      <c r="D129" s="37"/>
      <c r="E129" s="37"/>
      <c r="F129" s="37"/>
      <c r="G129" s="38"/>
      <c r="H129" s="38"/>
      <c r="I129" s="36"/>
      <c r="J129" s="38"/>
      <c r="K129" s="37"/>
      <c r="L129" s="36"/>
      <c r="M129" s="37"/>
      <c r="N129" s="37"/>
      <c r="O129" s="37"/>
      <c r="P129" s="37"/>
      <c r="Q129" s="36"/>
      <c r="R129" s="39" t="str">
        <f aca="true">IF(H129="","",TODAY()-H129)</f>
        <v/>
      </c>
      <c r="S129" s="39" t="str">
        <f aca="true">IF(J129="","",J129-TODAY())</f>
        <v/>
      </c>
      <c r="T129" s="37"/>
      <c r="U129" s="37"/>
      <c r="V129" s="40" t="str">
        <f aca="false">IFERROR(INDEX('Azure Resource Map'!$D$2:$D$2001,MATCH($C129,'Azure Resource Map'!$A$2:$A$2001,0)),"")</f>
        <v/>
      </c>
      <c r="W129" s="39" t="str">
        <f aca="false">IFERROR(INDEX('Azure Resource Map'!$E$2:$E$2001,MATCH($C129,'Azure Resource Map'!$A$2:$A$2001,0)),"")</f>
        <v/>
      </c>
      <c r="X129" s="39" t="str">
        <f aca="false">IFERROR(INDEX('Azure Resource Map'!$F$2:$F$2001,MATCH($C129,'Azure Resource Map'!$A$2:$A$2001,0)),"")</f>
        <v/>
      </c>
      <c r="Y129" s="39" t="str">
        <f aca="false">IF($C129="","",IF(ISNUMBER(MATCH($C129,'CA Exclusion Map'!$A$2:$A$2001,0)),"Yes","No"))</f>
        <v/>
      </c>
      <c r="Z129" s="39" t="str">
        <f aca="false">IFERROR(INDEX('CA Exclusion Map'!$D$2:$D$2001,MATCH($C129,'CA Exclusion Map'!$A$2:$A$2001,0)),"")</f>
        <v/>
      </c>
      <c r="AA129" s="40" t="str">
        <f aca="false">IFERROR(INDEX('CA Exclusion Map'!$E$2:$E$2001,MATCH($C129,'CA Exclusion Map'!$A$2:$A$2001,0)),"")</f>
        <v/>
      </c>
      <c r="AB129" s="40" t="str">
        <f aca="false">IFERROR(INDEX('CA Exclusion Map'!$F$2:$F$2001,MATCH($C129,'CA Exclusion Map'!$A$2:$A$2001,0)),"")</f>
        <v/>
      </c>
      <c r="AC129" s="36"/>
      <c r="AD129" s="37"/>
      <c r="AE129" s="38"/>
      <c r="AF129" s="38"/>
      <c r="AG129" s="39" t="str">
        <f aca="true">IF(Y129="","",IF(Y129&lt;&gt;"Yes","N/A",IF(AF129="","NO EXPIRY SET",IF(TODAY()&gt;AF129,"EXPIRED",IF(AF129-TODAY()&lt;=30,"Expiring Soon","Active")))))</f>
        <v/>
      </c>
      <c r="AH129" s="36"/>
      <c r="AI129" s="36"/>
      <c r="AJ129" s="37"/>
      <c r="AK129" s="36"/>
      <c r="AL129" s="37"/>
      <c r="AM129" s="37"/>
      <c r="AN129" s="37"/>
      <c r="AO129" s="37"/>
      <c r="AP129" s="38"/>
      <c r="AQ129" s="37"/>
      <c r="AR129" s="37"/>
      <c r="AS129" s="41" t="str">
        <f aca="false">IF(AP129="","",AP129+90)</f>
        <v/>
      </c>
      <c r="AT129" s="39" t="str">
        <f aca="true">IF(C129="","",IF(AP129="","NOT REVIEWED",IF(TODAY()&gt;AS129,"OVERDUE",IF(AS129-TODAY()&lt;=14,"Due Soon","Current"))))</f>
        <v/>
      </c>
      <c r="AU129" s="36"/>
    </row>
    <row r="130" customFormat="false" ht="15" hidden="false" customHeight="false" outlineLevel="0" collapsed="false">
      <c r="A130" s="36"/>
      <c r="B130" s="36"/>
      <c r="C130" s="36"/>
      <c r="D130" s="37"/>
      <c r="E130" s="37"/>
      <c r="F130" s="37"/>
      <c r="G130" s="38"/>
      <c r="H130" s="38"/>
      <c r="I130" s="36"/>
      <c r="J130" s="38"/>
      <c r="K130" s="37"/>
      <c r="L130" s="36"/>
      <c r="M130" s="37"/>
      <c r="N130" s="37"/>
      <c r="O130" s="37"/>
      <c r="P130" s="37"/>
      <c r="Q130" s="36"/>
      <c r="R130" s="39" t="str">
        <f aca="true">IF(H130="","",TODAY()-H130)</f>
        <v/>
      </c>
      <c r="S130" s="39" t="str">
        <f aca="true">IF(J130="","",J130-TODAY())</f>
        <v/>
      </c>
      <c r="T130" s="37"/>
      <c r="U130" s="37"/>
      <c r="V130" s="40" t="str">
        <f aca="false">IFERROR(INDEX('Azure Resource Map'!$D$2:$D$2001,MATCH($C130,'Azure Resource Map'!$A$2:$A$2001,0)),"")</f>
        <v/>
      </c>
      <c r="W130" s="39" t="str">
        <f aca="false">IFERROR(INDEX('Azure Resource Map'!$E$2:$E$2001,MATCH($C130,'Azure Resource Map'!$A$2:$A$2001,0)),"")</f>
        <v/>
      </c>
      <c r="X130" s="39" t="str">
        <f aca="false">IFERROR(INDEX('Azure Resource Map'!$F$2:$F$2001,MATCH($C130,'Azure Resource Map'!$A$2:$A$2001,0)),"")</f>
        <v/>
      </c>
      <c r="Y130" s="39" t="str">
        <f aca="false">IF($C130="","",IF(ISNUMBER(MATCH($C130,'CA Exclusion Map'!$A$2:$A$2001,0)),"Yes","No"))</f>
        <v/>
      </c>
      <c r="Z130" s="39" t="str">
        <f aca="false">IFERROR(INDEX('CA Exclusion Map'!$D$2:$D$2001,MATCH($C130,'CA Exclusion Map'!$A$2:$A$2001,0)),"")</f>
        <v/>
      </c>
      <c r="AA130" s="40" t="str">
        <f aca="false">IFERROR(INDEX('CA Exclusion Map'!$E$2:$E$2001,MATCH($C130,'CA Exclusion Map'!$A$2:$A$2001,0)),"")</f>
        <v/>
      </c>
      <c r="AB130" s="40" t="str">
        <f aca="false">IFERROR(INDEX('CA Exclusion Map'!$F$2:$F$2001,MATCH($C130,'CA Exclusion Map'!$A$2:$A$2001,0)),"")</f>
        <v/>
      </c>
      <c r="AC130" s="36"/>
      <c r="AD130" s="37"/>
      <c r="AE130" s="38"/>
      <c r="AF130" s="38"/>
      <c r="AG130" s="39" t="str">
        <f aca="true">IF(Y130="","",IF(Y130&lt;&gt;"Yes","N/A",IF(AF130="","NO EXPIRY SET",IF(TODAY()&gt;AF130,"EXPIRED",IF(AF130-TODAY()&lt;=30,"Expiring Soon","Active")))))</f>
        <v/>
      </c>
      <c r="AH130" s="36"/>
      <c r="AI130" s="36"/>
      <c r="AJ130" s="37"/>
      <c r="AK130" s="36"/>
      <c r="AL130" s="37"/>
      <c r="AM130" s="37"/>
      <c r="AN130" s="37"/>
      <c r="AO130" s="37"/>
      <c r="AP130" s="38"/>
      <c r="AQ130" s="37"/>
      <c r="AR130" s="37"/>
      <c r="AS130" s="41" t="str">
        <f aca="false">IF(AP130="","",AP130+90)</f>
        <v/>
      </c>
      <c r="AT130" s="39" t="str">
        <f aca="true">IF(C130="","",IF(AP130="","NOT REVIEWED",IF(TODAY()&gt;AS130,"OVERDUE",IF(AS130-TODAY()&lt;=14,"Due Soon","Current"))))</f>
        <v/>
      </c>
      <c r="AU130" s="36"/>
    </row>
    <row r="131" customFormat="false" ht="15" hidden="false" customHeight="false" outlineLevel="0" collapsed="false">
      <c r="A131" s="36"/>
      <c r="B131" s="36"/>
      <c r="C131" s="36"/>
      <c r="D131" s="37"/>
      <c r="E131" s="37"/>
      <c r="F131" s="37"/>
      <c r="G131" s="38"/>
      <c r="H131" s="38"/>
      <c r="I131" s="36"/>
      <c r="J131" s="38"/>
      <c r="K131" s="37"/>
      <c r="L131" s="36"/>
      <c r="M131" s="37"/>
      <c r="N131" s="37"/>
      <c r="O131" s="37"/>
      <c r="P131" s="37"/>
      <c r="Q131" s="36"/>
      <c r="R131" s="39" t="str">
        <f aca="true">IF(H131="","",TODAY()-H131)</f>
        <v/>
      </c>
      <c r="S131" s="39" t="str">
        <f aca="true">IF(J131="","",J131-TODAY())</f>
        <v/>
      </c>
      <c r="T131" s="37"/>
      <c r="U131" s="37"/>
      <c r="V131" s="40" t="str">
        <f aca="false">IFERROR(INDEX('Azure Resource Map'!$D$2:$D$2001,MATCH($C131,'Azure Resource Map'!$A$2:$A$2001,0)),"")</f>
        <v/>
      </c>
      <c r="W131" s="39" t="str">
        <f aca="false">IFERROR(INDEX('Azure Resource Map'!$E$2:$E$2001,MATCH($C131,'Azure Resource Map'!$A$2:$A$2001,0)),"")</f>
        <v/>
      </c>
      <c r="X131" s="39" t="str">
        <f aca="false">IFERROR(INDEX('Azure Resource Map'!$F$2:$F$2001,MATCH($C131,'Azure Resource Map'!$A$2:$A$2001,0)),"")</f>
        <v/>
      </c>
      <c r="Y131" s="39" t="str">
        <f aca="false">IF($C131="","",IF(ISNUMBER(MATCH($C131,'CA Exclusion Map'!$A$2:$A$2001,0)),"Yes","No"))</f>
        <v/>
      </c>
      <c r="Z131" s="39" t="str">
        <f aca="false">IFERROR(INDEX('CA Exclusion Map'!$D$2:$D$2001,MATCH($C131,'CA Exclusion Map'!$A$2:$A$2001,0)),"")</f>
        <v/>
      </c>
      <c r="AA131" s="40" t="str">
        <f aca="false">IFERROR(INDEX('CA Exclusion Map'!$E$2:$E$2001,MATCH($C131,'CA Exclusion Map'!$A$2:$A$2001,0)),"")</f>
        <v/>
      </c>
      <c r="AB131" s="40" t="str">
        <f aca="false">IFERROR(INDEX('CA Exclusion Map'!$F$2:$F$2001,MATCH($C131,'CA Exclusion Map'!$A$2:$A$2001,0)),"")</f>
        <v/>
      </c>
      <c r="AC131" s="36"/>
      <c r="AD131" s="37"/>
      <c r="AE131" s="38"/>
      <c r="AF131" s="38"/>
      <c r="AG131" s="39" t="str">
        <f aca="true">IF(Y131="","",IF(Y131&lt;&gt;"Yes","N/A",IF(AF131="","NO EXPIRY SET",IF(TODAY()&gt;AF131,"EXPIRED",IF(AF131-TODAY()&lt;=30,"Expiring Soon","Active")))))</f>
        <v/>
      </c>
      <c r="AH131" s="36"/>
      <c r="AI131" s="36"/>
      <c r="AJ131" s="37"/>
      <c r="AK131" s="36"/>
      <c r="AL131" s="37"/>
      <c r="AM131" s="37"/>
      <c r="AN131" s="37"/>
      <c r="AO131" s="37"/>
      <c r="AP131" s="38"/>
      <c r="AQ131" s="37"/>
      <c r="AR131" s="37"/>
      <c r="AS131" s="41" t="str">
        <f aca="false">IF(AP131="","",AP131+90)</f>
        <v/>
      </c>
      <c r="AT131" s="39" t="str">
        <f aca="true">IF(C131="","",IF(AP131="","NOT REVIEWED",IF(TODAY()&gt;AS131,"OVERDUE",IF(AS131-TODAY()&lt;=14,"Due Soon","Current"))))</f>
        <v/>
      </c>
      <c r="AU131" s="36"/>
    </row>
    <row r="132" customFormat="false" ht="15" hidden="false" customHeight="false" outlineLevel="0" collapsed="false">
      <c r="A132" s="36"/>
      <c r="B132" s="36"/>
      <c r="C132" s="36"/>
      <c r="D132" s="37"/>
      <c r="E132" s="37"/>
      <c r="F132" s="37"/>
      <c r="G132" s="38"/>
      <c r="H132" s="38"/>
      <c r="I132" s="36"/>
      <c r="J132" s="38"/>
      <c r="K132" s="37"/>
      <c r="L132" s="36"/>
      <c r="M132" s="37"/>
      <c r="N132" s="37"/>
      <c r="O132" s="37"/>
      <c r="P132" s="37"/>
      <c r="Q132" s="36"/>
      <c r="R132" s="39" t="str">
        <f aca="true">IF(H132="","",TODAY()-H132)</f>
        <v/>
      </c>
      <c r="S132" s="39" t="str">
        <f aca="true">IF(J132="","",J132-TODAY())</f>
        <v/>
      </c>
      <c r="T132" s="37"/>
      <c r="U132" s="37"/>
      <c r="V132" s="40" t="str">
        <f aca="false">IFERROR(INDEX('Azure Resource Map'!$D$2:$D$2001,MATCH($C132,'Azure Resource Map'!$A$2:$A$2001,0)),"")</f>
        <v/>
      </c>
      <c r="W132" s="39" t="str">
        <f aca="false">IFERROR(INDEX('Azure Resource Map'!$E$2:$E$2001,MATCH($C132,'Azure Resource Map'!$A$2:$A$2001,0)),"")</f>
        <v/>
      </c>
      <c r="X132" s="39" t="str">
        <f aca="false">IFERROR(INDEX('Azure Resource Map'!$F$2:$F$2001,MATCH($C132,'Azure Resource Map'!$A$2:$A$2001,0)),"")</f>
        <v/>
      </c>
      <c r="Y132" s="39" t="str">
        <f aca="false">IF($C132="","",IF(ISNUMBER(MATCH($C132,'CA Exclusion Map'!$A$2:$A$2001,0)),"Yes","No"))</f>
        <v/>
      </c>
      <c r="Z132" s="39" t="str">
        <f aca="false">IFERROR(INDEX('CA Exclusion Map'!$D$2:$D$2001,MATCH($C132,'CA Exclusion Map'!$A$2:$A$2001,0)),"")</f>
        <v/>
      </c>
      <c r="AA132" s="40" t="str">
        <f aca="false">IFERROR(INDEX('CA Exclusion Map'!$E$2:$E$2001,MATCH($C132,'CA Exclusion Map'!$A$2:$A$2001,0)),"")</f>
        <v/>
      </c>
      <c r="AB132" s="40" t="str">
        <f aca="false">IFERROR(INDEX('CA Exclusion Map'!$F$2:$F$2001,MATCH($C132,'CA Exclusion Map'!$A$2:$A$2001,0)),"")</f>
        <v/>
      </c>
      <c r="AC132" s="36"/>
      <c r="AD132" s="37"/>
      <c r="AE132" s="38"/>
      <c r="AF132" s="38"/>
      <c r="AG132" s="39" t="str">
        <f aca="true">IF(Y132="","",IF(Y132&lt;&gt;"Yes","N/A",IF(AF132="","NO EXPIRY SET",IF(TODAY()&gt;AF132,"EXPIRED",IF(AF132-TODAY()&lt;=30,"Expiring Soon","Active")))))</f>
        <v/>
      </c>
      <c r="AH132" s="36"/>
      <c r="AI132" s="36"/>
      <c r="AJ132" s="37"/>
      <c r="AK132" s="36"/>
      <c r="AL132" s="37"/>
      <c r="AM132" s="37"/>
      <c r="AN132" s="37"/>
      <c r="AO132" s="37"/>
      <c r="AP132" s="38"/>
      <c r="AQ132" s="37"/>
      <c r="AR132" s="37"/>
      <c r="AS132" s="41" t="str">
        <f aca="false">IF(AP132="","",AP132+90)</f>
        <v/>
      </c>
      <c r="AT132" s="39" t="str">
        <f aca="true">IF(C132="","",IF(AP132="","NOT REVIEWED",IF(TODAY()&gt;AS132,"OVERDUE",IF(AS132-TODAY()&lt;=14,"Due Soon","Current"))))</f>
        <v/>
      </c>
      <c r="AU132" s="36"/>
    </row>
    <row r="133" customFormat="false" ht="15" hidden="false" customHeight="false" outlineLevel="0" collapsed="false">
      <c r="A133" s="36"/>
      <c r="B133" s="36"/>
      <c r="C133" s="36"/>
      <c r="D133" s="37"/>
      <c r="E133" s="37"/>
      <c r="F133" s="37"/>
      <c r="G133" s="38"/>
      <c r="H133" s="38"/>
      <c r="I133" s="36"/>
      <c r="J133" s="38"/>
      <c r="K133" s="37"/>
      <c r="L133" s="36"/>
      <c r="M133" s="37"/>
      <c r="N133" s="37"/>
      <c r="O133" s="37"/>
      <c r="P133" s="37"/>
      <c r="Q133" s="36"/>
      <c r="R133" s="39" t="str">
        <f aca="true">IF(H133="","",TODAY()-H133)</f>
        <v/>
      </c>
      <c r="S133" s="39" t="str">
        <f aca="true">IF(J133="","",J133-TODAY())</f>
        <v/>
      </c>
      <c r="T133" s="37"/>
      <c r="U133" s="37"/>
      <c r="V133" s="40" t="str">
        <f aca="false">IFERROR(INDEX('Azure Resource Map'!$D$2:$D$2001,MATCH($C133,'Azure Resource Map'!$A$2:$A$2001,0)),"")</f>
        <v/>
      </c>
      <c r="W133" s="39" t="str">
        <f aca="false">IFERROR(INDEX('Azure Resource Map'!$E$2:$E$2001,MATCH($C133,'Azure Resource Map'!$A$2:$A$2001,0)),"")</f>
        <v/>
      </c>
      <c r="X133" s="39" t="str">
        <f aca="false">IFERROR(INDEX('Azure Resource Map'!$F$2:$F$2001,MATCH($C133,'Azure Resource Map'!$A$2:$A$2001,0)),"")</f>
        <v/>
      </c>
      <c r="Y133" s="39" t="str">
        <f aca="false">IF($C133="","",IF(ISNUMBER(MATCH($C133,'CA Exclusion Map'!$A$2:$A$2001,0)),"Yes","No"))</f>
        <v/>
      </c>
      <c r="Z133" s="39" t="str">
        <f aca="false">IFERROR(INDEX('CA Exclusion Map'!$D$2:$D$2001,MATCH($C133,'CA Exclusion Map'!$A$2:$A$2001,0)),"")</f>
        <v/>
      </c>
      <c r="AA133" s="40" t="str">
        <f aca="false">IFERROR(INDEX('CA Exclusion Map'!$E$2:$E$2001,MATCH($C133,'CA Exclusion Map'!$A$2:$A$2001,0)),"")</f>
        <v/>
      </c>
      <c r="AB133" s="40" t="str">
        <f aca="false">IFERROR(INDEX('CA Exclusion Map'!$F$2:$F$2001,MATCH($C133,'CA Exclusion Map'!$A$2:$A$2001,0)),"")</f>
        <v/>
      </c>
      <c r="AC133" s="36"/>
      <c r="AD133" s="37"/>
      <c r="AE133" s="38"/>
      <c r="AF133" s="38"/>
      <c r="AG133" s="39" t="str">
        <f aca="true">IF(Y133="","",IF(Y133&lt;&gt;"Yes","N/A",IF(AF133="","NO EXPIRY SET",IF(TODAY()&gt;AF133,"EXPIRED",IF(AF133-TODAY()&lt;=30,"Expiring Soon","Active")))))</f>
        <v/>
      </c>
      <c r="AH133" s="36"/>
      <c r="AI133" s="36"/>
      <c r="AJ133" s="37"/>
      <c r="AK133" s="36"/>
      <c r="AL133" s="37"/>
      <c r="AM133" s="37"/>
      <c r="AN133" s="37"/>
      <c r="AO133" s="37"/>
      <c r="AP133" s="38"/>
      <c r="AQ133" s="37"/>
      <c r="AR133" s="37"/>
      <c r="AS133" s="41" t="str">
        <f aca="false">IF(AP133="","",AP133+90)</f>
        <v/>
      </c>
      <c r="AT133" s="39" t="str">
        <f aca="true">IF(C133="","",IF(AP133="","NOT REVIEWED",IF(TODAY()&gt;AS133,"OVERDUE",IF(AS133-TODAY()&lt;=14,"Due Soon","Current"))))</f>
        <v/>
      </c>
      <c r="AU133" s="36"/>
    </row>
    <row r="134" customFormat="false" ht="15" hidden="false" customHeight="false" outlineLevel="0" collapsed="false">
      <c r="A134" s="36"/>
      <c r="B134" s="36"/>
      <c r="C134" s="36"/>
      <c r="D134" s="37"/>
      <c r="E134" s="37"/>
      <c r="F134" s="37"/>
      <c r="G134" s="38"/>
      <c r="H134" s="38"/>
      <c r="I134" s="36"/>
      <c r="J134" s="38"/>
      <c r="K134" s="37"/>
      <c r="L134" s="36"/>
      <c r="M134" s="37"/>
      <c r="N134" s="37"/>
      <c r="O134" s="37"/>
      <c r="P134" s="37"/>
      <c r="Q134" s="36"/>
      <c r="R134" s="39" t="str">
        <f aca="true">IF(H134="","",TODAY()-H134)</f>
        <v/>
      </c>
      <c r="S134" s="39" t="str">
        <f aca="true">IF(J134="","",J134-TODAY())</f>
        <v/>
      </c>
      <c r="T134" s="37"/>
      <c r="U134" s="37"/>
      <c r="V134" s="40" t="str">
        <f aca="false">IFERROR(INDEX('Azure Resource Map'!$D$2:$D$2001,MATCH($C134,'Azure Resource Map'!$A$2:$A$2001,0)),"")</f>
        <v/>
      </c>
      <c r="W134" s="39" t="str">
        <f aca="false">IFERROR(INDEX('Azure Resource Map'!$E$2:$E$2001,MATCH($C134,'Azure Resource Map'!$A$2:$A$2001,0)),"")</f>
        <v/>
      </c>
      <c r="X134" s="39" t="str">
        <f aca="false">IFERROR(INDEX('Azure Resource Map'!$F$2:$F$2001,MATCH($C134,'Azure Resource Map'!$A$2:$A$2001,0)),"")</f>
        <v/>
      </c>
      <c r="Y134" s="39" t="str">
        <f aca="false">IF($C134="","",IF(ISNUMBER(MATCH($C134,'CA Exclusion Map'!$A$2:$A$2001,0)),"Yes","No"))</f>
        <v/>
      </c>
      <c r="Z134" s="39" t="str">
        <f aca="false">IFERROR(INDEX('CA Exclusion Map'!$D$2:$D$2001,MATCH($C134,'CA Exclusion Map'!$A$2:$A$2001,0)),"")</f>
        <v/>
      </c>
      <c r="AA134" s="40" t="str">
        <f aca="false">IFERROR(INDEX('CA Exclusion Map'!$E$2:$E$2001,MATCH($C134,'CA Exclusion Map'!$A$2:$A$2001,0)),"")</f>
        <v/>
      </c>
      <c r="AB134" s="40" t="str">
        <f aca="false">IFERROR(INDEX('CA Exclusion Map'!$F$2:$F$2001,MATCH($C134,'CA Exclusion Map'!$A$2:$A$2001,0)),"")</f>
        <v/>
      </c>
      <c r="AC134" s="36"/>
      <c r="AD134" s="37"/>
      <c r="AE134" s="38"/>
      <c r="AF134" s="38"/>
      <c r="AG134" s="39" t="str">
        <f aca="true">IF(Y134="","",IF(Y134&lt;&gt;"Yes","N/A",IF(AF134="","NO EXPIRY SET",IF(TODAY()&gt;AF134,"EXPIRED",IF(AF134-TODAY()&lt;=30,"Expiring Soon","Active")))))</f>
        <v/>
      </c>
      <c r="AH134" s="36"/>
      <c r="AI134" s="36"/>
      <c r="AJ134" s="37"/>
      <c r="AK134" s="36"/>
      <c r="AL134" s="37"/>
      <c r="AM134" s="37"/>
      <c r="AN134" s="37"/>
      <c r="AO134" s="37"/>
      <c r="AP134" s="38"/>
      <c r="AQ134" s="37"/>
      <c r="AR134" s="37"/>
      <c r="AS134" s="41" t="str">
        <f aca="false">IF(AP134="","",AP134+90)</f>
        <v/>
      </c>
      <c r="AT134" s="39" t="str">
        <f aca="true">IF(C134="","",IF(AP134="","NOT REVIEWED",IF(TODAY()&gt;AS134,"OVERDUE",IF(AS134-TODAY()&lt;=14,"Due Soon","Current"))))</f>
        <v/>
      </c>
      <c r="AU134" s="36"/>
    </row>
    <row r="135" customFormat="false" ht="15" hidden="false" customHeight="false" outlineLevel="0" collapsed="false">
      <c r="A135" s="36"/>
      <c r="B135" s="36"/>
      <c r="C135" s="36"/>
      <c r="D135" s="37"/>
      <c r="E135" s="37"/>
      <c r="F135" s="37"/>
      <c r="G135" s="38"/>
      <c r="H135" s="38"/>
      <c r="I135" s="36"/>
      <c r="J135" s="38"/>
      <c r="K135" s="37"/>
      <c r="L135" s="36"/>
      <c r="M135" s="37"/>
      <c r="N135" s="37"/>
      <c r="O135" s="37"/>
      <c r="P135" s="37"/>
      <c r="Q135" s="36"/>
      <c r="R135" s="39" t="str">
        <f aca="true">IF(H135="","",TODAY()-H135)</f>
        <v/>
      </c>
      <c r="S135" s="39" t="str">
        <f aca="true">IF(J135="","",J135-TODAY())</f>
        <v/>
      </c>
      <c r="T135" s="37"/>
      <c r="U135" s="37"/>
      <c r="V135" s="40" t="str">
        <f aca="false">IFERROR(INDEX('Azure Resource Map'!$D$2:$D$2001,MATCH($C135,'Azure Resource Map'!$A$2:$A$2001,0)),"")</f>
        <v/>
      </c>
      <c r="W135" s="39" t="str">
        <f aca="false">IFERROR(INDEX('Azure Resource Map'!$E$2:$E$2001,MATCH($C135,'Azure Resource Map'!$A$2:$A$2001,0)),"")</f>
        <v/>
      </c>
      <c r="X135" s="39" t="str">
        <f aca="false">IFERROR(INDEX('Azure Resource Map'!$F$2:$F$2001,MATCH($C135,'Azure Resource Map'!$A$2:$A$2001,0)),"")</f>
        <v/>
      </c>
      <c r="Y135" s="39" t="str">
        <f aca="false">IF($C135="","",IF(ISNUMBER(MATCH($C135,'CA Exclusion Map'!$A$2:$A$2001,0)),"Yes","No"))</f>
        <v/>
      </c>
      <c r="Z135" s="39" t="str">
        <f aca="false">IFERROR(INDEX('CA Exclusion Map'!$D$2:$D$2001,MATCH($C135,'CA Exclusion Map'!$A$2:$A$2001,0)),"")</f>
        <v/>
      </c>
      <c r="AA135" s="40" t="str">
        <f aca="false">IFERROR(INDEX('CA Exclusion Map'!$E$2:$E$2001,MATCH($C135,'CA Exclusion Map'!$A$2:$A$2001,0)),"")</f>
        <v/>
      </c>
      <c r="AB135" s="40" t="str">
        <f aca="false">IFERROR(INDEX('CA Exclusion Map'!$F$2:$F$2001,MATCH($C135,'CA Exclusion Map'!$A$2:$A$2001,0)),"")</f>
        <v/>
      </c>
      <c r="AC135" s="36"/>
      <c r="AD135" s="37"/>
      <c r="AE135" s="38"/>
      <c r="AF135" s="38"/>
      <c r="AG135" s="39" t="str">
        <f aca="true">IF(Y135="","",IF(Y135&lt;&gt;"Yes","N/A",IF(AF135="","NO EXPIRY SET",IF(TODAY()&gt;AF135,"EXPIRED",IF(AF135-TODAY()&lt;=30,"Expiring Soon","Active")))))</f>
        <v/>
      </c>
      <c r="AH135" s="36"/>
      <c r="AI135" s="36"/>
      <c r="AJ135" s="37"/>
      <c r="AK135" s="36"/>
      <c r="AL135" s="37"/>
      <c r="AM135" s="37"/>
      <c r="AN135" s="37"/>
      <c r="AO135" s="37"/>
      <c r="AP135" s="38"/>
      <c r="AQ135" s="37"/>
      <c r="AR135" s="37"/>
      <c r="AS135" s="41" t="str">
        <f aca="false">IF(AP135="","",AP135+90)</f>
        <v/>
      </c>
      <c r="AT135" s="39" t="str">
        <f aca="true">IF(C135="","",IF(AP135="","NOT REVIEWED",IF(TODAY()&gt;AS135,"OVERDUE",IF(AS135-TODAY()&lt;=14,"Due Soon","Current"))))</f>
        <v/>
      </c>
      <c r="AU135" s="36"/>
    </row>
    <row r="136" customFormat="false" ht="15" hidden="false" customHeight="false" outlineLevel="0" collapsed="false">
      <c r="A136" s="36"/>
      <c r="B136" s="36"/>
      <c r="C136" s="36"/>
      <c r="D136" s="37"/>
      <c r="E136" s="37"/>
      <c r="F136" s="37"/>
      <c r="G136" s="38"/>
      <c r="H136" s="38"/>
      <c r="I136" s="36"/>
      <c r="J136" s="38"/>
      <c r="K136" s="37"/>
      <c r="L136" s="36"/>
      <c r="M136" s="37"/>
      <c r="N136" s="37"/>
      <c r="O136" s="37"/>
      <c r="P136" s="37"/>
      <c r="Q136" s="36"/>
      <c r="R136" s="39" t="str">
        <f aca="true">IF(H136="","",TODAY()-H136)</f>
        <v/>
      </c>
      <c r="S136" s="39" t="str">
        <f aca="true">IF(J136="","",J136-TODAY())</f>
        <v/>
      </c>
      <c r="T136" s="37"/>
      <c r="U136" s="37"/>
      <c r="V136" s="40" t="str">
        <f aca="false">IFERROR(INDEX('Azure Resource Map'!$D$2:$D$2001,MATCH($C136,'Azure Resource Map'!$A$2:$A$2001,0)),"")</f>
        <v/>
      </c>
      <c r="W136" s="39" t="str">
        <f aca="false">IFERROR(INDEX('Azure Resource Map'!$E$2:$E$2001,MATCH($C136,'Azure Resource Map'!$A$2:$A$2001,0)),"")</f>
        <v/>
      </c>
      <c r="X136" s="39" t="str">
        <f aca="false">IFERROR(INDEX('Azure Resource Map'!$F$2:$F$2001,MATCH($C136,'Azure Resource Map'!$A$2:$A$2001,0)),"")</f>
        <v/>
      </c>
      <c r="Y136" s="39" t="str">
        <f aca="false">IF($C136="","",IF(ISNUMBER(MATCH($C136,'CA Exclusion Map'!$A$2:$A$2001,0)),"Yes","No"))</f>
        <v/>
      </c>
      <c r="Z136" s="39" t="str">
        <f aca="false">IFERROR(INDEX('CA Exclusion Map'!$D$2:$D$2001,MATCH($C136,'CA Exclusion Map'!$A$2:$A$2001,0)),"")</f>
        <v/>
      </c>
      <c r="AA136" s="40" t="str">
        <f aca="false">IFERROR(INDEX('CA Exclusion Map'!$E$2:$E$2001,MATCH($C136,'CA Exclusion Map'!$A$2:$A$2001,0)),"")</f>
        <v/>
      </c>
      <c r="AB136" s="40" t="str">
        <f aca="false">IFERROR(INDEX('CA Exclusion Map'!$F$2:$F$2001,MATCH($C136,'CA Exclusion Map'!$A$2:$A$2001,0)),"")</f>
        <v/>
      </c>
      <c r="AC136" s="36"/>
      <c r="AD136" s="37"/>
      <c r="AE136" s="38"/>
      <c r="AF136" s="38"/>
      <c r="AG136" s="39" t="str">
        <f aca="true">IF(Y136="","",IF(Y136&lt;&gt;"Yes","N/A",IF(AF136="","NO EXPIRY SET",IF(TODAY()&gt;AF136,"EXPIRED",IF(AF136-TODAY()&lt;=30,"Expiring Soon","Active")))))</f>
        <v/>
      </c>
      <c r="AH136" s="36"/>
      <c r="AI136" s="36"/>
      <c r="AJ136" s="37"/>
      <c r="AK136" s="36"/>
      <c r="AL136" s="37"/>
      <c r="AM136" s="37"/>
      <c r="AN136" s="37"/>
      <c r="AO136" s="37"/>
      <c r="AP136" s="38"/>
      <c r="AQ136" s="37"/>
      <c r="AR136" s="37"/>
      <c r="AS136" s="41" t="str">
        <f aca="false">IF(AP136="","",AP136+90)</f>
        <v/>
      </c>
      <c r="AT136" s="39" t="str">
        <f aca="true">IF(C136="","",IF(AP136="","NOT REVIEWED",IF(TODAY()&gt;AS136,"OVERDUE",IF(AS136-TODAY()&lt;=14,"Due Soon","Current"))))</f>
        <v/>
      </c>
      <c r="AU136" s="36"/>
    </row>
    <row r="137" customFormat="false" ht="15" hidden="false" customHeight="false" outlineLevel="0" collapsed="false">
      <c r="A137" s="36"/>
      <c r="B137" s="36"/>
      <c r="C137" s="36"/>
      <c r="D137" s="37"/>
      <c r="E137" s="37"/>
      <c r="F137" s="37"/>
      <c r="G137" s="38"/>
      <c r="H137" s="38"/>
      <c r="I137" s="36"/>
      <c r="J137" s="38"/>
      <c r="K137" s="37"/>
      <c r="L137" s="36"/>
      <c r="M137" s="37"/>
      <c r="N137" s="37"/>
      <c r="O137" s="37"/>
      <c r="P137" s="37"/>
      <c r="Q137" s="36"/>
      <c r="R137" s="39" t="str">
        <f aca="true">IF(H137="","",TODAY()-H137)</f>
        <v/>
      </c>
      <c r="S137" s="39" t="str">
        <f aca="true">IF(J137="","",J137-TODAY())</f>
        <v/>
      </c>
      <c r="T137" s="37"/>
      <c r="U137" s="37"/>
      <c r="V137" s="40" t="str">
        <f aca="false">IFERROR(INDEX('Azure Resource Map'!$D$2:$D$2001,MATCH($C137,'Azure Resource Map'!$A$2:$A$2001,0)),"")</f>
        <v/>
      </c>
      <c r="W137" s="39" t="str">
        <f aca="false">IFERROR(INDEX('Azure Resource Map'!$E$2:$E$2001,MATCH($C137,'Azure Resource Map'!$A$2:$A$2001,0)),"")</f>
        <v/>
      </c>
      <c r="X137" s="39" t="str">
        <f aca="false">IFERROR(INDEX('Azure Resource Map'!$F$2:$F$2001,MATCH($C137,'Azure Resource Map'!$A$2:$A$2001,0)),"")</f>
        <v/>
      </c>
      <c r="Y137" s="39" t="str">
        <f aca="false">IF($C137="","",IF(ISNUMBER(MATCH($C137,'CA Exclusion Map'!$A$2:$A$2001,0)),"Yes","No"))</f>
        <v/>
      </c>
      <c r="Z137" s="39" t="str">
        <f aca="false">IFERROR(INDEX('CA Exclusion Map'!$D$2:$D$2001,MATCH($C137,'CA Exclusion Map'!$A$2:$A$2001,0)),"")</f>
        <v/>
      </c>
      <c r="AA137" s="40" t="str">
        <f aca="false">IFERROR(INDEX('CA Exclusion Map'!$E$2:$E$2001,MATCH($C137,'CA Exclusion Map'!$A$2:$A$2001,0)),"")</f>
        <v/>
      </c>
      <c r="AB137" s="40" t="str">
        <f aca="false">IFERROR(INDEX('CA Exclusion Map'!$F$2:$F$2001,MATCH($C137,'CA Exclusion Map'!$A$2:$A$2001,0)),"")</f>
        <v/>
      </c>
      <c r="AC137" s="36"/>
      <c r="AD137" s="37"/>
      <c r="AE137" s="38"/>
      <c r="AF137" s="38"/>
      <c r="AG137" s="39" t="str">
        <f aca="true">IF(Y137="","",IF(Y137&lt;&gt;"Yes","N/A",IF(AF137="","NO EXPIRY SET",IF(TODAY()&gt;AF137,"EXPIRED",IF(AF137-TODAY()&lt;=30,"Expiring Soon","Active")))))</f>
        <v/>
      </c>
      <c r="AH137" s="36"/>
      <c r="AI137" s="36"/>
      <c r="AJ137" s="37"/>
      <c r="AK137" s="36"/>
      <c r="AL137" s="37"/>
      <c r="AM137" s="37"/>
      <c r="AN137" s="37"/>
      <c r="AO137" s="37"/>
      <c r="AP137" s="38"/>
      <c r="AQ137" s="37"/>
      <c r="AR137" s="37"/>
      <c r="AS137" s="41" t="str">
        <f aca="false">IF(AP137="","",AP137+90)</f>
        <v/>
      </c>
      <c r="AT137" s="39" t="str">
        <f aca="true">IF(C137="","",IF(AP137="","NOT REVIEWED",IF(TODAY()&gt;AS137,"OVERDUE",IF(AS137-TODAY()&lt;=14,"Due Soon","Current"))))</f>
        <v/>
      </c>
      <c r="AU137" s="36"/>
    </row>
    <row r="138" customFormat="false" ht="15" hidden="false" customHeight="false" outlineLevel="0" collapsed="false">
      <c r="A138" s="36"/>
      <c r="B138" s="36"/>
      <c r="C138" s="36"/>
      <c r="D138" s="37"/>
      <c r="E138" s="37"/>
      <c r="F138" s="37"/>
      <c r="G138" s="38"/>
      <c r="H138" s="38"/>
      <c r="I138" s="36"/>
      <c r="J138" s="38"/>
      <c r="K138" s="37"/>
      <c r="L138" s="36"/>
      <c r="M138" s="37"/>
      <c r="N138" s="37"/>
      <c r="O138" s="37"/>
      <c r="P138" s="37"/>
      <c r="Q138" s="36"/>
      <c r="R138" s="39" t="str">
        <f aca="true">IF(H138="","",TODAY()-H138)</f>
        <v/>
      </c>
      <c r="S138" s="39" t="str">
        <f aca="true">IF(J138="","",J138-TODAY())</f>
        <v/>
      </c>
      <c r="T138" s="37"/>
      <c r="U138" s="37"/>
      <c r="V138" s="40" t="str">
        <f aca="false">IFERROR(INDEX('Azure Resource Map'!$D$2:$D$2001,MATCH($C138,'Azure Resource Map'!$A$2:$A$2001,0)),"")</f>
        <v/>
      </c>
      <c r="W138" s="39" t="str">
        <f aca="false">IFERROR(INDEX('Azure Resource Map'!$E$2:$E$2001,MATCH($C138,'Azure Resource Map'!$A$2:$A$2001,0)),"")</f>
        <v/>
      </c>
      <c r="X138" s="39" t="str">
        <f aca="false">IFERROR(INDEX('Azure Resource Map'!$F$2:$F$2001,MATCH($C138,'Azure Resource Map'!$A$2:$A$2001,0)),"")</f>
        <v/>
      </c>
      <c r="Y138" s="39" t="str">
        <f aca="false">IF($C138="","",IF(ISNUMBER(MATCH($C138,'CA Exclusion Map'!$A$2:$A$2001,0)),"Yes","No"))</f>
        <v/>
      </c>
      <c r="Z138" s="39" t="str">
        <f aca="false">IFERROR(INDEX('CA Exclusion Map'!$D$2:$D$2001,MATCH($C138,'CA Exclusion Map'!$A$2:$A$2001,0)),"")</f>
        <v/>
      </c>
      <c r="AA138" s="40" t="str">
        <f aca="false">IFERROR(INDEX('CA Exclusion Map'!$E$2:$E$2001,MATCH($C138,'CA Exclusion Map'!$A$2:$A$2001,0)),"")</f>
        <v/>
      </c>
      <c r="AB138" s="40" t="str">
        <f aca="false">IFERROR(INDEX('CA Exclusion Map'!$F$2:$F$2001,MATCH($C138,'CA Exclusion Map'!$A$2:$A$2001,0)),"")</f>
        <v/>
      </c>
      <c r="AC138" s="36"/>
      <c r="AD138" s="37"/>
      <c r="AE138" s="38"/>
      <c r="AF138" s="38"/>
      <c r="AG138" s="39" t="str">
        <f aca="true">IF(Y138="","",IF(Y138&lt;&gt;"Yes","N/A",IF(AF138="","NO EXPIRY SET",IF(TODAY()&gt;AF138,"EXPIRED",IF(AF138-TODAY()&lt;=30,"Expiring Soon","Active")))))</f>
        <v/>
      </c>
      <c r="AH138" s="36"/>
      <c r="AI138" s="36"/>
      <c r="AJ138" s="37"/>
      <c r="AK138" s="36"/>
      <c r="AL138" s="37"/>
      <c r="AM138" s="37"/>
      <c r="AN138" s="37"/>
      <c r="AO138" s="37"/>
      <c r="AP138" s="38"/>
      <c r="AQ138" s="37"/>
      <c r="AR138" s="37"/>
      <c r="AS138" s="41" t="str">
        <f aca="false">IF(AP138="","",AP138+90)</f>
        <v/>
      </c>
      <c r="AT138" s="39" t="str">
        <f aca="true">IF(C138="","",IF(AP138="","NOT REVIEWED",IF(TODAY()&gt;AS138,"OVERDUE",IF(AS138-TODAY()&lt;=14,"Due Soon","Current"))))</f>
        <v/>
      </c>
      <c r="AU138" s="36"/>
    </row>
    <row r="139" customFormat="false" ht="15" hidden="false" customHeight="false" outlineLevel="0" collapsed="false">
      <c r="A139" s="36"/>
      <c r="B139" s="36"/>
      <c r="C139" s="36"/>
      <c r="D139" s="37"/>
      <c r="E139" s="37"/>
      <c r="F139" s="37"/>
      <c r="G139" s="38"/>
      <c r="H139" s="38"/>
      <c r="I139" s="36"/>
      <c r="J139" s="38"/>
      <c r="K139" s="37"/>
      <c r="L139" s="36"/>
      <c r="M139" s="37"/>
      <c r="N139" s="37"/>
      <c r="O139" s="37"/>
      <c r="P139" s="37"/>
      <c r="Q139" s="36"/>
      <c r="R139" s="39" t="str">
        <f aca="true">IF(H139="","",TODAY()-H139)</f>
        <v/>
      </c>
      <c r="S139" s="39" t="str">
        <f aca="true">IF(J139="","",J139-TODAY())</f>
        <v/>
      </c>
      <c r="T139" s="37"/>
      <c r="U139" s="37"/>
      <c r="V139" s="40" t="str">
        <f aca="false">IFERROR(INDEX('Azure Resource Map'!$D$2:$D$2001,MATCH($C139,'Azure Resource Map'!$A$2:$A$2001,0)),"")</f>
        <v/>
      </c>
      <c r="W139" s="39" t="str">
        <f aca="false">IFERROR(INDEX('Azure Resource Map'!$E$2:$E$2001,MATCH($C139,'Azure Resource Map'!$A$2:$A$2001,0)),"")</f>
        <v/>
      </c>
      <c r="X139" s="39" t="str">
        <f aca="false">IFERROR(INDEX('Azure Resource Map'!$F$2:$F$2001,MATCH($C139,'Azure Resource Map'!$A$2:$A$2001,0)),"")</f>
        <v/>
      </c>
      <c r="Y139" s="39" t="str">
        <f aca="false">IF($C139="","",IF(ISNUMBER(MATCH($C139,'CA Exclusion Map'!$A$2:$A$2001,0)),"Yes","No"))</f>
        <v/>
      </c>
      <c r="Z139" s="39" t="str">
        <f aca="false">IFERROR(INDEX('CA Exclusion Map'!$D$2:$D$2001,MATCH($C139,'CA Exclusion Map'!$A$2:$A$2001,0)),"")</f>
        <v/>
      </c>
      <c r="AA139" s="40" t="str">
        <f aca="false">IFERROR(INDEX('CA Exclusion Map'!$E$2:$E$2001,MATCH($C139,'CA Exclusion Map'!$A$2:$A$2001,0)),"")</f>
        <v/>
      </c>
      <c r="AB139" s="40" t="str">
        <f aca="false">IFERROR(INDEX('CA Exclusion Map'!$F$2:$F$2001,MATCH($C139,'CA Exclusion Map'!$A$2:$A$2001,0)),"")</f>
        <v/>
      </c>
      <c r="AC139" s="36"/>
      <c r="AD139" s="37"/>
      <c r="AE139" s="38"/>
      <c r="AF139" s="38"/>
      <c r="AG139" s="39" t="str">
        <f aca="true">IF(Y139="","",IF(Y139&lt;&gt;"Yes","N/A",IF(AF139="","NO EXPIRY SET",IF(TODAY()&gt;AF139,"EXPIRED",IF(AF139-TODAY()&lt;=30,"Expiring Soon","Active")))))</f>
        <v/>
      </c>
      <c r="AH139" s="36"/>
      <c r="AI139" s="36"/>
      <c r="AJ139" s="37"/>
      <c r="AK139" s="36"/>
      <c r="AL139" s="37"/>
      <c r="AM139" s="37"/>
      <c r="AN139" s="37"/>
      <c r="AO139" s="37"/>
      <c r="AP139" s="38"/>
      <c r="AQ139" s="37"/>
      <c r="AR139" s="37"/>
      <c r="AS139" s="41" t="str">
        <f aca="false">IF(AP139="","",AP139+90)</f>
        <v/>
      </c>
      <c r="AT139" s="39" t="str">
        <f aca="true">IF(C139="","",IF(AP139="","NOT REVIEWED",IF(TODAY()&gt;AS139,"OVERDUE",IF(AS139-TODAY()&lt;=14,"Due Soon","Current"))))</f>
        <v/>
      </c>
      <c r="AU139" s="36"/>
    </row>
    <row r="140" customFormat="false" ht="15" hidden="false" customHeight="false" outlineLevel="0" collapsed="false">
      <c r="A140" s="36"/>
      <c r="B140" s="36"/>
      <c r="C140" s="36"/>
      <c r="D140" s="37"/>
      <c r="E140" s="37"/>
      <c r="F140" s="37"/>
      <c r="G140" s="38"/>
      <c r="H140" s="38"/>
      <c r="I140" s="36"/>
      <c r="J140" s="38"/>
      <c r="K140" s="37"/>
      <c r="L140" s="36"/>
      <c r="M140" s="37"/>
      <c r="N140" s="37"/>
      <c r="O140" s="37"/>
      <c r="P140" s="37"/>
      <c r="Q140" s="36"/>
      <c r="R140" s="39" t="str">
        <f aca="true">IF(H140="","",TODAY()-H140)</f>
        <v/>
      </c>
      <c r="S140" s="39" t="str">
        <f aca="true">IF(J140="","",J140-TODAY())</f>
        <v/>
      </c>
      <c r="T140" s="37"/>
      <c r="U140" s="37"/>
      <c r="V140" s="40" t="str">
        <f aca="false">IFERROR(INDEX('Azure Resource Map'!$D$2:$D$2001,MATCH($C140,'Azure Resource Map'!$A$2:$A$2001,0)),"")</f>
        <v/>
      </c>
      <c r="W140" s="39" t="str">
        <f aca="false">IFERROR(INDEX('Azure Resource Map'!$E$2:$E$2001,MATCH($C140,'Azure Resource Map'!$A$2:$A$2001,0)),"")</f>
        <v/>
      </c>
      <c r="X140" s="39" t="str">
        <f aca="false">IFERROR(INDEX('Azure Resource Map'!$F$2:$F$2001,MATCH($C140,'Azure Resource Map'!$A$2:$A$2001,0)),"")</f>
        <v/>
      </c>
      <c r="Y140" s="39" t="str">
        <f aca="false">IF($C140="","",IF(ISNUMBER(MATCH($C140,'CA Exclusion Map'!$A$2:$A$2001,0)),"Yes","No"))</f>
        <v/>
      </c>
      <c r="Z140" s="39" t="str">
        <f aca="false">IFERROR(INDEX('CA Exclusion Map'!$D$2:$D$2001,MATCH($C140,'CA Exclusion Map'!$A$2:$A$2001,0)),"")</f>
        <v/>
      </c>
      <c r="AA140" s="40" t="str">
        <f aca="false">IFERROR(INDEX('CA Exclusion Map'!$E$2:$E$2001,MATCH($C140,'CA Exclusion Map'!$A$2:$A$2001,0)),"")</f>
        <v/>
      </c>
      <c r="AB140" s="40" t="str">
        <f aca="false">IFERROR(INDEX('CA Exclusion Map'!$F$2:$F$2001,MATCH($C140,'CA Exclusion Map'!$A$2:$A$2001,0)),"")</f>
        <v/>
      </c>
      <c r="AC140" s="36"/>
      <c r="AD140" s="37"/>
      <c r="AE140" s="38"/>
      <c r="AF140" s="38"/>
      <c r="AG140" s="39" t="str">
        <f aca="true">IF(Y140="","",IF(Y140&lt;&gt;"Yes","N/A",IF(AF140="","NO EXPIRY SET",IF(TODAY()&gt;AF140,"EXPIRED",IF(AF140-TODAY()&lt;=30,"Expiring Soon","Active")))))</f>
        <v/>
      </c>
      <c r="AH140" s="36"/>
      <c r="AI140" s="36"/>
      <c r="AJ140" s="37"/>
      <c r="AK140" s="36"/>
      <c r="AL140" s="37"/>
      <c r="AM140" s="37"/>
      <c r="AN140" s="37"/>
      <c r="AO140" s="37"/>
      <c r="AP140" s="38"/>
      <c r="AQ140" s="37"/>
      <c r="AR140" s="37"/>
      <c r="AS140" s="41" t="str">
        <f aca="false">IF(AP140="","",AP140+90)</f>
        <v/>
      </c>
      <c r="AT140" s="39" t="str">
        <f aca="true">IF(C140="","",IF(AP140="","NOT REVIEWED",IF(TODAY()&gt;AS140,"OVERDUE",IF(AS140-TODAY()&lt;=14,"Due Soon","Current"))))</f>
        <v/>
      </c>
      <c r="AU140" s="36"/>
    </row>
    <row r="141" customFormat="false" ht="15" hidden="false" customHeight="false" outlineLevel="0" collapsed="false">
      <c r="A141" s="36"/>
      <c r="B141" s="36"/>
      <c r="C141" s="36"/>
      <c r="D141" s="37"/>
      <c r="E141" s="37"/>
      <c r="F141" s="37"/>
      <c r="G141" s="38"/>
      <c r="H141" s="38"/>
      <c r="I141" s="36"/>
      <c r="J141" s="38"/>
      <c r="K141" s="37"/>
      <c r="L141" s="36"/>
      <c r="M141" s="37"/>
      <c r="N141" s="37"/>
      <c r="O141" s="37"/>
      <c r="P141" s="37"/>
      <c r="Q141" s="36"/>
      <c r="R141" s="39" t="str">
        <f aca="true">IF(H141="","",TODAY()-H141)</f>
        <v/>
      </c>
      <c r="S141" s="39" t="str">
        <f aca="true">IF(J141="","",J141-TODAY())</f>
        <v/>
      </c>
      <c r="T141" s="37"/>
      <c r="U141" s="37"/>
      <c r="V141" s="40" t="str">
        <f aca="false">IFERROR(INDEX('Azure Resource Map'!$D$2:$D$2001,MATCH($C141,'Azure Resource Map'!$A$2:$A$2001,0)),"")</f>
        <v/>
      </c>
      <c r="W141" s="39" t="str">
        <f aca="false">IFERROR(INDEX('Azure Resource Map'!$E$2:$E$2001,MATCH($C141,'Azure Resource Map'!$A$2:$A$2001,0)),"")</f>
        <v/>
      </c>
      <c r="X141" s="39" t="str">
        <f aca="false">IFERROR(INDEX('Azure Resource Map'!$F$2:$F$2001,MATCH($C141,'Azure Resource Map'!$A$2:$A$2001,0)),"")</f>
        <v/>
      </c>
      <c r="Y141" s="39" t="str">
        <f aca="false">IF($C141="","",IF(ISNUMBER(MATCH($C141,'CA Exclusion Map'!$A$2:$A$2001,0)),"Yes","No"))</f>
        <v/>
      </c>
      <c r="Z141" s="39" t="str">
        <f aca="false">IFERROR(INDEX('CA Exclusion Map'!$D$2:$D$2001,MATCH($C141,'CA Exclusion Map'!$A$2:$A$2001,0)),"")</f>
        <v/>
      </c>
      <c r="AA141" s="40" t="str">
        <f aca="false">IFERROR(INDEX('CA Exclusion Map'!$E$2:$E$2001,MATCH($C141,'CA Exclusion Map'!$A$2:$A$2001,0)),"")</f>
        <v/>
      </c>
      <c r="AB141" s="40" t="str">
        <f aca="false">IFERROR(INDEX('CA Exclusion Map'!$F$2:$F$2001,MATCH($C141,'CA Exclusion Map'!$A$2:$A$2001,0)),"")</f>
        <v/>
      </c>
      <c r="AC141" s="36"/>
      <c r="AD141" s="37"/>
      <c r="AE141" s="38"/>
      <c r="AF141" s="38"/>
      <c r="AG141" s="39" t="str">
        <f aca="true">IF(Y141="","",IF(Y141&lt;&gt;"Yes","N/A",IF(AF141="","NO EXPIRY SET",IF(TODAY()&gt;AF141,"EXPIRED",IF(AF141-TODAY()&lt;=30,"Expiring Soon","Active")))))</f>
        <v/>
      </c>
      <c r="AH141" s="36"/>
      <c r="AI141" s="36"/>
      <c r="AJ141" s="37"/>
      <c r="AK141" s="36"/>
      <c r="AL141" s="37"/>
      <c r="AM141" s="37"/>
      <c r="AN141" s="37"/>
      <c r="AO141" s="37"/>
      <c r="AP141" s="38"/>
      <c r="AQ141" s="37"/>
      <c r="AR141" s="37"/>
      <c r="AS141" s="41" t="str">
        <f aca="false">IF(AP141="","",AP141+90)</f>
        <v/>
      </c>
      <c r="AT141" s="39" t="str">
        <f aca="true">IF(C141="","",IF(AP141="","NOT REVIEWED",IF(TODAY()&gt;AS141,"OVERDUE",IF(AS141-TODAY()&lt;=14,"Due Soon","Current"))))</f>
        <v/>
      </c>
      <c r="AU141" s="36"/>
    </row>
    <row r="142" customFormat="false" ht="15" hidden="false" customHeight="false" outlineLevel="0" collapsed="false">
      <c r="A142" s="36"/>
      <c r="B142" s="36"/>
      <c r="C142" s="36"/>
      <c r="D142" s="37"/>
      <c r="E142" s="37"/>
      <c r="F142" s="37"/>
      <c r="G142" s="38"/>
      <c r="H142" s="38"/>
      <c r="I142" s="36"/>
      <c r="J142" s="38"/>
      <c r="K142" s="37"/>
      <c r="L142" s="36"/>
      <c r="M142" s="37"/>
      <c r="N142" s="37"/>
      <c r="O142" s="37"/>
      <c r="P142" s="37"/>
      <c r="Q142" s="36"/>
      <c r="R142" s="39" t="str">
        <f aca="true">IF(H142="","",TODAY()-H142)</f>
        <v/>
      </c>
      <c r="S142" s="39" t="str">
        <f aca="true">IF(J142="","",J142-TODAY())</f>
        <v/>
      </c>
      <c r="T142" s="37"/>
      <c r="U142" s="37"/>
      <c r="V142" s="40" t="str">
        <f aca="false">IFERROR(INDEX('Azure Resource Map'!$D$2:$D$2001,MATCH($C142,'Azure Resource Map'!$A$2:$A$2001,0)),"")</f>
        <v/>
      </c>
      <c r="W142" s="39" t="str">
        <f aca="false">IFERROR(INDEX('Azure Resource Map'!$E$2:$E$2001,MATCH($C142,'Azure Resource Map'!$A$2:$A$2001,0)),"")</f>
        <v/>
      </c>
      <c r="X142" s="39" t="str">
        <f aca="false">IFERROR(INDEX('Azure Resource Map'!$F$2:$F$2001,MATCH($C142,'Azure Resource Map'!$A$2:$A$2001,0)),"")</f>
        <v/>
      </c>
      <c r="Y142" s="39" t="str">
        <f aca="false">IF($C142="","",IF(ISNUMBER(MATCH($C142,'CA Exclusion Map'!$A$2:$A$2001,0)),"Yes","No"))</f>
        <v/>
      </c>
      <c r="Z142" s="39" t="str">
        <f aca="false">IFERROR(INDEX('CA Exclusion Map'!$D$2:$D$2001,MATCH($C142,'CA Exclusion Map'!$A$2:$A$2001,0)),"")</f>
        <v/>
      </c>
      <c r="AA142" s="40" t="str">
        <f aca="false">IFERROR(INDEX('CA Exclusion Map'!$E$2:$E$2001,MATCH($C142,'CA Exclusion Map'!$A$2:$A$2001,0)),"")</f>
        <v/>
      </c>
      <c r="AB142" s="40" t="str">
        <f aca="false">IFERROR(INDEX('CA Exclusion Map'!$F$2:$F$2001,MATCH($C142,'CA Exclusion Map'!$A$2:$A$2001,0)),"")</f>
        <v/>
      </c>
      <c r="AC142" s="36"/>
      <c r="AD142" s="37"/>
      <c r="AE142" s="38"/>
      <c r="AF142" s="38"/>
      <c r="AG142" s="39" t="str">
        <f aca="true">IF(Y142="","",IF(Y142&lt;&gt;"Yes","N/A",IF(AF142="","NO EXPIRY SET",IF(TODAY()&gt;AF142,"EXPIRED",IF(AF142-TODAY()&lt;=30,"Expiring Soon","Active")))))</f>
        <v/>
      </c>
      <c r="AH142" s="36"/>
      <c r="AI142" s="36"/>
      <c r="AJ142" s="37"/>
      <c r="AK142" s="36"/>
      <c r="AL142" s="37"/>
      <c r="AM142" s="37"/>
      <c r="AN142" s="37"/>
      <c r="AO142" s="37"/>
      <c r="AP142" s="38"/>
      <c r="AQ142" s="37"/>
      <c r="AR142" s="37"/>
      <c r="AS142" s="41" t="str">
        <f aca="false">IF(AP142="","",AP142+90)</f>
        <v/>
      </c>
      <c r="AT142" s="39" t="str">
        <f aca="true">IF(C142="","",IF(AP142="","NOT REVIEWED",IF(TODAY()&gt;AS142,"OVERDUE",IF(AS142-TODAY()&lt;=14,"Due Soon","Current"))))</f>
        <v/>
      </c>
      <c r="AU142" s="36"/>
    </row>
    <row r="143" customFormat="false" ht="15" hidden="false" customHeight="false" outlineLevel="0" collapsed="false">
      <c r="A143" s="36"/>
      <c r="B143" s="36"/>
      <c r="C143" s="36"/>
      <c r="D143" s="37"/>
      <c r="E143" s="37"/>
      <c r="F143" s="37"/>
      <c r="G143" s="38"/>
      <c r="H143" s="38"/>
      <c r="I143" s="36"/>
      <c r="J143" s="38"/>
      <c r="K143" s="37"/>
      <c r="L143" s="36"/>
      <c r="M143" s="37"/>
      <c r="N143" s="37"/>
      <c r="O143" s="37"/>
      <c r="P143" s="37"/>
      <c r="Q143" s="36"/>
      <c r="R143" s="39" t="str">
        <f aca="true">IF(H143="","",TODAY()-H143)</f>
        <v/>
      </c>
      <c r="S143" s="39" t="str">
        <f aca="true">IF(J143="","",J143-TODAY())</f>
        <v/>
      </c>
      <c r="T143" s="37"/>
      <c r="U143" s="37"/>
      <c r="V143" s="40" t="str">
        <f aca="false">IFERROR(INDEX('Azure Resource Map'!$D$2:$D$2001,MATCH($C143,'Azure Resource Map'!$A$2:$A$2001,0)),"")</f>
        <v/>
      </c>
      <c r="W143" s="39" t="str">
        <f aca="false">IFERROR(INDEX('Azure Resource Map'!$E$2:$E$2001,MATCH($C143,'Azure Resource Map'!$A$2:$A$2001,0)),"")</f>
        <v/>
      </c>
      <c r="X143" s="39" t="str">
        <f aca="false">IFERROR(INDEX('Azure Resource Map'!$F$2:$F$2001,MATCH($C143,'Azure Resource Map'!$A$2:$A$2001,0)),"")</f>
        <v/>
      </c>
      <c r="Y143" s="39" t="str">
        <f aca="false">IF($C143="","",IF(ISNUMBER(MATCH($C143,'CA Exclusion Map'!$A$2:$A$2001,0)),"Yes","No"))</f>
        <v/>
      </c>
      <c r="Z143" s="39" t="str">
        <f aca="false">IFERROR(INDEX('CA Exclusion Map'!$D$2:$D$2001,MATCH($C143,'CA Exclusion Map'!$A$2:$A$2001,0)),"")</f>
        <v/>
      </c>
      <c r="AA143" s="40" t="str">
        <f aca="false">IFERROR(INDEX('CA Exclusion Map'!$E$2:$E$2001,MATCH($C143,'CA Exclusion Map'!$A$2:$A$2001,0)),"")</f>
        <v/>
      </c>
      <c r="AB143" s="40" t="str">
        <f aca="false">IFERROR(INDEX('CA Exclusion Map'!$F$2:$F$2001,MATCH($C143,'CA Exclusion Map'!$A$2:$A$2001,0)),"")</f>
        <v/>
      </c>
      <c r="AC143" s="36"/>
      <c r="AD143" s="37"/>
      <c r="AE143" s="38"/>
      <c r="AF143" s="38"/>
      <c r="AG143" s="39" t="str">
        <f aca="true">IF(Y143="","",IF(Y143&lt;&gt;"Yes","N/A",IF(AF143="","NO EXPIRY SET",IF(TODAY()&gt;AF143,"EXPIRED",IF(AF143-TODAY()&lt;=30,"Expiring Soon","Active")))))</f>
        <v/>
      </c>
      <c r="AH143" s="36"/>
      <c r="AI143" s="36"/>
      <c r="AJ143" s="37"/>
      <c r="AK143" s="36"/>
      <c r="AL143" s="37"/>
      <c r="AM143" s="37"/>
      <c r="AN143" s="37"/>
      <c r="AO143" s="37"/>
      <c r="AP143" s="38"/>
      <c r="AQ143" s="37"/>
      <c r="AR143" s="37"/>
      <c r="AS143" s="41" t="str">
        <f aca="false">IF(AP143="","",AP143+90)</f>
        <v/>
      </c>
      <c r="AT143" s="39" t="str">
        <f aca="true">IF(C143="","",IF(AP143="","NOT REVIEWED",IF(TODAY()&gt;AS143,"OVERDUE",IF(AS143-TODAY()&lt;=14,"Due Soon","Current"))))</f>
        <v/>
      </c>
      <c r="AU143" s="36"/>
    </row>
    <row r="144" customFormat="false" ht="15" hidden="false" customHeight="false" outlineLevel="0" collapsed="false">
      <c r="A144" s="36"/>
      <c r="B144" s="36"/>
      <c r="C144" s="36"/>
      <c r="D144" s="37"/>
      <c r="E144" s="37"/>
      <c r="F144" s="37"/>
      <c r="G144" s="38"/>
      <c r="H144" s="38"/>
      <c r="I144" s="36"/>
      <c r="J144" s="38"/>
      <c r="K144" s="37"/>
      <c r="L144" s="36"/>
      <c r="M144" s="37"/>
      <c r="N144" s="37"/>
      <c r="O144" s="37"/>
      <c r="P144" s="37"/>
      <c r="Q144" s="36"/>
      <c r="R144" s="39" t="str">
        <f aca="true">IF(H144="","",TODAY()-H144)</f>
        <v/>
      </c>
      <c r="S144" s="39" t="str">
        <f aca="true">IF(J144="","",J144-TODAY())</f>
        <v/>
      </c>
      <c r="T144" s="37"/>
      <c r="U144" s="37"/>
      <c r="V144" s="40" t="str">
        <f aca="false">IFERROR(INDEX('Azure Resource Map'!$D$2:$D$2001,MATCH($C144,'Azure Resource Map'!$A$2:$A$2001,0)),"")</f>
        <v/>
      </c>
      <c r="W144" s="39" t="str">
        <f aca="false">IFERROR(INDEX('Azure Resource Map'!$E$2:$E$2001,MATCH($C144,'Azure Resource Map'!$A$2:$A$2001,0)),"")</f>
        <v/>
      </c>
      <c r="X144" s="39" t="str">
        <f aca="false">IFERROR(INDEX('Azure Resource Map'!$F$2:$F$2001,MATCH($C144,'Azure Resource Map'!$A$2:$A$2001,0)),"")</f>
        <v/>
      </c>
      <c r="Y144" s="39" t="str">
        <f aca="false">IF($C144="","",IF(ISNUMBER(MATCH($C144,'CA Exclusion Map'!$A$2:$A$2001,0)),"Yes","No"))</f>
        <v/>
      </c>
      <c r="Z144" s="39" t="str">
        <f aca="false">IFERROR(INDEX('CA Exclusion Map'!$D$2:$D$2001,MATCH($C144,'CA Exclusion Map'!$A$2:$A$2001,0)),"")</f>
        <v/>
      </c>
      <c r="AA144" s="40" t="str">
        <f aca="false">IFERROR(INDEX('CA Exclusion Map'!$E$2:$E$2001,MATCH($C144,'CA Exclusion Map'!$A$2:$A$2001,0)),"")</f>
        <v/>
      </c>
      <c r="AB144" s="40" t="str">
        <f aca="false">IFERROR(INDEX('CA Exclusion Map'!$F$2:$F$2001,MATCH($C144,'CA Exclusion Map'!$A$2:$A$2001,0)),"")</f>
        <v/>
      </c>
      <c r="AC144" s="36"/>
      <c r="AD144" s="37"/>
      <c r="AE144" s="38"/>
      <c r="AF144" s="38"/>
      <c r="AG144" s="39" t="str">
        <f aca="true">IF(Y144="","",IF(Y144&lt;&gt;"Yes","N/A",IF(AF144="","NO EXPIRY SET",IF(TODAY()&gt;AF144,"EXPIRED",IF(AF144-TODAY()&lt;=30,"Expiring Soon","Active")))))</f>
        <v/>
      </c>
      <c r="AH144" s="36"/>
      <c r="AI144" s="36"/>
      <c r="AJ144" s="37"/>
      <c r="AK144" s="36"/>
      <c r="AL144" s="37"/>
      <c r="AM144" s="37"/>
      <c r="AN144" s="37"/>
      <c r="AO144" s="37"/>
      <c r="AP144" s="38"/>
      <c r="AQ144" s="37"/>
      <c r="AR144" s="37"/>
      <c r="AS144" s="41" t="str">
        <f aca="false">IF(AP144="","",AP144+90)</f>
        <v/>
      </c>
      <c r="AT144" s="39" t="str">
        <f aca="true">IF(C144="","",IF(AP144="","NOT REVIEWED",IF(TODAY()&gt;AS144,"OVERDUE",IF(AS144-TODAY()&lt;=14,"Due Soon","Current"))))</f>
        <v/>
      </c>
      <c r="AU144" s="36"/>
    </row>
    <row r="145" customFormat="false" ht="15" hidden="false" customHeight="false" outlineLevel="0" collapsed="false">
      <c r="A145" s="36"/>
      <c r="B145" s="36"/>
      <c r="C145" s="36"/>
      <c r="D145" s="37"/>
      <c r="E145" s="37"/>
      <c r="F145" s="37"/>
      <c r="G145" s="38"/>
      <c r="H145" s="38"/>
      <c r="I145" s="36"/>
      <c r="J145" s="38"/>
      <c r="K145" s="37"/>
      <c r="L145" s="36"/>
      <c r="M145" s="37"/>
      <c r="N145" s="37"/>
      <c r="O145" s="37"/>
      <c r="P145" s="37"/>
      <c r="Q145" s="36"/>
      <c r="R145" s="39" t="str">
        <f aca="true">IF(H145="","",TODAY()-H145)</f>
        <v/>
      </c>
      <c r="S145" s="39" t="str">
        <f aca="true">IF(J145="","",J145-TODAY())</f>
        <v/>
      </c>
      <c r="T145" s="37"/>
      <c r="U145" s="37"/>
      <c r="V145" s="40" t="str">
        <f aca="false">IFERROR(INDEX('Azure Resource Map'!$D$2:$D$2001,MATCH($C145,'Azure Resource Map'!$A$2:$A$2001,0)),"")</f>
        <v/>
      </c>
      <c r="W145" s="39" t="str">
        <f aca="false">IFERROR(INDEX('Azure Resource Map'!$E$2:$E$2001,MATCH($C145,'Azure Resource Map'!$A$2:$A$2001,0)),"")</f>
        <v/>
      </c>
      <c r="X145" s="39" t="str">
        <f aca="false">IFERROR(INDEX('Azure Resource Map'!$F$2:$F$2001,MATCH($C145,'Azure Resource Map'!$A$2:$A$2001,0)),"")</f>
        <v/>
      </c>
      <c r="Y145" s="39" t="str">
        <f aca="false">IF($C145="","",IF(ISNUMBER(MATCH($C145,'CA Exclusion Map'!$A$2:$A$2001,0)),"Yes","No"))</f>
        <v/>
      </c>
      <c r="Z145" s="39" t="str">
        <f aca="false">IFERROR(INDEX('CA Exclusion Map'!$D$2:$D$2001,MATCH($C145,'CA Exclusion Map'!$A$2:$A$2001,0)),"")</f>
        <v/>
      </c>
      <c r="AA145" s="40" t="str">
        <f aca="false">IFERROR(INDEX('CA Exclusion Map'!$E$2:$E$2001,MATCH($C145,'CA Exclusion Map'!$A$2:$A$2001,0)),"")</f>
        <v/>
      </c>
      <c r="AB145" s="40" t="str">
        <f aca="false">IFERROR(INDEX('CA Exclusion Map'!$F$2:$F$2001,MATCH($C145,'CA Exclusion Map'!$A$2:$A$2001,0)),"")</f>
        <v/>
      </c>
      <c r="AC145" s="36"/>
      <c r="AD145" s="37"/>
      <c r="AE145" s="38"/>
      <c r="AF145" s="38"/>
      <c r="AG145" s="39" t="str">
        <f aca="true">IF(Y145="","",IF(Y145&lt;&gt;"Yes","N/A",IF(AF145="","NO EXPIRY SET",IF(TODAY()&gt;AF145,"EXPIRED",IF(AF145-TODAY()&lt;=30,"Expiring Soon","Active")))))</f>
        <v/>
      </c>
      <c r="AH145" s="36"/>
      <c r="AI145" s="36"/>
      <c r="AJ145" s="37"/>
      <c r="AK145" s="36"/>
      <c r="AL145" s="37"/>
      <c r="AM145" s="37"/>
      <c r="AN145" s="37"/>
      <c r="AO145" s="37"/>
      <c r="AP145" s="38"/>
      <c r="AQ145" s="37"/>
      <c r="AR145" s="37"/>
      <c r="AS145" s="41" t="str">
        <f aca="false">IF(AP145="","",AP145+90)</f>
        <v/>
      </c>
      <c r="AT145" s="39" t="str">
        <f aca="true">IF(C145="","",IF(AP145="","NOT REVIEWED",IF(TODAY()&gt;AS145,"OVERDUE",IF(AS145-TODAY()&lt;=14,"Due Soon","Current"))))</f>
        <v/>
      </c>
      <c r="AU145" s="36"/>
    </row>
    <row r="146" customFormat="false" ht="15" hidden="false" customHeight="false" outlineLevel="0" collapsed="false">
      <c r="A146" s="36"/>
      <c r="B146" s="36"/>
      <c r="C146" s="36"/>
      <c r="D146" s="37"/>
      <c r="E146" s="37"/>
      <c r="F146" s="37"/>
      <c r="G146" s="38"/>
      <c r="H146" s="38"/>
      <c r="I146" s="36"/>
      <c r="J146" s="38"/>
      <c r="K146" s="37"/>
      <c r="L146" s="36"/>
      <c r="M146" s="37"/>
      <c r="N146" s="37"/>
      <c r="O146" s="37"/>
      <c r="P146" s="37"/>
      <c r="Q146" s="36"/>
      <c r="R146" s="39" t="str">
        <f aca="true">IF(H146="","",TODAY()-H146)</f>
        <v/>
      </c>
      <c r="S146" s="39" t="str">
        <f aca="true">IF(J146="","",J146-TODAY())</f>
        <v/>
      </c>
      <c r="T146" s="37"/>
      <c r="U146" s="37"/>
      <c r="V146" s="40" t="str">
        <f aca="false">IFERROR(INDEX('Azure Resource Map'!$D$2:$D$2001,MATCH($C146,'Azure Resource Map'!$A$2:$A$2001,0)),"")</f>
        <v/>
      </c>
      <c r="W146" s="39" t="str">
        <f aca="false">IFERROR(INDEX('Azure Resource Map'!$E$2:$E$2001,MATCH($C146,'Azure Resource Map'!$A$2:$A$2001,0)),"")</f>
        <v/>
      </c>
      <c r="X146" s="39" t="str">
        <f aca="false">IFERROR(INDEX('Azure Resource Map'!$F$2:$F$2001,MATCH($C146,'Azure Resource Map'!$A$2:$A$2001,0)),"")</f>
        <v/>
      </c>
      <c r="Y146" s="39" t="str">
        <f aca="false">IF($C146="","",IF(ISNUMBER(MATCH($C146,'CA Exclusion Map'!$A$2:$A$2001,0)),"Yes","No"))</f>
        <v/>
      </c>
      <c r="Z146" s="39" t="str">
        <f aca="false">IFERROR(INDEX('CA Exclusion Map'!$D$2:$D$2001,MATCH($C146,'CA Exclusion Map'!$A$2:$A$2001,0)),"")</f>
        <v/>
      </c>
      <c r="AA146" s="40" t="str">
        <f aca="false">IFERROR(INDEX('CA Exclusion Map'!$E$2:$E$2001,MATCH($C146,'CA Exclusion Map'!$A$2:$A$2001,0)),"")</f>
        <v/>
      </c>
      <c r="AB146" s="40" t="str">
        <f aca="false">IFERROR(INDEX('CA Exclusion Map'!$F$2:$F$2001,MATCH($C146,'CA Exclusion Map'!$A$2:$A$2001,0)),"")</f>
        <v/>
      </c>
      <c r="AC146" s="36"/>
      <c r="AD146" s="37"/>
      <c r="AE146" s="38"/>
      <c r="AF146" s="38"/>
      <c r="AG146" s="39" t="str">
        <f aca="true">IF(Y146="","",IF(Y146&lt;&gt;"Yes","N/A",IF(AF146="","NO EXPIRY SET",IF(TODAY()&gt;AF146,"EXPIRED",IF(AF146-TODAY()&lt;=30,"Expiring Soon","Active")))))</f>
        <v/>
      </c>
      <c r="AH146" s="36"/>
      <c r="AI146" s="36"/>
      <c r="AJ146" s="37"/>
      <c r="AK146" s="36"/>
      <c r="AL146" s="37"/>
      <c r="AM146" s="37"/>
      <c r="AN146" s="37"/>
      <c r="AO146" s="37"/>
      <c r="AP146" s="38"/>
      <c r="AQ146" s="37"/>
      <c r="AR146" s="37"/>
      <c r="AS146" s="41" t="str">
        <f aca="false">IF(AP146="","",AP146+90)</f>
        <v/>
      </c>
      <c r="AT146" s="39" t="str">
        <f aca="true">IF(C146="","",IF(AP146="","NOT REVIEWED",IF(TODAY()&gt;AS146,"OVERDUE",IF(AS146-TODAY()&lt;=14,"Due Soon","Current"))))</f>
        <v/>
      </c>
      <c r="AU146" s="36"/>
    </row>
    <row r="147" customFormat="false" ht="15" hidden="false" customHeight="false" outlineLevel="0" collapsed="false">
      <c r="A147" s="36"/>
      <c r="B147" s="36"/>
      <c r="C147" s="36"/>
      <c r="D147" s="37"/>
      <c r="E147" s="37"/>
      <c r="F147" s="37"/>
      <c r="G147" s="38"/>
      <c r="H147" s="38"/>
      <c r="I147" s="36"/>
      <c r="J147" s="38"/>
      <c r="K147" s="37"/>
      <c r="L147" s="36"/>
      <c r="M147" s="37"/>
      <c r="N147" s="37"/>
      <c r="O147" s="37"/>
      <c r="P147" s="37"/>
      <c r="Q147" s="36"/>
      <c r="R147" s="39" t="str">
        <f aca="true">IF(H147="","",TODAY()-H147)</f>
        <v/>
      </c>
      <c r="S147" s="39" t="str">
        <f aca="true">IF(J147="","",J147-TODAY())</f>
        <v/>
      </c>
      <c r="T147" s="37"/>
      <c r="U147" s="37"/>
      <c r="V147" s="40" t="str">
        <f aca="false">IFERROR(INDEX('Azure Resource Map'!$D$2:$D$2001,MATCH($C147,'Azure Resource Map'!$A$2:$A$2001,0)),"")</f>
        <v/>
      </c>
      <c r="W147" s="39" t="str">
        <f aca="false">IFERROR(INDEX('Azure Resource Map'!$E$2:$E$2001,MATCH($C147,'Azure Resource Map'!$A$2:$A$2001,0)),"")</f>
        <v/>
      </c>
      <c r="X147" s="39" t="str">
        <f aca="false">IFERROR(INDEX('Azure Resource Map'!$F$2:$F$2001,MATCH($C147,'Azure Resource Map'!$A$2:$A$2001,0)),"")</f>
        <v/>
      </c>
      <c r="Y147" s="39" t="str">
        <f aca="false">IF($C147="","",IF(ISNUMBER(MATCH($C147,'CA Exclusion Map'!$A$2:$A$2001,0)),"Yes","No"))</f>
        <v/>
      </c>
      <c r="Z147" s="39" t="str">
        <f aca="false">IFERROR(INDEX('CA Exclusion Map'!$D$2:$D$2001,MATCH($C147,'CA Exclusion Map'!$A$2:$A$2001,0)),"")</f>
        <v/>
      </c>
      <c r="AA147" s="40" t="str">
        <f aca="false">IFERROR(INDEX('CA Exclusion Map'!$E$2:$E$2001,MATCH($C147,'CA Exclusion Map'!$A$2:$A$2001,0)),"")</f>
        <v/>
      </c>
      <c r="AB147" s="40" t="str">
        <f aca="false">IFERROR(INDEX('CA Exclusion Map'!$F$2:$F$2001,MATCH($C147,'CA Exclusion Map'!$A$2:$A$2001,0)),"")</f>
        <v/>
      </c>
      <c r="AC147" s="36"/>
      <c r="AD147" s="37"/>
      <c r="AE147" s="38"/>
      <c r="AF147" s="38"/>
      <c r="AG147" s="39" t="str">
        <f aca="true">IF(Y147="","",IF(Y147&lt;&gt;"Yes","N/A",IF(AF147="","NO EXPIRY SET",IF(TODAY()&gt;AF147,"EXPIRED",IF(AF147-TODAY()&lt;=30,"Expiring Soon","Active")))))</f>
        <v/>
      </c>
      <c r="AH147" s="36"/>
      <c r="AI147" s="36"/>
      <c r="AJ147" s="37"/>
      <c r="AK147" s="36"/>
      <c r="AL147" s="37"/>
      <c r="AM147" s="37"/>
      <c r="AN147" s="37"/>
      <c r="AO147" s="37"/>
      <c r="AP147" s="38"/>
      <c r="AQ147" s="37"/>
      <c r="AR147" s="37"/>
      <c r="AS147" s="41" t="str">
        <f aca="false">IF(AP147="","",AP147+90)</f>
        <v/>
      </c>
      <c r="AT147" s="39" t="str">
        <f aca="true">IF(C147="","",IF(AP147="","NOT REVIEWED",IF(TODAY()&gt;AS147,"OVERDUE",IF(AS147-TODAY()&lt;=14,"Due Soon","Current"))))</f>
        <v/>
      </c>
      <c r="AU147" s="36"/>
    </row>
    <row r="148" customFormat="false" ht="15" hidden="false" customHeight="false" outlineLevel="0" collapsed="false">
      <c r="A148" s="36"/>
      <c r="B148" s="36"/>
      <c r="C148" s="36"/>
      <c r="D148" s="37"/>
      <c r="E148" s="37"/>
      <c r="F148" s="37"/>
      <c r="G148" s="38"/>
      <c r="H148" s="38"/>
      <c r="I148" s="36"/>
      <c r="J148" s="38"/>
      <c r="K148" s="37"/>
      <c r="L148" s="36"/>
      <c r="M148" s="37"/>
      <c r="N148" s="37"/>
      <c r="O148" s="37"/>
      <c r="P148" s="37"/>
      <c r="Q148" s="36"/>
      <c r="R148" s="39" t="str">
        <f aca="true">IF(H148="","",TODAY()-H148)</f>
        <v/>
      </c>
      <c r="S148" s="39" t="str">
        <f aca="true">IF(J148="","",J148-TODAY())</f>
        <v/>
      </c>
      <c r="T148" s="37"/>
      <c r="U148" s="37"/>
      <c r="V148" s="40" t="str">
        <f aca="false">IFERROR(INDEX('Azure Resource Map'!$D$2:$D$2001,MATCH($C148,'Azure Resource Map'!$A$2:$A$2001,0)),"")</f>
        <v/>
      </c>
      <c r="W148" s="39" t="str">
        <f aca="false">IFERROR(INDEX('Azure Resource Map'!$E$2:$E$2001,MATCH($C148,'Azure Resource Map'!$A$2:$A$2001,0)),"")</f>
        <v/>
      </c>
      <c r="X148" s="39" t="str">
        <f aca="false">IFERROR(INDEX('Azure Resource Map'!$F$2:$F$2001,MATCH($C148,'Azure Resource Map'!$A$2:$A$2001,0)),"")</f>
        <v/>
      </c>
      <c r="Y148" s="39" t="str">
        <f aca="false">IF($C148="","",IF(ISNUMBER(MATCH($C148,'CA Exclusion Map'!$A$2:$A$2001,0)),"Yes","No"))</f>
        <v/>
      </c>
      <c r="Z148" s="39" t="str">
        <f aca="false">IFERROR(INDEX('CA Exclusion Map'!$D$2:$D$2001,MATCH($C148,'CA Exclusion Map'!$A$2:$A$2001,0)),"")</f>
        <v/>
      </c>
      <c r="AA148" s="40" t="str">
        <f aca="false">IFERROR(INDEX('CA Exclusion Map'!$E$2:$E$2001,MATCH($C148,'CA Exclusion Map'!$A$2:$A$2001,0)),"")</f>
        <v/>
      </c>
      <c r="AB148" s="40" t="str">
        <f aca="false">IFERROR(INDEX('CA Exclusion Map'!$F$2:$F$2001,MATCH($C148,'CA Exclusion Map'!$A$2:$A$2001,0)),"")</f>
        <v/>
      </c>
      <c r="AC148" s="36"/>
      <c r="AD148" s="37"/>
      <c r="AE148" s="38"/>
      <c r="AF148" s="38"/>
      <c r="AG148" s="39" t="str">
        <f aca="true">IF(Y148="","",IF(Y148&lt;&gt;"Yes","N/A",IF(AF148="","NO EXPIRY SET",IF(TODAY()&gt;AF148,"EXPIRED",IF(AF148-TODAY()&lt;=30,"Expiring Soon","Active")))))</f>
        <v/>
      </c>
      <c r="AH148" s="36"/>
      <c r="AI148" s="36"/>
      <c r="AJ148" s="37"/>
      <c r="AK148" s="36"/>
      <c r="AL148" s="37"/>
      <c r="AM148" s="37"/>
      <c r="AN148" s="37"/>
      <c r="AO148" s="37"/>
      <c r="AP148" s="38"/>
      <c r="AQ148" s="37"/>
      <c r="AR148" s="37"/>
      <c r="AS148" s="41" t="str">
        <f aca="false">IF(AP148="","",AP148+90)</f>
        <v/>
      </c>
      <c r="AT148" s="39" t="str">
        <f aca="true">IF(C148="","",IF(AP148="","NOT REVIEWED",IF(TODAY()&gt;AS148,"OVERDUE",IF(AS148-TODAY()&lt;=14,"Due Soon","Current"))))</f>
        <v/>
      </c>
      <c r="AU148" s="36"/>
    </row>
    <row r="149" customFormat="false" ht="15" hidden="false" customHeight="false" outlineLevel="0" collapsed="false">
      <c r="A149" s="36"/>
      <c r="B149" s="36"/>
      <c r="C149" s="36"/>
      <c r="D149" s="37"/>
      <c r="E149" s="37"/>
      <c r="F149" s="37"/>
      <c r="G149" s="38"/>
      <c r="H149" s="38"/>
      <c r="I149" s="36"/>
      <c r="J149" s="38"/>
      <c r="K149" s="37"/>
      <c r="L149" s="36"/>
      <c r="M149" s="37"/>
      <c r="N149" s="37"/>
      <c r="O149" s="37"/>
      <c r="P149" s="37"/>
      <c r="Q149" s="36"/>
      <c r="R149" s="39" t="str">
        <f aca="true">IF(H149="","",TODAY()-H149)</f>
        <v/>
      </c>
      <c r="S149" s="39" t="str">
        <f aca="true">IF(J149="","",J149-TODAY())</f>
        <v/>
      </c>
      <c r="T149" s="37"/>
      <c r="U149" s="37"/>
      <c r="V149" s="40" t="str">
        <f aca="false">IFERROR(INDEX('Azure Resource Map'!$D$2:$D$2001,MATCH($C149,'Azure Resource Map'!$A$2:$A$2001,0)),"")</f>
        <v/>
      </c>
      <c r="W149" s="39" t="str">
        <f aca="false">IFERROR(INDEX('Azure Resource Map'!$E$2:$E$2001,MATCH($C149,'Azure Resource Map'!$A$2:$A$2001,0)),"")</f>
        <v/>
      </c>
      <c r="X149" s="39" t="str">
        <f aca="false">IFERROR(INDEX('Azure Resource Map'!$F$2:$F$2001,MATCH($C149,'Azure Resource Map'!$A$2:$A$2001,0)),"")</f>
        <v/>
      </c>
      <c r="Y149" s="39" t="str">
        <f aca="false">IF($C149="","",IF(ISNUMBER(MATCH($C149,'CA Exclusion Map'!$A$2:$A$2001,0)),"Yes","No"))</f>
        <v/>
      </c>
      <c r="Z149" s="39" t="str">
        <f aca="false">IFERROR(INDEX('CA Exclusion Map'!$D$2:$D$2001,MATCH($C149,'CA Exclusion Map'!$A$2:$A$2001,0)),"")</f>
        <v/>
      </c>
      <c r="AA149" s="40" t="str">
        <f aca="false">IFERROR(INDEX('CA Exclusion Map'!$E$2:$E$2001,MATCH($C149,'CA Exclusion Map'!$A$2:$A$2001,0)),"")</f>
        <v/>
      </c>
      <c r="AB149" s="40" t="str">
        <f aca="false">IFERROR(INDEX('CA Exclusion Map'!$F$2:$F$2001,MATCH($C149,'CA Exclusion Map'!$A$2:$A$2001,0)),"")</f>
        <v/>
      </c>
      <c r="AC149" s="36"/>
      <c r="AD149" s="37"/>
      <c r="AE149" s="38"/>
      <c r="AF149" s="38"/>
      <c r="AG149" s="39" t="str">
        <f aca="true">IF(Y149="","",IF(Y149&lt;&gt;"Yes","N/A",IF(AF149="","NO EXPIRY SET",IF(TODAY()&gt;AF149,"EXPIRED",IF(AF149-TODAY()&lt;=30,"Expiring Soon","Active")))))</f>
        <v/>
      </c>
      <c r="AH149" s="36"/>
      <c r="AI149" s="36"/>
      <c r="AJ149" s="37"/>
      <c r="AK149" s="36"/>
      <c r="AL149" s="37"/>
      <c r="AM149" s="37"/>
      <c r="AN149" s="37"/>
      <c r="AO149" s="37"/>
      <c r="AP149" s="38"/>
      <c r="AQ149" s="37"/>
      <c r="AR149" s="37"/>
      <c r="AS149" s="41" t="str">
        <f aca="false">IF(AP149="","",AP149+90)</f>
        <v/>
      </c>
      <c r="AT149" s="39" t="str">
        <f aca="true">IF(C149="","",IF(AP149="","NOT REVIEWED",IF(TODAY()&gt;AS149,"OVERDUE",IF(AS149-TODAY()&lt;=14,"Due Soon","Current"))))</f>
        <v/>
      </c>
      <c r="AU149" s="36"/>
    </row>
    <row r="150" customFormat="false" ht="15" hidden="false" customHeight="false" outlineLevel="0" collapsed="false">
      <c r="A150" s="36"/>
      <c r="B150" s="36"/>
      <c r="C150" s="36"/>
      <c r="D150" s="37"/>
      <c r="E150" s="37"/>
      <c r="F150" s="37"/>
      <c r="G150" s="38"/>
      <c r="H150" s="38"/>
      <c r="I150" s="36"/>
      <c r="J150" s="38"/>
      <c r="K150" s="37"/>
      <c r="L150" s="36"/>
      <c r="M150" s="37"/>
      <c r="N150" s="37"/>
      <c r="O150" s="37"/>
      <c r="P150" s="37"/>
      <c r="Q150" s="36"/>
      <c r="R150" s="39" t="str">
        <f aca="true">IF(H150="","",TODAY()-H150)</f>
        <v/>
      </c>
      <c r="S150" s="39" t="str">
        <f aca="true">IF(J150="","",J150-TODAY())</f>
        <v/>
      </c>
      <c r="T150" s="37"/>
      <c r="U150" s="37"/>
      <c r="V150" s="40" t="str">
        <f aca="false">IFERROR(INDEX('Azure Resource Map'!$D$2:$D$2001,MATCH($C150,'Azure Resource Map'!$A$2:$A$2001,0)),"")</f>
        <v/>
      </c>
      <c r="W150" s="39" t="str">
        <f aca="false">IFERROR(INDEX('Azure Resource Map'!$E$2:$E$2001,MATCH($C150,'Azure Resource Map'!$A$2:$A$2001,0)),"")</f>
        <v/>
      </c>
      <c r="X150" s="39" t="str">
        <f aca="false">IFERROR(INDEX('Azure Resource Map'!$F$2:$F$2001,MATCH($C150,'Azure Resource Map'!$A$2:$A$2001,0)),"")</f>
        <v/>
      </c>
      <c r="Y150" s="39" t="str">
        <f aca="false">IF($C150="","",IF(ISNUMBER(MATCH($C150,'CA Exclusion Map'!$A$2:$A$2001,0)),"Yes","No"))</f>
        <v/>
      </c>
      <c r="Z150" s="39" t="str">
        <f aca="false">IFERROR(INDEX('CA Exclusion Map'!$D$2:$D$2001,MATCH($C150,'CA Exclusion Map'!$A$2:$A$2001,0)),"")</f>
        <v/>
      </c>
      <c r="AA150" s="40" t="str">
        <f aca="false">IFERROR(INDEX('CA Exclusion Map'!$E$2:$E$2001,MATCH($C150,'CA Exclusion Map'!$A$2:$A$2001,0)),"")</f>
        <v/>
      </c>
      <c r="AB150" s="40" t="str">
        <f aca="false">IFERROR(INDEX('CA Exclusion Map'!$F$2:$F$2001,MATCH($C150,'CA Exclusion Map'!$A$2:$A$2001,0)),"")</f>
        <v/>
      </c>
      <c r="AC150" s="36"/>
      <c r="AD150" s="37"/>
      <c r="AE150" s="38"/>
      <c r="AF150" s="38"/>
      <c r="AG150" s="39" t="str">
        <f aca="true">IF(Y150="","",IF(Y150&lt;&gt;"Yes","N/A",IF(AF150="","NO EXPIRY SET",IF(TODAY()&gt;AF150,"EXPIRED",IF(AF150-TODAY()&lt;=30,"Expiring Soon","Active")))))</f>
        <v/>
      </c>
      <c r="AH150" s="36"/>
      <c r="AI150" s="36"/>
      <c r="AJ150" s="37"/>
      <c r="AK150" s="36"/>
      <c r="AL150" s="37"/>
      <c r="AM150" s="37"/>
      <c r="AN150" s="37"/>
      <c r="AO150" s="37"/>
      <c r="AP150" s="38"/>
      <c r="AQ150" s="37"/>
      <c r="AR150" s="37"/>
      <c r="AS150" s="41" t="str">
        <f aca="false">IF(AP150="","",AP150+90)</f>
        <v/>
      </c>
      <c r="AT150" s="39" t="str">
        <f aca="true">IF(C150="","",IF(AP150="","NOT REVIEWED",IF(TODAY()&gt;AS150,"OVERDUE",IF(AS150-TODAY()&lt;=14,"Due Soon","Current"))))</f>
        <v/>
      </c>
      <c r="AU150" s="36"/>
    </row>
    <row r="151" customFormat="false" ht="15" hidden="false" customHeight="false" outlineLevel="0" collapsed="false">
      <c r="A151" s="36"/>
      <c r="B151" s="36"/>
      <c r="C151" s="36"/>
      <c r="D151" s="37"/>
      <c r="E151" s="37"/>
      <c r="F151" s="37"/>
      <c r="G151" s="38"/>
      <c r="H151" s="38"/>
      <c r="I151" s="36"/>
      <c r="J151" s="38"/>
      <c r="K151" s="37"/>
      <c r="L151" s="36"/>
      <c r="M151" s="37"/>
      <c r="N151" s="37"/>
      <c r="O151" s="37"/>
      <c r="P151" s="37"/>
      <c r="Q151" s="36"/>
      <c r="R151" s="39" t="str">
        <f aca="true">IF(H151="","",TODAY()-H151)</f>
        <v/>
      </c>
      <c r="S151" s="39" t="str">
        <f aca="true">IF(J151="","",J151-TODAY())</f>
        <v/>
      </c>
      <c r="T151" s="37"/>
      <c r="U151" s="37"/>
      <c r="V151" s="40" t="str">
        <f aca="false">IFERROR(INDEX('Azure Resource Map'!$D$2:$D$2001,MATCH($C151,'Azure Resource Map'!$A$2:$A$2001,0)),"")</f>
        <v/>
      </c>
      <c r="W151" s="39" t="str">
        <f aca="false">IFERROR(INDEX('Azure Resource Map'!$E$2:$E$2001,MATCH($C151,'Azure Resource Map'!$A$2:$A$2001,0)),"")</f>
        <v/>
      </c>
      <c r="X151" s="39" t="str">
        <f aca="false">IFERROR(INDEX('Azure Resource Map'!$F$2:$F$2001,MATCH($C151,'Azure Resource Map'!$A$2:$A$2001,0)),"")</f>
        <v/>
      </c>
      <c r="Y151" s="39" t="str">
        <f aca="false">IF($C151="","",IF(ISNUMBER(MATCH($C151,'CA Exclusion Map'!$A$2:$A$2001,0)),"Yes","No"))</f>
        <v/>
      </c>
      <c r="Z151" s="39" t="str">
        <f aca="false">IFERROR(INDEX('CA Exclusion Map'!$D$2:$D$2001,MATCH($C151,'CA Exclusion Map'!$A$2:$A$2001,0)),"")</f>
        <v/>
      </c>
      <c r="AA151" s="40" t="str">
        <f aca="false">IFERROR(INDEX('CA Exclusion Map'!$E$2:$E$2001,MATCH($C151,'CA Exclusion Map'!$A$2:$A$2001,0)),"")</f>
        <v/>
      </c>
      <c r="AB151" s="40" t="str">
        <f aca="false">IFERROR(INDEX('CA Exclusion Map'!$F$2:$F$2001,MATCH($C151,'CA Exclusion Map'!$A$2:$A$2001,0)),"")</f>
        <v/>
      </c>
      <c r="AC151" s="36"/>
      <c r="AD151" s="37"/>
      <c r="AE151" s="38"/>
      <c r="AF151" s="38"/>
      <c r="AG151" s="39" t="str">
        <f aca="true">IF(Y151="","",IF(Y151&lt;&gt;"Yes","N/A",IF(AF151="","NO EXPIRY SET",IF(TODAY()&gt;AF151,"EXPIRED",IF(AF151-TODAY()&lt;=30,"Expiring Soon","Active")))))</f>
        <v/>
      </c>
      <c r="AH151" s="36"/>
      <c r="AI151" s="36"/>
      <c r="AJ151" s="37"/>
      <c r="AK151" s="36"/>
      <c r="AL151" s="37"/>
      <c r="AM151" s="37"/>
      <c r="AN151" s="37"/>
      <c r="AO151" s="37"/>
      <c r="AP151" s="38"/>
      <c r="AQ151" s="37"/>
      <c r="AR151" s="37"/>
      <c r="AS151" s="41" t="str">
        <f aca="false">IF(AP151="","",AP151+90)</f>
        <v/>
      </c>
      <c r="AT151" s="39" t="str">
        <f aca="true">IF(C151="","",IF(AP151="","NOT REVIEWED",IF(TODAY()&gt;AS151,"OVERDUE",IF(AS151-TODAY()&lt;=14,"Due Soon","Current"))))</f>
        <v/>
      </c>
      <c r="AU151" s="36"/>
    </row>
    <row r="152" customFormat="false" ht="15" hidden="false" customHeight="false" outlineLevel="0" collapsed="false">
      <c r="A152" s="36"/>
      <c r="B152" s="36"/>
      <c r="C152" s="36"/>
      <c r="D152" s="37"/>
      <c r="E152" s="37"/>
      <c r="F152" s="37"/>
      <c r="G152" s="38"/>
      <c r="H152" s="38"/>
      <c r="I152" s="36"/>
      <c r="J152" s="38"/>
      <c r="K152" s="37"/>
      <c r="L152" s="36"/>
      <c r="M152" s="37"/>
      <c r="N152" s="37"/>
      <c r="O152" s="37"/>
      <c r="P152" s="37"/>
      <c r="Q152" s="36"/>
      <c r="R152" s="39" t="str">
        <f aca="true">IF(H152="","",TODAY()-H152)</f>
        <v/>
      </c>
      <c r="S152" s="39" t="str">
        <f aca="true">IF(J152="","",J152-TODAY())</f>
        <v/>
      </c>
      <c r="T152" s="37"/>
      <c r="U152" s="37"/>
      <c r="V152" s="40" t="str">
        <f aca="false">IFERROR(INDEX('Azure Resource Map'!$D$2:$D$2001,MATCH($C152,'Azure Resource Map'!$A$2:$A$2001,0)),"")</f>
        <v/>
      </c>
      <c r="W152" s="39" t="str">
        <f aca="false">IFERROR(INDEX('Azure Resource Map'!$E$2:$E$2001,MATCH($C152,'Azure Resource Map'!$A$2:$A$2001,0)),"")</f>
        <v/>
      </c>
      <c r="X152" s="39" t="str">
        <f aca="false">IFERROR(INDEX('Azure Resource Map'!$F$2:$F$2001,MATCH($C152,'Azure Resource Map'!$A$2:$A$2001,0)),"")</f>
        <v/>
      </c>
      <c r="Y152" s="39" t="str">
        <f aca="false">IF($C152="","",IF(ISNUMBER(MATCH($C152,'CA Exclusion Map'!$A$2:$A$2001,0)),"Yes","No"))</f>
        <v/>
      </c>
      <c r="Z152" s="39" t="str">
        <f aca="false">IFERROR(INDEX('CA Exclusion Map'!$D$2:$D$2001,MATCH($C152,'CA Exclusion Map'!$A$2:$A$2001,0)),"")</f>
        <v/>
      </c>
      <c r="AA152" s="40" t="str">
        <f aca="false">IFERROR(INDEX('CA Exclusion Map'!$E$2:$E$2001,MATCH($C152,'CA Exclusion Map'!$A$2:$A$2001,0)),"")</f>
        <v/>
      </c>
      <c r="AB152" s="40" t="str">
        <f aca="false">IFERROR(INDEX('CA Exclusion Map'!$F$2:$F$2001,MATCH($C152,'CA Exclusion Map'!$A$2:$A$2001,0)),"")</f>
        <v/>
      </c>
      <c r="AC152" s="36"/>
      <c r="AD152" s="37"/>
      <c r="AE152" s="38"/>
      <c r="AF152" s="38"/>
      <c r="AG152" s="39" t="str">
        <f aca="true">IF(Y152="","",IF(Y152&lt;&gt;"Yes","N/A",IF(AF152="","NO EXPIRY SET",IF(TODAY()&gt;AF152,"EXPIRED",IF(AF152-TODAY()&lt;=30,"Expiring Soon","Active")))))</f>
        <v/>
      </c>
      <c r="AH152" s="36"/>
      <c r="AI152" s="36"/>
      <c r="AJ152" s="37"/>
      <c r="AK152" s="36"/>
      <c r="AL152" s="37"/>
      <c r="AM152" s="37"/>
      <c r="AN152" s="37"/>
      <c r="AO152" s="37"/>
      <c r="AP152" s="38"/>
      <c r="AQ152" s="37"/>
      <c r="AR152" s="37"/>
      <c r="AS152" s="41" t="str">
        <f aca="false">IF(AP152="","",AP152+90)</f>
        <v/>
      </c>
      <c r="AT152" s="39" t="str">
        <f aca="true">IF(C152="","",IF(AP152="","NOT REVIEWED",IF(TODAY()&gt;AS152,"OVERDUE",IF(AS152-TODAY()&lt;=14,"Due Soon","Current"))))</f>
        <v/>
      </c>
      <c r="AU152" s="36"/>
    </row>
    <row r="153" customFormat="false" ht="15" hidden="false" customHeight="false" outlineLevel="0" collapsed="false">
      <c r="A153" s="36"/>
      <c r="B153" s="36"/>
      <c r="C153" s="36"/>
      <c r="D153" s="37"/>
      <c r="E153" s="37"/>
      <c r="F153" s="37"/>
      <c r="G153" s="38"/>
      <c r="H153" s="38"/>
      <c r="I153" s="36"/>
      <c r="J153" s="38"/>
      <c r="K153" s="37"/>
      <c r="L153" s="36"/>
      <c r="M153" s="37"/>
      <c r="N153" s="37"/>
      <c r="O153" s="37"/>
      <c r="P153" s="37"/>
      <c r="Q153" s="36"/>
      <c r="R153" s="39" t="str">
        <f aca="true">IF(H153="","",TODAY()-H153)</f>
        <v/>
      </c>
      <c r="S153" s="39" t="str">
        <f aca="true">IF(J153="","",J153-TODAY())</f>
        <v/>
      </c>
      <c r="T153" s="37"/>
      <c r="U153" s="37"/>
      <c r="V153" s="40" t="str">
        <f aca="false">IFERROR(INDEX('Azure Resource Map'!$D$2:$D$2001,MATCH($C153,'Azure Resource Map'!$A$2:$A$2001,0)),"")</f>
        <v/>
      </c>
      <c r="W153" s="39" t="str">
        <f aca="false">IFERROR(INDEX('Azure Resource Map'!$E$2:$E$2001,MATCH($C153,'Azure Resource Map'!$A$2:$A$2001,0)),"")</f>
        <v/>
      </c>
      <c r="X153" s="39" t="str">
        <f aca="false">IFERROR(INDEX('Azure Resource Map'!$F$2:$F$2001,MATCH($C153,'Azure Resource Map'!$A$2:$A$2001,0)),"")</f>
        <v/>
      </c>
      <c r="Y153" s="39" t="str">
        <f aca="false">IF($C153="","",IF(ISNUMBER(MATCH($C153,'CA Exclusion Map'!$A$2:$A$2001,0)),"Yes","No"))</f>
        <v/>
      </c>
      <c r="Z153" s="39" t="str">
        <f aca="false">IFERROR(INDEX('CA Exclusion Map'!$D$2:$D$2001,MATCH($C153,'CA Exclusion Map'!$A$2:$A$2001,0)),"")</f>
        <v/>
      </c>
      <c r="AA153" s="40" t="str">
        <f aca="false">IFERROR(INDEX('CA Exclusion Map'!$E$2:$E$2001,MATCH($C153,'CA Exclusion Map'!$A$2:$A$2001,0)),"")</f>
        <v/>
      </c>
      <c r="AB153" s="40" t="str">
        <f aca="false">IFERROR(INDEX('CA Exclusion Map'!$F$2:$F$2001,MATCH($C153,'CA Exclusion Map'!$A$2:$A$2001,0)),"")</f>
        <v/>
      </c>
      <c r="AC153" s="36"/>
      <c r="AD153" s="37"/>
      <c r="AE153" s="38"/>
      <c r="AF153" s="38"/>
      <c r="AG153" s="39" t="str">
        <f aca="true">IF(Y153="","",IF(Y153&lt;&gt;"Yes","N/A",IF(AF153="","NO EXPIRY SET",IF(TODAY()&gt;AF153,"EXPIRED",IF(AF153-TODAY()&lt;=30,"Expiring Soon","Active")))))</f>
        <v/>
      </c>
      <c r="AH153" s="36"/>
      <c r="AI153" s="36"/>
      <c r="AJ153" s="37"/>
      <c r="AK153" s="36"/>
      <c r="AL153" s="37"/>
      <c r="AM153" s="37"/>
      <c r="AN153" s="37"/>
      <c r="AO153" s="37"/>
      <c r="AP153" s="38"/>
      <c r="AQ153" s="37"/>
      <c r="AR153" s="37"/>
      <c r="AS153" s="41" t="str">
        <f aca="false">IF(AP153="","",AP153+90)</f>
        <v/>
      </c>
      <c r="AT153" s="39" t="str">
        <f aca="true">IF(C153="","",IF(AP153="","NOT REVIEWED",IF(TODAY()&gt;AS153,"OVERDUE",IF(AS153-TODAY()&lt;=14,"Due Soon","Current"))))</f>
        <v/>
      </c>
      <c r="AU153" s="36"/>
    </row>
    <row r="154" customFormat="false" ht="15" hidden="false" customHeight="false" outlineLevel="0" collapsed="false">
      <c r="A154" s="36"/>
      <c r="B154" s="36"/>
      <c r="C154" s="36"/>
      <c r="D154" s="37"/>
      <c r="E154" s="37"/>
      <c r="F154" s="37"/>
      <c r="G154" s="38"/>
      <c r="H154" s="38"/>
      <c r="I154" s="36"/>
      <c r="J154" s="38"/>
      <c r="K154" s="37"/>
      <c r="L154" s="36"/>
      <c r="M154" s="37"/>
      <c r="N154" s="37"/>
      <c r="O154" s="37"/>
      <c r="P154" s="37"/>
      <c r="Q154" s="36"/>
      <c r="R154" s="39" t="str">
        <f aca="true">IF(H154="","",TODAY()-H154)</f>
        <v/>
      </c>
      <c r="S154" s="39" t="str">
        <f aca="true">IF(J154="","",J154-TODAY())</f>
        <v/>
      </c>
      <c r="T154" s="37"/>
      <c r="U154" s="37"/>
      <c r="V154" s="40" t="str">
        <f aca="false">IFERROR(INDEX('Azure Resource Map'!$D$2:$D$2001,MATCH($C154,'Azure Resource Map'!$A$2:$A$2001,0)),"")</f>
        <v/>
      </c>
      <c r="W154" s="39" t="str">
        <f aca="false">IFERROR(INDEX('Azure Resource Map'!$E$2:$E$2001,MATCH($C154,'Azure Resource Map'!$A$2:$A$2001,0)),"")</f>
        <v/>
      </c>
      <c r="X154" s="39" t="str">
        <f aca="false">IFERROR(INDEX('Azure Resource Map'!$F$2:$F$2001,MATCH($C154,'Azure Resource Map'!$A$2:$A$2001,0)),"")</f>
        <v/>
      </c>
      <c r="Y154" s="39" t="str">
        <f aca="false">IF($C154="","",IF(ISNUMBER(MATCH($C154,'CA Exclusion Map'!$A$2:$A$2001,0)),"Yes","No"))</f>
        <v/>
      </c>
      <c r="Z154" s="39" t="str">
        <f aca="false">IFERROR(INDEX('CA Exclusion Map'!$D$2:$D$2001,MATCH($C154,'CA Exclusion Map'!$A$2:$A$2001,0)),"")</f>
        <v/>
      </c>
      <c r="AA154" s="40" t="str">
        <f aca="false">IFERROR(INDEX('CA Exclusion Map'!$E$2:$E$2001,MATCH($C154,'CA Exclusion Map'!$A$2:$A$2001,0)),"")</f>
        <v/>
      </c>
      <c r="AB154" s="40" t="str">
        <f aca="false">IFERROR(INDEX('CA Exclusion Map'!$F$2:$F$2001,MATCH($C154,'CA Exclusion Map'!$A$2:$A$2001,0)),"")</f>
        <v/>
      </c>
      <c r="AC154" s="36"/>
      <c r="AD154" s="37"/>
      <c r="AE154" s="38"/>
      <c r="AF154" s="38"/>
      <c r="AG154" s="39" t="str">
        <f aca="true">IF(Y154="","",IF(Y154&lt;&gt;"Yes","N/A",IF(AF154="","NO EXPIRY SET",IF(TODAY()&gt;AF154,"EXPIRED",IF(AF154-TODAY()&lt;=30,"Expiring Soon","Active")))))</f>
        <v/>
      </c>
      <c r="AH154" s="36"/>
      <c r="AI154" s="36"/>
      <c r="AJ154" s="37"/>
      <c r="AK154" s="36"/>
      <c r="AL154" s="37"/>
      <c r="AM154" s="37"/>
      <c r="AN154" s="37"/>
      <c r="AO154" s="37"/>
      <c r="AP154" s="38"/>
      <c r="AQ154" s="37"/>
      <c r="AR154" s="37"/>
      <c r="AS154" s="41" t="str">
        <f aca="false">IF(AP154="","",AP154+90)</f>
        <v/>
      </c>
      <c r="AT154" s="39" t="str">
        <f aca="true">IF(C154="","",IF(AP154="","NOT REVIEWED",IF(TODAY()&gt;AS154,"OVERDUE",IF(AS154-TODAY()&lt;=14,"Due Soon","Current"))))</f>
        <v/>
      </c>
      <c r="AU154" s="36"/>
    </row>
    <row r="155" customFormat="false" ht="15" hidden="false" customHeight="false" outlineLevel="0" collapsed="false">
      <c r="A155" s="36"/>
      <c r="B155" s="36"/>
      <c r="C155" s="36"/>
      <c r="D155" s="37"/>
      <c r="E155" s="37"/>
      <c r="F155" s="37"/>
      <c r="G155" s="38"/>
      <c r="H155" s="38"/>
      <c r="I155" s="36"/>
      <c r="J155" s="38"/>
      <c r="K155" s="37"/>
      <c r="L155" s="36"/>
      <c r="M155" s="37"/>
      <c r="N155" s="37"/>
      <c r="O155" s="37"/>
      <c r="P155" s="37"/>
      <c r="Q155" s="36"/>
      <c r="R155" s="39" t="str">
        <f aca="true">IF(H155="","",TODAY()-H155)</f>
        <v/>
      </c>
      <c r="S155" s="39" t="str">
        <f aca="true">IF(J155="","",J155-TODAY())</f>
        <v/>
      </c>
      <c r="T155" s="37"/>
      <c r="U155" s="37"/>
      <c r="V155" s="40" t="str">
        <f aca="false">IFERROR(INDEX('Azure Resource Map'!$D$2:$D$2001,MATCH($C155,'Azure Resource Map'!$A$2:$A$2001,0)),"")</f>
        <v/>
      </c>
      <c r="W155" s="39" t="str">
        <f aca="false">IFERROR(INDEX('Azure Resource Map'!$E$2:$E$2001,MATCH($C155,'Azure Resource Map'!$A$2:$A$2001,0)),"")</f>
        <v/>
      </c>
      <c r="X155" s="39" t="str">
        <f aca="false">IFERROR(INDEX('Azure Resource Map'!$F$2:$F$2001,MATCH($C155,'Azure Resource Map'!$A$2:$A$2001,0)),"")</f>
        <v/>
      </c>
      <c r="Y155" s="39" t="str">
        <f aca="false">IF($C155="","",IF(ISNUMBER(MATCH($C155,'CA Exclusion Map'!$A$2:$A$2001,0)),"Yes","No"))</f>
        <v/>
      </c>
      <c r="Z155" s="39" t="str">
        <f aca="false">IFERROR(INDEX('CA Exclusion Map'!$D$2:$D$2001,MATCH($C155,'CA Exclusion Map'!$A$2:$A$2001,0)),"")</f>
        <v/>
      </c>
      <c r="AA155" s="40" t="str">
        <f aca="false">IFERROR(INDEX('CA Exclusion Map'!$E$2:$E$2001,MATCH($C155,'CA Exclusion Map'!$A$2:$A$2001,0)),"")</f>
        <v/>
      </c>
      <c r="AB155" s="40" t="str">
        <f aca="false">IFERROR(INDEX('CA Exclusion Map'!$F$2:$F$2001,MATCH($C155,'CA Exclusion Map'!$A$2:$A$2001,0)),"")</f>
        <v/>
      </c>
      <c r="AC155" s="36"/>
      <c r="AD155" s="37"/>
      <c r="AE155" s="38"/>
      <c r="AF155" s="38"/>
      <c r="AG155" s="39" t="str">
        <f aca="true">IF(Y155="","",IF(Y155&lt;&gt;"Yes","N/A",IF(AF155="","NO EXPIRY SET",IF(TODAY()&gt;AF155,"EXPIRED",IF(AF155-TODAY()&lt;=30,"Expiring Soon","Active")))))</f>
        <v/>
      </c>
      <c r="AH155" s="36"/>
      <c r="AI155" s="36"/>
      <c r="AJ155" s="37"/>
      <c r="AK155" s="36"/>
      <c r="AL155" s="37"/>
      <c r="AM155" s="37"/>
      <c r="AN155" s="37"/>
      <c r="AO155" s="37"/>
      <c r="AP155" s="38"/>
      <c r="AQ155" s="37"/>
      <c r="AR155" s="37"/>
      <c r="AS155" s="41" t="str">
        <f aca="false">IF(AP155="","",AP155+90)</f>
        <v/>
      </c>
      <c r="AT155" s="39" t="str">
        <f aca="true">IF(C155="","",IF(AP155="","NOT REVIEWED",IF(TODAY()&gt;AS155,"OVERDUE",IF(AS155-TODAY()&lt;=14,"Due Soon","Current"))))</f>
        <v/>
      </c>
      <c r="AU155" s="36"/>
    </row>
    <row r="156" customFormat="false" ht="15" hidden="false" customHeight="false" outlineLevel="0" collapsed="false">
      <c r="A156" s="36"/>
      <c r="B156" s="36"/>
      <c r="C156" s="36"/>
      <c r="D156" s="37"/>
      <c r="E156" s="37"/>
      <c r="F156" s="37"/>
      <c r="G156" s="38"/>
      <c r="H156" s="38"/>
      <c r="I156" s="36"/>
      <c r="J156" s="38"/>
      <c r="K156" s="37"/>
      <c r="L156" s="36"/>
      <c r="M156" s="37"/>
      <c r="N156" s="37"/>
      <c r="O156" s="37"/>
      <c r="P156" s="37"/>
      <c r="Q156" s="36"/>
      <c r="R156" s="39" t="str">
        <f aca="true">IF(H156="","",TODAY()-H156)</f>
        <v/>
      </c>
      <c r="S156" s="39" t="str">
        <f aca="true">IF(J156="","",J156-TODAY())</f>
        <v/>
      </c>
      <c r="T156" s="37"/>
      <c r="U156" s="37"/>
      <c r="V156" s="40" t="str">
        <f aca="false">IFERROR(INDEX('Azure Resource Map'!$D$2:$D$2001,MATCH($C156,'Azure Resource Map'!$A$2:$A$2001,0)),"")</f>
        <v/>
      </c>
      <c r="W156" s="39" t="str">
        <f aca="false">IFERROR(INDEX('Azure Resource Map'!$E$2:$E$2001,MATCH($C156,'Azure Resource Map'!$A$2:$A$2001,0)),"")</f>
        <v/>
      </c>
      <c r="X156" s="39" t="str">
        <f aca="false">IFERROR(INDEX('Azure Resource Map'!$F$2:$F$2001,MATCH($C156,'Azure Resource Map'!$A$2:$A$2001,0)),"")</f>
        <v/>
      </c>
      <c r="Y156" s="39" t="str">
        <f aca="false">IF($C156="","",IF(ISNUMBER(MATCH($C156,'CA Exclusion Map'!$A$2:$A$2001,0)),"Yes","No"))</f>
        <v/>
      </c>
      <c r="Z156" s="39" t="str">
        <f aca="false">IFERROR(INDEX('CA Exclusion Map'!$D$2:$D$2001,MATCH($C156,'CA Exclusion Map'!$A$2:$A$2001,0)),"")</f>
        <v/>
      </c>
      <c r="AA156" s="40" t="str">
        <f aca="false">IFERROR(INDEX('CA Exclusion Map'!$E$2:$E$2001,MATCH($C156,'CA Exclusion Map'!$A$2:$A$2001,0)),"")</f>
        <v/>
      </c>
      <c r="AB156" s="40" t="str">
        <f aca="false">IFERROR(INDEX('CA Exclusion Map'!$F$2:$F$2001,MATCH($C156,'CA Exclusion Map'!$A$2:$A$2001,0)),"")</f>
        <v/>
      </c>
      <c r="AC156" s="36"/>
      <c r="AD156" s="37"/>
      <c r="AE156" s="38"/>
      <c r="AF156" s="38"/>
      <c r="AG156" s="39" t="str">
        <f aca="true">IF(Y156="","",IF(Y156&lt;&gt;"Yes","N/A",IF(AF156="","NO EXPIRY SET",IF(TODAY()&gt;AF156,"EXPIRED",IF(AF156-TODAY()&lt;=30,"Expiring Soon","Active")))))</f>
        <v/>
      </c>
      <c r="AH156" s="36"/>
      <c r="AI156" s="36"/>
      <c r="AJ156" s="37"/>
      <c r="AK156" s="36"/>
      <c r="AL156" s="37"/>
      <c r="AM156" s="37"/>
      <c r="AN156" s="37"/>
      <c r="AO156" s="37"/>
      <c r="AP156" s="38"/>
      <c r="AQ156" s="37"/>
      <c r="AR156" s="37"/>
      <c r="AS156" s="41" t="str">
        <f aca="false">IF(AP156="","",AP156+90)</f>
        <v/>
      </c>
      <c r="AT156" s="39" t="str">
        <f aca="true">IF(C156="","",IF(AP156="","NOT REVIEWED",IF(TODAY()&gt;AS156,"OVERDUE",IF(AS156-TODAY()&lt;=14,"Due Soon","Current"))))</f>
        <v/>
      </c>
      <c r="AU156" s="36"/>
    </row>
    <row r="157" customFormat="false" ht="15" hidden="false" customHeight="false" outlineLevel="0" collapsed="false">
      <c r="A157" s="36"/>
      <c r="B157" s="36"/>
      <c r="C157" s="36"/>
      <c r="D157" s="37"/>
      <c r="E157" s="37"/>
      <c r="F157" s="37"/>
      <c r="G157" s="38"/>
      <c r="H157" s="38"/>
      <c r="I157" s="36"/>
      <c r="J157" s="38"/>
      <c r="K157" s="37"/>
      <c r="L157" s="36"/>
      <c r="M157" s="37"/>
      <c r="N157" s="37"/>
      <c r="O157" s="37"/>
      <c r="P157" s="37"/>
      <c r="Q157" s="36"/>
      <c r="R157" s="39" t="str">
        <f aca="true">IF(H157="","",TODAY()-H157)</f>
        <v/>
      </c>
      <c r="S157" s="39" t="str">
        <f aca="true">IF(J157="","",J157-TODAY())</f>
        <v/>
      </c>
      <c r="T157" s="37"/>
      <c r="U157" s="37"/>
      <c r="V157" s="40" t="str">
        <f aca="false">IFERROR(INDEX('Azure Resource Map'!$D$2:$D$2001,MATCH($C157,'Azure Resource Map'!$A$2:$A$2001,0)),"")</f>
        <v/>
      </c>
      <c r="W157" s="39" t="str">
        <f aca="false">IFERROR(INDEX('Azure Resource Map'!$E$2:$E$2001,MATCH($C157,'Azure Resource Map'!$A$2:$A$2001,0)),"")</f>
        <v/>
      </c>
      <c r="X157" s="39" t="str">
        <f aca="false">IFERROR(INDEX('Azure Resource Map'!$F$2:$F$2001,MATCH($C157,'Azure Resource Map'!$A$2:$A$2001,0)),"")</f>
        <v/>
      </c>
      <c r="Y157" s="39" t="str">
        <f aca="false">IF($C157="","",IF(ISNUMBER(MATCH($C157,'CA Exclusion Map'!$A$2:$A$2001,0)),"Yes","No"))</f>
        <v/>
      </c>
      <c r="Z157" s="39" t="str">
        <f aca="false">IFERROR(INDEX('CA Exclusion Map'!$D$2:$D$2001,MATCH($C157,'CA Exclusion Map'!$A$2:$A$2001,0)),"")</f>
        <v/>
      </c>
      <c r="AA157" s="40" t="str">
        <f aca="false">IFERROR(INDEX('CA Exclusion Map'!$E$2:$E$2001,MATCH($C157,'CA Exclusion Map'!$A$2:$A$2001,0)),"")</f>
        <v/>
      </c>
      <c r="AB157" s="40" t="str">
        <f aca="false">IFERROR(INDEX('CA Exclusion Map'!$F$2:$F$2001,MATCH($C157,'CA Exclusion Map'!$A$2:$A$2001,0)),"")</f>
        <v/>
      </c>
      <c r="AC157" s="36"/>
      <c r="AD157" s="37"/>
      <c r="AE157" s="38"/>
      <c r="AF157" s="38"/>
      <c r="AG157" s="39" t="str">
        <f aca="true">IF(Y157="","",IF(Y157&lt;&gt;"Yes","N/A",IF(AF157="","NO EXPIRY SET",IF(TODAY()&gt;AF157,"EXPIRED",IF(AF157-TODAY()&lt;=30,"Expiring Soon","Active")))))</f>
        <v/>
      </c>
      <c r="AH157" s="36"/>
      <c r="AI157" s="36"/>
      <c r="AJ157" s="37"/>
      <c r="AK157" s="36"/>
      <c r="AL157" s="37"/>
      <c r="AM157" s="37"/>
      <c r="AN157" s="37"/>
      <c r="AO157" s="37"/>
      <c r="AP157" s="38"/>
      <c r="AQ157" s="37"/>
      <c r="AR157" s="37"/>
      <c r="AS157" s="41" t="str">
        <f aca="false">IF(AP157="","",AP157+90)</f>
        <v/>
      </c>
      <c r="AT157" s="39" t="str">
        <f aca="true">IF(C157="","",IF(AP157="","NOT REVIEWED",IF(TODAY()&gt;AS157,"OVERDUE",IF(AS157-TODAY()&lt;=14,"Due Soon","Current"))))</f>
        <v/>
      </c>
      <c r="AU157" s="36"/>
    </row>
    <row r="158" customFormat="false" ht="15" hidden="false" customHeight="false" outlineLevel="0" collapsed="false">
      <c r="A158" s="36"/>
      <c r="B158" s="36"/>
      <c r="C158" s="36"/>
      <c r="D158" s="37"/>
      <c r="E158" s="37"/>
      <c r="F158" s="37"/>
      <c r="G158" s="38"/>
      <c r="H158" s="38"/>
      <c r="I158" s="36"/>
      <c r="J158" s="38"/>
      <c r="K158" s="37"/>
      <c r="L158" s="36"/>
      <c r="M158" s="37"/>
      <c r="N158" s="37"/>
      <c r="O158" s="37"/>
      <c r="P158" s="37"/>
      <c r="Q158" s="36"/>
      <c r="R158" s="39" t="str">
        <f aca="true">IF(H158="","",TODAY()-H158)</f>
        <v/>
      </c>
      <c r="S158" s="39" t="str">
        <f aca="true">IF(J158="","",J158-TODAY())</f>
        <v/>
      </c>
      <c r="T158" s="37"/>
      <c r="U158" s="37"/>
      <c r="V158" s="40" t="str">
        <f aca="false">IFERROR(INDEX('Azure Resource Map'!$D$2:$D$2001,MATCH($C158,'Azure Resource Map'!$A$2:$A$2001,0)),"")</f>
        <v/>
      </c>
      <c r="W158" s="39" t="str">
        <f aca="false">IFERROR(INDEX('Azure Resource Map'!$E$2:$E$2001,MATCH($C158,'Azure Resource Map'!$A$2:$A$2001,0)),"")</f>
        <v/>
      </c>
      <c r="X158" s="39" t="str">
        <f aca="false">IFERROR(INDEX('Azure Resource Map'!$F$2:$F$2001,MATCH($C158,'Azure Resource Map'!$A$2:$A$2001,0)),"")</f>
        <v/>
      </c>
      <c r="Y158" s="39" t="str">
        <f aca="false">IF($C158="","",IF(ISNUMBER(MATCH($C158,'CA Exclusion Map'!$A$2:$A$2001,0)),"Yes","No"))</f>
        <v/>
      </c>
      <c r="Z158" s="39" t="str">
        <f aca="false">IFERROR(INDEX('CA Exclusion Map'!$D$2:$D$2001,MATCH($C158,'CA Exclusion Map'!$A$2:$A$2001,0)),"")</f>
        <v/>
      </c>
      <c r="AA158" s="40" t="str">
        <f aca="false">IFERROR(INDEX('CA Exclusion Map'!$E$2:$E$2001,MATCH($C158,'CA Exclusion Map'!$A$2:$A$2001,0)),"")</f>
        <v/>
      </c>
      <c r="AB158" s="40" t="str">
        <f aca="false">IFERROR(INDEX('CA Exclusion Map'!$F$2:$F$2001,MATCH($C158,'CA Exclusion Map'!$A$2:$A$2001,0)),"")</f>
        <v/>
      </c>
      <c r="AC158" s="36"/>
      <c r="AD158" s="37"/>
      <c r="AE158" s="38"/>
      <c r="AF158" s="38"/>
      <c r="AG158" s="39" t="str">
        <f aca="true">IF(Y158="","",IF(Y158&lt;&gt;"Yes","N/A",IF(AF158="","NO EXPIRY SET",IF(TODAY()&gt;AF158,"EXPIRED",IF(AF158-TODAY()&lt;=30,"Expiring Soon","Active")))))</f>
        <v/>
      </c>
      <c r="AH158" s="36"/>
      <c r="AI158" s="36"/>
      <c r="AJ158" s="37"/>
      <c r="AK158" s="36"/>
      <c r="AL158" s="37"/>
      <c r="AM158" s="37"/>
      <c r="AN158" s="37"/>
      <c r="AO158" s="37"/>
      <c r="AP158" s="38"/>
      <c r="AQ158" s="37"/>
      <c r="AR158" s="37"/>
      <c r="AS158" s="41" t="str">
        <f aca="false">IF(AP158="","",AP158+90)</f>
        <v/>
      </c>
      <c r="AT158" s="39" t="str">
        <f aca="true">IF(C158="","",IF(AP158="","NOT REVIEWED",IF(TODAY()&gt;AS158,"OVERDUE",IF(AS158-TODAY()&lt;=14,"Due Soon","Current"))))</f>
        <v/>
      </c>
      <c r="AU158" s="36"/>
    </row>
    <row r="159" customFormat="false" ht="15" hidden="false" customHeight="false" outlineLevel="0" collapsed="false">
      <c r="A159" s="36"/>
      <c r="B159" s="36"/>
      <c r="C159" s="36"/>
      <c r="D159" s="37"/>
      <c r="E159" s="37"/>
      <c r="F159" s="37"/>
      <c r="G159" s="38"/>
      <c r="H159" s="38"/>
      <c r="I159" s="36"/>
      <c r="J159" s="38"/>
      <c r="K159" s="37"/>
      <c r="L159" s="36"/>
      <c r="M159" s="37"/>
      <c r="N159" s="37"/>
      <c r="O159" s="37"/>
      <c r="P159" s="37"/>
      <c r="Q159" s="36"/>
      <c r="R159" s="39" t="str">
        <f aca="true">IF(H159="","",TODAY()-H159)</f>
        <v/>
      </c>
      <c r="S159" s="39" t="str">
        <f aca="true">IF(J159="","",J159-TODAY())</f>
        <v/>
      </c>
      <c r="T159" s="37"/>
      <c r="U159" s="37"/>
      <c r="V159" s="40" t="str">
        <f aca="false">IFERROR(INDEX('Azure Resource Map'!$D$2:$D$2001,MATCH($C159,'Azure Resource Map'!$A$2:$A$2001,0)),"")</f>
        <v/>
      </c>
      <c r="W159" s="39" t="str">
        <f aca="false">IFERROR(INDEX('Azure Resource Map'!$E$2:$E$2001,MATCH($C159,'Azure Resource Map'!$A$2:$A$2001,0)),"")</f>
        <v/>
      </c>
      <c r="X159" s="39" t="str">
        <f aca="false">IFERROR(INDEX('Azure Resource Map'!$F$2:$F$2001,MATCH($C159,'Azure Resource Map'!$A$2:$A$2001,0)),"")</f>
        <v/>
      </c>
      <c r="Y159" s="39" t="str">
        <f aca="false">IF($C159="","",IF(ISNUMBER(MATCH($C159,'CA Exclusion Map'!$A$2:$A$2001,0)),"Yes","No"))</f>
        <v/>
      </c>
      <c r="Z159" s="39" t="str">
        <f aca="false">IFERROR(INDEX('CA Exclusion Map'!$D$2:$D$2001,MATCH($C159,'CA Exclusion Map'!$A$2:$A$2001,0)),"")</f>
        <v/>
      </c>
      <c r="AA159" s="40" t="str">
        <f aca="false">IFERROR(INDEX('CA Exclusion Map'!$E$2:$E$2001,MATCH($C159,'CA Exclusion Map'!$A$2:$A$2001,0)),"")</f>
        <v/>
      </c>
      <c r="AB159" s="40" t="str">
        <f aca="false">IFERROR(INDEX('CA Exclusion Map'!$F$2:$F$2001,MATCH($C159,'CA Exclusion Map'!$A$2:$A$2001,0)),"")</f>
        <v/>
      </c>
      <c r="AC159" s="36"/>
      <c r="AD159" s="37"/>
      <c r="AE159" s="38"/>
      <c r="AF159" s="38"/>
      <c r="AG159" s="39" t="str">
        <f aca="true">IF(Y159="","",IF(Y159&lt;&gt;"Yes","N/A",IF(AF159="","NO EXPIRY SET",IF(TODAY()&gt;AF159,"EXPIRED",IF(AF159-TODAY()&lt;=30,"Expiring Soon","Active")))))</f>
        <v/>
      </c>
      <c r="AH159" s="36"/>
      <c r="AI159" s="36"/>
      <c r="AJ159" s="37"/>
      <c r="AK159" s="36"/>
      <c r="AL159" s="37"/>
      <c r="AM159" s="37"/>
      <c r="AN159" s="37"/>
      <c r="AO159" s="37"/>
      <c r="AP159" s="38"/>
      <c r="AQ159" s="37"/>
      <c r="AR159" s="37"/>
      <c r="AS159" s="41" t="str">
        <f aca="false">IF(AP159="","",AP159+90)</f>
        <v/>
      </c>
      <c r="AT159" s="39" t="str">
        <f aca="true">IF(C159="","",IF(AP159="","NOT REVIEWED",IF(TODAY()&gt;AS159,"OVERDUE",IF(AS159-TODAY()&lt;=14,"Due Soon","Current"))))</f>
        <v/>
      </c>
      <c r="AU159" s="36"/>
    </row>
    <row r="160" customFormat="false" ht="15" hidden="false" customHeight="false" outlineLevel="0" collapsed="false">
      <c r="A160" s="36"/>
      <c r="B160" s="36"/>
      <c r="C160" s="36"/>
      <c r="D160" s="37"/>
      <c r="E160" s="37"/>
      <c r="F160" s="37"/>
      <c r="G160" s="38"/>
      <c r="H160" s="38"/>
      <c r="I160" s="36"/>
      <c r="J160" s="38"/>
      <c r="K160" s="37"/>
      <c r="L160" s="36"/>
      <c r="M160" s="37"/>
      <c r="N160" s="37"/>
      <c r="O160" s="37"/>
      <c r="P160" s="37"/>
      <c r="Q160" s="36"/>
      <c r="R160" s="39" t="str">
        <f aca="true">IF(H160="","",TODAY()-H160)</f>
        <v/>
      </c>
      <c r="S160" s="39" t="str">
        <f aca="true">IF(J160="","",J160-TODAY())</f>
        <v/>
      </c>
      <c r="T160" s="37"/>
      <c r="U160" s="37"/>
      <c r="V160" s="40" t="str">
        <f aca="false">IFERROR(INDEX('Azure Resource Map'!$D$2:$D$2001,MATCH($C160,'Azure Resource Map'!$A$2:$A$2001,0)),"")</f>
        <v/>
      </c>
      <c r="W160" s="39" t="str">
        <f aca="false">IFERROR(INDEX('Azure Resource Map'!$E$2:$E$2001,MATCH($C160,'Azure Resource Map'!$A$2:$A$2001,0)),"")</f>
        <v/>
      </c>
      <c r="X160" s="39" t="str">
        <f aca="false">IFERROR(INDEX('Azure Resource Map'!$F$2:$F$2001,MATCH($C160,'Azure Resource Map'!$A$2:$A$2001,0)),"")</f>
        <v/>
      </c>
      <c r="Y160" s="39" t="str">
        <f aca="false">IF($C160="","",IF(ISNUMBER(MATCH($C160,'CA Exclusion Map'!$A$2:$A$2001,0)),"Yes","No"))</f>
        <v/>
      </c>
      <c r="Z160" s="39" t="str">
        <f aca="false">IFERROR(INDEX('CA Exclusion Map'!$D$2:$D$2001,MATCH($C160,'CA Exclusion Map'!$A$2:$A$2001,0)),"")</f>
        <v/>
      </c>
      <c r="AA160" s="40" t="str">
        <f aca="false">IFERROR(INDEX('CA Exclusion Map'!$E$2:$E$2001,MATCH($C160,'CA Exclusion Map'!$A$2:$A$2001,0)),"")</f>
        <v/>
      </c>
      <c r="AB160" s="40" t="str">
        <f aca="false">IFERROR(INDEX('CA Exclusion Map'!$F$2:$F$2001,MATCH($C160,'CA Exclusion Map'!$A$2:$A$2001,0)),"")</f>
        <v/>
      </c>
      <c r="AC160" s="36"/>
      <c r="AD160" s="37"/>
      <c r="AE160" s="38"/>
      <c r="AF160" s="38"/>
      <c r="AG160" s="39" t="str">
        <f aca="true">IF(Y160="","",IF(Y160&lt;&gt;"Yes","N/A",IF(AF160="","NO EXPIRY SET",IF(TODAY()&gt;AF160,"EXPIRED",IF(AF160-TODAY()&lt;=30,"Expiring Soon","Active")))))</f>
        <v/>
      </c>
      <c r="AH160" s="36"/>
      <c r="AI160" s="36"/>
      <c r="AJ160" s="37"/>
      <c r="AK160" s="36"/>
      <c r="AL160" s="37"/>
      <c r="AM160" s="37"/>
      <c r="AN160" s="37"/>
      <c r="AO160" s="37"/>
      <c r="AP160" s="38"/>
      <c r="AQ160" s="37"/>
      <c r="AR160" s="37"/>
      <c r="AS160" s="41" t="str">
        <f aca="false">IF(AP160="","",AP160+90)</f>
        <v/>
      </c>
      <c r="AT160" s="39" t="str">
        <f aca="true">IF(C160="","",IF(AP160="","NOT REVIEWED",IF(TODAY()&gt;AS160,"OVERDUE",IF(AS160-TODAY()&lt;=14,"Due Soon","Current"))))</f>
        <v/>
      </c>
      <c r="AU160" s="36"/>
    </row>
    <row r="161" customFormat="false" ht="15" hidden="false" customHeight="false" outlineLevel="0" collapsed="false">
      <c r="A161" s="36"/>
      <c r="B161" s="36"/>
      <c r="C161" s="36"/>
      <c r="D161" s="37"/>
      <c r="E161" s="37"/>
      <c r="F161" s="37"/>
      <c r="G161" s="38"/>
      <c r="H161" s="38"/>
      <c r="I161" s="36"/>
      <c r="J161" s="38"/>
      <c r="K161" s="37"/>
      <c r="L161" s="36"/>
      <c r="M161" s="37"/>
      <c r="N161" s="37"/>
      <c r="O161" s="37"/>
      <c r="P161" s="37"/>
      <c r="Q161" s="36"/>
      <c r="R161" s="39" t="str">
        <f aca="true">IF(H161="","",TODAY()-H161)</f>
        <v/>
      </c>
      <c r="S161" s="39" t="str">
        <f aca="true">IF(J161="","",J161-TODAY())</f>
        <v/>
      </c>
      <c r="T161" s="37"/>
      <c r="U161" s="37"/>
      <c r="V161" s="40" t="str">
        <f aca="false">IFERROR(INDEX('Azure Resource Map'!$D$2:$D$2001,MATCH($C161,'Azure Resource Map'!$A$2:$A$2001,0)),"")</f>
        <v/>
      </c>
      <c r="W161" s="39" t="str">
        <f aca="false">IFERROR(INDEX('Azure Resource Map'!$E$2:$E$2001,MATCH($C161,'Azure Resource Map'!$A$2:$A$2001,0)),"")</f>
        <v/>
      </c>
      <c r="X161" s="39" t="str">
        <f aca="false">IFERROR(INDEX('Azure Resource Map'!$F$2:$F$2001,MATCH($C161,'Azure Resource Map'!$A$2:$A$2001,0)),"")</f>
        <v/>
      </c>
      <c r="Y161" s="39" t="str">
        <f aca="false">IF($C161="","",IF(ISNUMBER(MATCH($C161,'CA Exclusion Map'!$A$2:$A$2001,0)),"Yes","No"))</f>
        <v/>
      </c>
      <c r="Z161" s="39" t="str">
        <f aca="false">IFERROR(INDEX('CA Exclusion Map'!$D$2:$D$2001,MATCH($C161,'CA Exclusion Map'!$A$2:$A$2001,0)),"")</f>
        <v/>
      </c>
      <c r="AA161" s="40" t="str">
        <f aca="false">IFERROR(INDEX('CA Exclusion Map'!$E$2:$E$2001,MATCH($C161,'CA Exclusion Map'!$A$2:$A$2001,0)),"")</f>
        <v/>
      </c>
      <c r="AB161" s="40" t="str">
        <f aca="false">IFERROR(INDEX('CA Exclusion Map'!$F$2:$F$2001,MATCH($C161,'CA Exclusion Map'!$A$2:$A$2001,0)),"")</f>
        <v/>
      </c>
      <c r="AC161" s="36"/>
      <c r="AD161" s="37"/>
      <c r="AE161" s="38"/>
      <c r="AF161" s="38"/>
      <c r="AG161" s="39" t="str">
        <f aca="true">IF(Y161="","",IF(Y161&lt;&gt;"Yes","N/A",IF(AF161="","NO EXPIRY SET",IF(TODAY()&gt;AF161,"EXPIRED",IF(AF161-TODAY()&lt;=30,"Expiring Soon","Active")))))</f>
        <v/>
      </c>
      <c r="AH161" s="36"/>
      <c r="AI161" s="36"/>
      <c r="AJ161" s="37"/>
      <c r="AK161" s="36"/>
      <c r="AL161" s="37"/>
      <c r="AM161" s="37"/>
      <c r="AN161" s="37"/>
      <c r="AO161" s="37"/>
      <c r="AP161" s="38"/>
      <c r="AQ161" s="37"/>
      <c r="AR161" s="37"/>
      <c r="AS161" s="41" t="str">
        <f aca="false">IF(AP161="","",AP161+90)</f>
        <v/>
      </c>
      <c r="AT161" s="39" t="str">
        <f aca="true">IF(C161="","",IF(AP161="","NOT REVIEWED",IF(TODAY()&gt;AS161,"OVERDUE",IF(AS161-TODAY()&lt;=14,"Due Soon","Current"))))</f>
        <v/>
      </c>
      <c r="AU161" s="36"/>
    </row>
    <row r="162" customFormat="false" ht="15" hidden="false" customHeight="false" outlineLevel="0" collapsed="false">
      <c r="A162" s="36"/>
      <c r="B162" s="36"/>
      <c r="C162" s="36"/>
      <c r="D162" s="37"/>
      <c r="E162" s="37"/>
      <c r="F162" s="37"/>
      <c r="G162" s="38"/>
      <c r="H162" s="38"/>
      <c r="I162" s="36"/>
      <c r="J162" s="38"/>
      <c r="K162" s="37"/>
      <c r="L162" s="36"/>
      <c r="M162" s="37"/>
      <c r="N162" s="37"/>
      <c r="O162" s="37"/>
      <c r="P162" s="37"/>
      <c r="Q162" s="36"/>
      <c r="R162" s="39" t="str">
        <f aca="true">IF(H162="","",TODAY()-H162)</f>
        <v/>
      </c>
      <c r="S162" s="39" t="str">
        <f aca="true">IF(J162="","",J162-TODAY())</f>
        <v/>
      </c>
      <c r="T162" s="37"/>
      <c r="U162" s="37"/>
      <c r="V162" s="40" t="str">
        <f aca="false">IFERROR(INDEX('Azure Resource Map'!$D$2:$D$2001,MATCH($C162,'Azure Resource Map'!$A$2:$A$2001,0)),"")</f>
        <v/>
      </c>
      <c r="W162" s="39" t="str">
        <f aca="false">IFERROR(INDEX('Azure Resource Map'!$E$2:$E$2001,MATCH($C162,'Azure Resource Map'!$A$2:$A$2001,0)),"")</f>
        <v/>
      </c>
      <c r="X162" s="39" t="str">
        <f aca="false">IFERROR(INDEX('Azure Resource Map'!$F$2:$F$2001,MATCH($C162,'Azure Resource Map'!$A$2:$A$2001,0)),"")</f>
        <v/>
      </c>
      <c r="Y162" s="39" t="str">
        <f aca="false">IF($C162="","",IF(ISNUMBER(MATCH($C162,'CA Exclusion Map'!$A$2:$A$2001,0)),"Yes","No"))</f>
        <v/>
      </c>
      <c r="Z162" s="39" t="str">
        <f aca="false">IFERROR(INDEX('CA Exclusion Map'!$D$2:$D$2001,MATCH($C162,'CA Exclusion Map'!$A$2:$A$2001,0)),"")</f>
        <v/>
      </c>
      <c r="AA162" s="40" t="str">
        <f aca="false">IFERROR(INDEX('CA Exclusion Map'!$E$2:$E$2001,MATCH($C162,'CA Exclusion Map'!$A$2:$A$2001,0)),"")</f>
        <v/>
      </c>
      <c r="AB162" s="40" t="str">
        <f aca="false">IFERROR(INDEX('CA Exclusion Map'!$F$2:$F$2001,MATCH($C162,'CA Exclusion Map'!$A$2:$A$2001,0)),"")</f>
        <v/>
      </c>
      <c r="AC162" s="36"/>
      <c r="AD162" s="37"/>
      <c r="AE162" s="38"/>
      <c r="AF162" s="38"/>
      <c r="AG162" s="39" t="str">
        <f aca="true">IF(Y162="","",IF(Y162&lt;&gt;"Yes","N/A",IF(AF162="","NO EXPIRY SET",IF(TODAY()&gt;AF162,"EXPIRED",IF(AF162-TODAY()&lt;=30,"Expiring Soon","Active")))))</f>
        <v/>
      </c>
      <c r="AH162" s="36"/>
      <c r="AI162" s="36"/>
      <c r="AJ162" s="37"/>
      <c r="AK162" s="36"/>
      <c r="AL162" s="37"/>
      <c r="AM162" s="37"/>
      <c r="AN162" s="37"/>
      <c r="AO162" s="37"/>
      <c r="AP162" s="38"/>
      <c r="AQ162" s="37"/>
      <c r="AR162" s="37"/>
      <c r="AS162" s="41" t="str">
        <f aca="false">IF(AP162="","",AP162+90)</f>
        <v/>
      </c>
      <c r="AT162" s="39" t="str">
        <f aca="true">IF(C162="","",IF(AP162="","NOT REVIEWED",IF(TODAY()&gt;AS162,"OVERDUE",IF(AS162-TODAY()&lt;=14,"Due Soon","Current"))))</f>
        <v/>
      </c>
      <c r="AU162" s="36"/>
    </row>
    <row r="163" customFormat="false" ht="15" hidden="false" customHeight="false" outlineLevel="0" collapsed="false">
      <c r="A163" s="36"/>
      <c r="B163" s="36"/>
      <c r="C163" s="36"/>
      <c r="D163" s="37"/>
      <c r="E163" s="37"/>
      <c r="F163" s="37"/>
      <c r="G163" s="38"/>
      <c r="H163" s="38"/>
      <c r="I163" s="36"/>
      <c r="J163" s="38"/>
      <c r="K163" s="37"/>
      <c r="L163" s="36"/>
      <c r="M163" s="37"/>
      <c r="N163" s="37"/>
      <c r="O163" s="37"/>
      <c r="P163" s="37"/>
      <c r="Q163" s="36"/>
      <c r="R163" s="39" t="str">
        <f aca="true">IF(H163="","",TODAY()-H163)</f>
        <v/>
      </c>
      <c r="S163" s="39" t="str">
        <f aca="true">IF(J163="","",J163-TODAY())</f>
        <v/>
      </c>
      <c r="T163" s="37"/>
      <c r="U163" s="37"/>
      <c r="V163" s="40" t="str">
        <f aca="false">IFERROR(INDEX('Azure Resource Map'!$D$2:$D$2001,MATCH($C163,'Azure Resource Map'!$A$2:$A$2001,0)),"")</f>
        <v/>
      </c>
      <c r="W163" s="39" t="str">
        <f aca="false">IFERROR(INDEX('Azure Resource Map'!$E$2:$E$2001,MATCH($C163,'Azure Resource Map'!$A$2:$A$2001,0)),"")</f>
        <v/>
      </c>
      <c r="X163" s="39" t="str">
        <f aca="false">IFERROR(INDEX('Azure Resource Map'!$F$2:$F$2001,MATCH($C163,'Azure Resource Map'!$A$2:$A$2001,0)),"")</f>
        <v/>
      </c>
      <c r="Y163" s="39" t="str">
        <f aca="false">IF($C163="","",IF(ISNUMBER(MATCH($C163,'CA Exclusion Map'!$A$2:$A$2001,0)),"Yes","No"))</f>
        <v/>
      </c>
      <c r="Z163" s="39" t="str">
        <f aca="false">IFERROR(INDEX('CA Exclusion Map'!$D$2:$D$2001,MATCH($C163,'CA Exclusion Map'!$A$2:$A$2001,0)),"")</f>
        <v/>
      </c>
      <c r="AA163" s="40" t="str">
        <f aca="false">IFERROR(INDEX('CA Exclusion Map'!$E$2:$E$2001,MATCH($C163,'CA Exclusion Map'!$A$2:$A$2001,0)),"")</f>
        <v/>
      </c>
      <c r="AB163" s="40" t="str">
        <f aca="false">IFERROR(INDEX('CA Exclusion Map'!$F$2:$F$2001,MATCH($C163,'CA Exclusion Map'!$A$2:$A$2001,0)),"")</f>
        <v/>
      </c>
      <c r="AC163" s="36"/>
      <c r="AD163" s="37"/>
      <c r="AE163" s="38"/>
      <c r="AF163" s="38"/>
      <c r="AG163" s="39" t="str">
        <f aca="true">IF(Y163="","",IF(Y163&lt;&gt;"Yes","N/A",IF(AF163="","NO EXPIRY SET",IF(TODAY()&gt;AF163,"EXPIRED",IF(AF163-TODAY()&lt;=30,"Expiring Soon","Active")))))</f>
        <v/>
      </c>
      <c r="AH163" s="36"/>
      <c r="AI163" s="36"/>
      <c r="AJ163" s="37"/>
      <c r="AK163" s="36"/>
      <c r="AL163" s="37"/>
      <c r="AM163" s="37"/>
      <c r="AN163" s="37"/>
      <c r="AO163" s="37"/>
      <c r="AP163" s="38"/>
      <c r="AQ163" s="37"/>
      <c r="AR163" s="37"/>
      <c r="AS163" s="41" t="str">
        <f aca="false">IF(AP163="","",AP163+90)</f>
        <v/>
      </c>
      <c r="AT163" s="39" t="str">
        <f aca="true">IF(C163="","",IF(AP163="","NOT REVIEWED",IF(TODAY()&gt;AS163,"OVERDUE",IF(AS163-TODAY()&lt;=14,"Due Soon","Current"))))</f>
        <v/>
      </c>
      <c r="AU163" s="36"/>
    </row>
    <row r="164" customFormat="false" ht="15" hidden="false" customHeight="false" outlineLevel="0" collapsed="false">
      <c r="A164" s="36"/>
      <c r="B164" s="36"/>
      <c r="C164" s="36"/>
      <c r="D164" s="37"/>
      <c r="E164" s="37"/>
      <c r="F164" s="37"/>
      <c r="G164" s="38"/>
      <c r="H164" s="38"/>
      <c r="I164" s="36"/>
      <c r="J164" s="38"/>
      <c r="K164" s="37"/>
      <c r="L164" s="36"/>
      <c r="M164" s="37"/>
      <c r="N164" s="37"/>
      <c r="O164" s="37"/>
      <c r="P164" s="37"/>
      <c r="Q164" s="36"/>
      <c r="R164" s="39" t="str">
        <f aca="true">IF(H164="","",TODAY()-H164)</f>
        <v/>
      </c>
      <c r="S164" s="39" t="str">
        <f aca="true">IF(J164="","",J164-TODAY())</f>
        <v/>
      </c>
      <c r="T164" s="37"/>
      <c r="U164" s="37"/>
      <c r="V164" s="40" t="str">
        <f aca="false">IFERROR(INDEX('Azure Resource Map'!$D$2:$D$2001,MATCH($C164,'Azure Resource Map'!$A$2:$A$2001,0)),"")</f>
        <v/>
      </c>
      <c r="W164" s="39" t="str">
        <f aca="false">IFERROR(INDEX('Azure Resource Map'!$E$2:$E$2001,MATCH($C164,'Azure Resource Map'!$A$2:$A$2001,0)),"")</f>
        <v/>
      </c>
      <c r="X164" s="39" t="str">
        <f aca="false">IFERROR(INDEX('Azure Resource Map'!$F$2:$F$2001,MATCH($C164,'Azure Resource Map'!$A$2:$A$2001,0)),"")</f>
        <v/>
      </c>
      <c r="Y164" s="39" t="str">
        <f aca="false">IF($C164="","",IF(ISNUMBER(MATCH($C164,'CA Exclusion Map'!$A$2:$A$2001,0)),"Yes","No"))</f>
        <v/>
      </c>
      <c r="Z164" s="39" t="str">
        <f aca="false">IFERROR(INDEX('CA Exclusion Map'!$D$2:$D$2001,MATCH($C164,'CA Exclusion Map'!$A$2:$A$2001,0)),"")</f>
        <v/>
      </c>
      <c r="AA164" s="40" t="str">
        <f aca="false">IFERROR(INDEX('CA Exclusion Map'!$E$2:$E$2001,MATCH($C164,'CA Exclusion Map'!$A$2:$A$2001,0)),"")</f>
        <v/>
      </c>
      <c r="AB164" s="40" t="str">
        <f aca="false">IFERROR(INDEX('CA Exclusion Map'!$F$2:$F$2001,MATCH($C164,'CA Exclusion Map'!$A$2:$A$2001,0)),"")</f>
        <v/>
      </c>
      <c r="AC164" s="36"/>
      <c r="AD164" s="37"/>
      <c r="AE164" s="38"/>
      <c r="AF164" s="38"/>
      <c r="AG164" s="39" t="str">
        <f aca="true">IF(Y164="","",IF(Y164&lt;&gt;"Yes","N/A",IF(AF164="","NO EXPIRY SET",IF(TODAY()&gt;AF164,"EXPIRED",IF(AF164-TODAY()&lt;=30,"Expiring Soon","Active")))))</f>
        <v/>
      </c>
      <c r="AH164" s="36"/>
      <c r="AI164" s="36"/>
      <c r="AJ164" s="37"/>
      <c r="AK164" s="36"/>
      <c r="AL164" s="37"/>
      <c r="AM164" s="37"/>
      <c r="AN164" s="37"/>
      <c r="AO164" s="37"/>
      <c r="AP164" s="38"/>
      <c r="AQ164" s="37"/>
      <c r="AR164" s="37"/>
      <c r="AS164" s="41" t="str">
        <f aca="false">IF(AP164="","",AP164+90)</f>
        <v/>
      </c>
      <c r="AT164" s="39" t="str">
        <f aca="true">IF(C164="","",IF(AP164="","NOT REVIEWED",IF(TODAY()&gt;AS164,"OVERDUE",IF(AS164-TODAY()&lt;=14,"Due Soon","Current"))))</f>
        <v/>
      </c>
      <c r="AU164" s="36"/>
    </row>
    <row r="165" customFormat="false" ht="15" hidden="false" customHeight="false" outlineLevel="0" collapsed="false">
      <c r="A165" s="36"/>
      <c r="B165" s="36"/>
      <c r="C165" s="36"/>
      <c r="D165" s="37"/>
      <c r="E165" s="37"/>
      <c r="F165" s="37"/>
      <c r="G165" s="38"/>
      <c r="H165" s="38"/>
      <c r="I165" s="36"/>
      <c r="J165" s="38"/>
      <c r="K165" s="37"/>
      <c r="L165" s="36"/>
      <c r="M165" s="37"/>
      <c r="N165" s="37"/>
      <c r="O165" s="37"/>
      <c r="P165" s="37"/>
      <c r="Q165" s="36"/>
      <c r="R165" s="39" t="str">
        <f aca="true">IF(H165="","",TODAY()-H165)</f>
        <v/>
      </c>
      <c r="S165" s="39" t="str">
        <f aca="true">IF(J165="","",J165-TODAY())</f>
        <v/>
      </c>
      <c r="T165" s="37"/>
      <c r="U165" s="37"/>
      <c r="V165" s="40" t="str">
        <f aca="false">IFERROR(INDEX('Azure Resource Map'!$D$2:$D$2001,MATCH($C165,'Azure Resource Map'!$A$2:$A$2001,0)),"")</f>
        <v/>
      </c>
      <c r="W165" s="39" t="str">
        <f aca="false">IFERROR(INDEX('Azure Resource Map'!$E$2:$E$2001,MATCH($C165,'Azure Resource Map'!$A$2:$A$2001,0)),"")</f>
        <v/>
      </c>
      <c r="X165" s="39" t="str">
        <f aca="false">IFERROR(INDEX('Azure Resource Map'!$F$2:$F$2001,MATCH($C165,'Azure Resource Map'!$A$2:$A$2001,0)),"")</f>
        <v/>
      </c>
      <c r="Y165" s="39" t="str">
        <f aca="false">IF($C165="","",IF(ISNUMBER(MATCH($C165,'CA Exclusion Map'!$A$2:$A$2001,0)),"Yes","No"))</f>
        <v/>
      </c>
      <c r="Z165" s="39" t="str">
        <f aca="false">IFERROR(INDEX('CA Exclusion Map'!$D$2:$D$2001,MATCH($C165,'CA Exclusion Map'!$A$2:$A$2001,0)),"")</f>
        <v/>
      </c>
      <c r="AA165" s="40" t="str">
        <f aca="false">IFERROR(INDEX('CA Exclusion Map'!$E$2:$E$2001,MATCH($C165,'CA Exclusion Map'!$A$2:$A$2001,0)),"")</f>
        <v/>
      </c>
      <c r="AB165" s="40" t="str">
        <f aca="false">IFERROR(INDEX('CA Exclusion Map'!$F$2:$F$2001,MATCH($C165,'CA Exclusion Map'!$A$2:$A$2001,0)),"")</f>
        <v/>
      </c>
      <c r="AC165" s="36"/>
      <c r="AD165" s="37"/>
      <c r="AE165" s="38"/>
      <c r="AF165" s="38"/>
      <c r="AG165" s="39" t="str">
        <f aca="true">IF(Y165="","",IF(Y165&lt;&gt;"Yes","N/A",IF(AF165="","NO EXPIRY SET",IF(TODAY()&gt;AF165,"EXPIRED",IF(AF165-TODAY()&lt;=30,"Expiring Soon","Active")))))</f>
        <v/>
      </c>
      <c r="AH165" s="36"/>
      <c r="AI165" s="36"/>
      <c r="AJ165" s="37"/>
      <c r="AK165" s="36"/>
      <c r="AL165" s="37"/>
      <c r="AM165" s="37"/>
      <c r="AN165" s="37"/>
      <c r="AO165" s="37"/>
      <c r="AP165" s="38"/>
      <c r="AQ165" s="37"/>
      <c r="AR165" s="37"/>
      <c r="AS165" s="41" t="str">
        <f aca="false">IF(AP165="","",AP165+90)</f>
        <v/>
      </c>
      <c r="AT165" s="39" t="str">
        <f aca="true">IF(C165="","",IF(AP165="","NOT REVIEWED",IF(TODAY()&gt;AS165,"OVERDUE",IF(AS165-TODAY()&lt;=14,"Due Soon","Current"))))</f>
        <v/>
      </c>
      <c r="AU165" s="36"/>
    </row>
    <row r="166" customFormat="false" ht="15" hidden="false" customHeight="false" outlineLevel="0" collapsed="false">
      <c r="A166" s="36"/>
      <c r="B166" s="36"/>
      <c r="C166" s="36"/>
      <c r="D166" s="37"/>
      <c r="E166" s="37"/>
      <c r="F166" s="37"/>
      <c r="G166" s="38"/>
      <c r="H166" s="38"/>
      <c r="I166" s="36"/>
      <c r="J166" s="38"/>
      <c r="K166" s="37"/>
      <c r="L166" s="36"/>
      <c r="M166" s="37"/>
      <c r="N166" s="37"/>
      <c r="O166" s="37"/>
      <c r="P166" s="37"/>
      <c r="Q166" s="36"/>
      <c r="R166" s="39" t="str">
        <f aca="true">IF(H166="","",TODAY()-H166)</f>
        <v/>
      </c>
      <c r="S166" s="39" t="str">
        <f aca="true">IF(J166="","",J166-TODAY())</f>
        <v/>
      </c>
      <c r="T166" s="37"/>
      <c r="U166" s="37"/>
      <c r="V166" s="40" t="str">
        <f aca="false">IFERROR(INDEX('Azure Resource Map'!$D$2:$D$2001,MATCH($C166,'Azure Resource Map'!$A$2:$A$2001,0)),"")</f>
        <v/>
      </c>
      <c r="W166" s="39" t="str">
        <f aca="false">IFERROR(INDEX('Azure Resource Map'!$E$2:$E$2001,MATCH($C166,'Azure Resource Map'!$A$2:$A$2001,0)),"")</f>
        <v/>
      </c>
      <c r="X166" s="39" t="str">
        <f aca="false">IFERROR(INDEX('Azure Resource Map'!$F$2:$F$2001,MATCH($C166,'Azure Resource Map'!$A$2:$A$2001,0)),"")</f>
        <v/>
      </c>
      <c r="Y166" s="39" t="str">
        <f aca="false">IF($C166="","",IF(ISNUMBER(MATCH($C166,'CA Exclusion Map'!$A$2:$A$2001,0)),"Yes","No"))</f>
        <v/>
      </c>
      <c r="Z166" s="39" t="str">
        <f aca="false">IFERROR(INDEX('CA Exclusion Map'!$D$2:$D$2001,MATCH($C166,'CA Exclusion Map'!$A$2:$A$2001,0)),"")</f>
        <v/>
      </c>
      <c r="AA166" s="40" t="str">
        <f aca="false">IFERROR(INDEX('CA Exclusion Map'!$E$2:$E$2001,MATCH($C166,'CA Exclusion Map'!$A$2:$A$2001,0)),"")</f>
        <v/>
      </c>
      <c r="AB166" s="40" t="str">
        <f aca="false">IFERROR(INDEX('CA Exclusion Map'!$F$2:$F$2001,MATCH($C166,'CA Exclusion Map'!$A$2:$A$2001,0)),"")</f>
        <v/>
      </c>
      <c r="AC166" s="36"/>
      <c r="AD166" s="37"/>
      <c r="AE166" s="38"/>
      <c r="AF166" s="38"/>
      <c r="AG166" s="39" t="str">
        <f aca="true">IF(Y166="","",IF(Y166&lt;&gt;"Yes","N/A",IF(AF166="","NO EXPIRY SET",IF(TODAY()&gt;AF166,"EXPIRED",IF(AF166-TODAY()&lt;=30,"Expiring Soon","Active")))))</f>
        <v/>
      </c>
      <c r="AH166" s="36"/>
      <c r="AI166" s="36"/>
      <c r="AJ166" s="37"/>
      <c r="AK166" s="36"/>
      <c r="AL166" s="37"/>
      <c r="AM166" s="37"/>
      <c r="AN166" s="37"/>
      <c r="AO166" s="37"/>
      <c r="AP166" s="38"/>
      <c r="AQ166" s="37"/>
      <c r="AR166" s="37"/>
      <c r="AS166" s="41" t="str">
        <f aca="false">IF(AP166="","",AP166+90)</f>
        <v/>
      </c>
      <c r="AT166" s="39" t="str">
        <f aca="true">IF(C166="","",IF(AP166="","NOT REVIEWED",IF(TODAY()&gt;AS166,"OVERDUE",IF(AS166-TODAY()&lt;=14,"Due Soon","Current"))))</f>
        <v/>
      </c>
      <c r="AU166" s="36"/>
    </row>
    <row r="167" customFormat="false" ht="15" hidden="false" customHeight="false" outlineLevel="0" collapsed="false">
      <c r="A167" s="36"/>
      <c r="B167" s="36"/>
      <c r="C167" s="36"/>
      <c r="D167" s="37"/>
      <c r="E167" s="37"/>
      <c r="F167" s="37"/>
      <c r="G167" s="38"/>
      <c r="H167" s="38"/>
      <c r="I167" s="36"/>
      <c r="J167" s="38"/>
      <c r="K167" s="37"/>
      <c r="L167" s="36"/>
      <c r="M167" s="37"/>
      <c r="N167" s="37"/>
      <c r="O167" s="37"/>
      <c r="P167" s="37"/>
      <c r="Q167" s="36"/>
      <c r="R167" s="39" t="str">
        <f aca="true">IF(H167="","",TODAY()-H167)</f>
        <v/>
      </c>
      <c r="S167" s="39" t="str">
        <f aca="true">IF(J167="","",J167-TODAY())</f>
        <v/>
      </c>
      <c r="T167" s="37"/>
      <c r="U167" s="37"/>
      <c r="V167" s="40" t="str">
        <f aca="false">IFERROR(INDEX('Azure Resource Map'!$D$2:$D$2001,MATCH($C167,'Azure Resource Map'!$A$2:$A$2001,0)),"")</f>
        <v/>
      </c>
      <c r="W167" s="39" t="str">
        <f aca="false">IFERROR(INDEX('Azure Resource Map'!$E$2:$E$2001,MATCH($C167,'Azure Resource Map'!$A$2:$A$2001,0)),"")</f>
        <v/>
      </c>
      <c r="X167" s="39" t="str">
        <f aca="false">IFERROR(INDEX('Azure Resource Map'!$F$2:$F$2001,MATCH($C167,'Azure Resource Map'!$A$2:$A$2001,0)),"")</f>
        <v/>
      </c>
      <c r="Y167" s="39" t="str">
        <f aca="false">IF($C167="","",IF(ISNUMBER(MATCH($C167,'CA Exclusion Map'!$A$2:$A$2001,0)),"Yes","No"))</f>
        <v/>
      </c>
      <c r="Z167" s="39" t="str">
        <f aca="false">IFERROR(INDEX('CA Exclusion Map'!$D$2:$D$2001,MATCH($C167,'CA Exclusion Map'!$A$2:$A$2001,0)),"")</f>
        <v/>
      </c>
      <c r="AA167" s="40" t="str">
        <f aca="false">IFERROR(INDEX('CA Exclusion Map'!$E$2:$E$2001,MATCH($C167,'CA Exclusion Map'!$A$2:$A$2001,0)),"")</f>
        <v/>
      </c>
      <c r="AB167" s="40" t="str">
        <f aca="false">IFERROR(INDEX('CA Exclusion Map'!$F$2:$F$2001,MATCH($C167,'CA Exclusion Map'!$A$2:$A$2001,0)),"")</f>
        <v/>
      </c>
      <c r="AC167" s="36"/>
      <c r="AD167" s="37"/>
      <c r="AE167" s="38"/>
      <c r="AF167" s="38"/>
      <c r="AG167" s="39" t="str">
        <f aca="true">IF(Y167="","",IF(Y167&lt;&gt;"Yes","N/A",IF(AF167="","NO EXPIRY SET",IF(TODAY()&gt;AF167,"EXPIRED",IF(AF167-TODAY()&lt;=30,"Expiring Soon","Active")))))</f>
        <v/>
      </c>
      <c r="AH167" s="36"/>
      <c r="AI167" s="36"/>
      <c r="AJ167" s="37"/>
      <c r="AK167" s="36"/>
      <c r="AL167" s="37"/>
      <c r="AM167" s="37"/>
      <c r="AN167" s="37"/>
      <c r="AO167" s="37"/>
      <c r="AP167" s="38"/>
      <c r="AQ167" s="37"/>
      <c r="AR167" s="37"/>
      <c r="AS167" s="41" t="str">
        <f aca="false">IF(AP167="","",AP167+90)</f>
        <v/>
      </c>
      <c r="AT167" s="39" t="str">
        <f aca="true">IF(C167="","",IF(AP167="","NOT REVIEWED",IF(TODAY()&gt;AS167,"OVERDUE",IF(AS167-TODAY()&lt;=14,"Due Soon","Current"))))</f>
        <v/>
      </c>
      <c r="AU167" s="36"/>
    </row>
    <row r="168" customFormat="false" ht="15" hidden="false" customHeight="false" outlineLevel="0" collapsed="false">
      <c r="A168" s="36"/>
      <c r="B168" s="36"/>
      <c r="C168" s="36"/>
      <c r="D168" s="37"/>
      <c r="E168" s="37"/>
      <c r="F168" s="37"/>
      <c r="G168" s="38"/>
      <c r="H168" s="38"/>
      <c r="I168" s="36"/>
      <c r="J168" s="38"/>
      <c r="K168" s="37"/>
      <c r="L168" s="36"/>
      <c r="M168" s="37"/>
      <c r="N168" s="37"/>
      <c r="O168" s="37"/>
      <c r="P168" s="37"/>
      <c r="Q168" s="36"/>
      <c r="R168" s="39" t="str">
        <f aca="true">IF(H168="","",TODAY()-H168)</f>
        <v/>
      </c>
      <c r="S168" s="39" t="str">
        <f aca="true">IF(J168="","",J168-TODAY())</f>
        <v/>
      </c>
      <c r="T168" s="37"/>
      <c r="U168" s="37"/>
      <c r="V168" s="40" t="str">
        <f aca="false">IFERROR(INDEX('Azure Resource Map'!$D$2:$D$2001,MATCH($C168,'Azure Resource Map'!$A$2:$A$2001,0)),"")</f>
        <v/>
      </c>
      <c r="W168" s="39" t="str">
        <f aca="false">IFERROR(INDEX('Azure Resource Map'!$E$2:$E$2001,MATCH($C168,'Azure Resource Map'!$A$2:$A$2001,0)),"")</f>
        <v/>
      </c>
      <c r="X168" s="39" t="str">
        <f aca="false">IFERROR(INDEX('Azure Resource Map'!$F$2:$F$2001,MATCH($C168,'Azure Resource Map'!$A$2:$A$2001,0)),"")</f>
        <v/>
      </c>
      <c r="Y168" s="39" t="str">
        <f aca="false">IF($C168="","",IF(ISNUMBER(MATCH($C168,'CA Exclusion Map'!$A$2:$A$2001,0)),"Yes","No"))</f>
        <v/>
      </c>
      <c r="Z168" s="39" t="str">
        <f aca="false">IFERROR(INDEX('CA Exclusion Map'!$D$2:$D$2001,MATCH($C168,'CA Exclusion Map'!$A$2:$A$2001,0)),"")</f>
        <v/>
      </c>
      <c r="AA168" s="40" t="str">
        <f aca="false">IFERROR(INDEX('CA Exclusion Map'!$E$2:$E$2001,MATCH($C168,'CA Exclusion Map'!$A$2:$A$2001,0)),"")</f>
        <v/>
      </c>
      <c r="AB168" s="40" t="str">
        <f aca="false">IFERROR(INDEX('CA Exclusion Map'!$F$2:$F$2001,MATCH($C168,'CA Exclusion Map'!$A$2:$A$2001,0)),"")</f>
        <v/>
      </c>
      <c r="AC168" s="36"/>
      <c r="AD168" s="37"/>
      <c r="AE168" s="38"/>
      <c r="AF168" s="38"/>
      <c r="AG168" s="39" t="str">
        <f aca="true">IF(Y168="","",IF(Y168&lt;&gt;"Yes","N/A",IF(AF168="","NO EXPIRY SET",IF(TODAY()&gt;AF168,"EXPIRED",IF(AF168-TODAY()&lt;=30,"Expiring Soon","Active")))))</f>
        <v/>
      </c>
      <c r="AH168" s="36"/>
      <c r="AI168" s="36"/>
      <c r="AJ168" s="37"/>
      <c r="AK168" s="36"/>
      <c r="AL168" s="37"/>
      <c r="AM168" s="37"/>
      <c r="AN168" s="37"/>
      <c r="AO168" s="37"/>
      <c r="AP168" s="38"/>
      <c r="AQ168" s="37"/>
      <c r="AR168" s="37"/>
      <c r="AS168" s="41" t="str">
        <f aca="false">IF(AP168="","",AP168+90)</f>
        <v/>
      </c>
      <c r="AT168" s="39" t="str">
        <f aca="true">IF(C168="","",IF(AP168="","NOT REVIEWED",IF(TODAY()&gt;AS168,"OVERDUE",IF(AS168-TODAY()&lt;=14,"Due Soon","Current"))))</f>
        <v/>
      </c>
      <c r="AU168" s="36"/>
    </row>
    <row r="169" customFormat="false" ht="15" hidden="false" customHeight="false" outlineLevel="0" collapsed="false">
      <c r="A169" s="36"/>
      <c r="B169" s="36"/>
      <c r="C169" s="36"/>
      <c r="D169" s="37"/>
      <c r="E169" s="37"/>
      <c r="F169" s="37"/>
      <c r="G169" s="38"/>
      <c r="H169" s="38"/>
      <c r="I169" s="36"/>
      <c r="J169" s="38"/>
      <c r="K169" s="37"/>
      <c r="L169" s="36"/>
      <c r="M169" s="37"/>
      <c r="N169" s="37"/>
      <c r="O169" s="37"/>
      <c r="P169" s="37"/>
      <c r="Q169" s="36"/>
      <c r="R169" s="39" t="str">
        <f aca="true">IF(H169="","",TODAY()-H169)</f>
        <v/>
      </c>
      <c r="S169" s="39" t="str">
        <f aca="true">IF(J169="","",J169-TODAY())</f>
        <v/>
      </c>
      <c r="T169" s="37"/>
      <c r="U169" s="37"/>
      <c r="V169" s="40" t="str">
        <f aca="false">IFERROR(INDEX('Azure Resource Map'!$D$2:$D$2001,MATCH($C169,'Azure Resource Map'!$A$2:$A$2001,0)),"")</f>
        <v/>
      </c>
      <c r="W169" s="39" t="str">
        <f aca="false">IFERROR(INDEX('Azure Resource Map'!$E$2:$E$2001,MATCH($C169,'Azure Resource Map'!$A$2:$A$2001,0)),"")</f>
        <v/>
      </c>
      <c r="X169" s="39" t="str">
        <f aca="false">IFERROR(INDEX('Azure Resource Map'!$F$2:$F$2001,MATCH($C169,'Azure Resource Map'!$A$2:$A$2001,0)),"")</f>
        <v/>
      </c>
      <c r="Y169" s="39" t="str">
        <f aca="false">IF($C169="","",IF(ISNUMBER(MATCH($C169,'CA Exclusion Map'!$A$2:$A$2001,0)),"Yes","No"))</f>
        <v/>
      </c>
      <c r="Z169" s="39" t="str">
        <f aca="false">IFERROR(INDEX('CA Exclusion Map'!$D$2:$D$2001,MATCH($C169,'CA Exclusion Map'!$A$2:$A$2001,0)),"")</f>
        <v/>
      </c>
      <c r="AA169" s="40" t="str">
        <f aca="false">IFERROR(INDEX('CA Exclusion Map'!$E$2:$E$2001,MATCH($C169,'CA Exclusion Map'!$A$2:$A$2001,0)),"")</f>
        <v/>
      </c>
      <c r="AB169" s="40" t="str">
        <f aca="false">IFERROR(INDEX('CA Exclusion Map'!$F$2:$F$2001,MATCH($C169,'CA Exclusion Map'!$A$2:$A$2001,0)),"")</f>
        <v/>
      </c>
      <c r="AC169" s="36"/>
      <c r="AD169" s="37"/>
      <c r="AE169" s="38"/>
      <c r="AF169" s="38"/>
      <c r="AG169" s="39" t="str">
        <f aca="true">IF(Y169="","",IF(Y169&lt;&gt;"Yes","N/A",IF(AF169="","NO EXPIRY SET",IF(TODAY()&gt;AF169,"EXPIRED",IF(AF169-TODAY()&lt;=30,"Expiring Soon","Active")))))</f>
        <v/>
      </c>
      <c r="AH169" s="36"/>
      <c r="AI169" s="36"/>
      <c r="AJ169" s="37"/>
      <c r="AK169" s="36"/>
      <c r="AL169" s="37"/>
      <c r="AM169" s="37"/>
      <c r="AN169" s="37"/>
      <c r="AO169" s="37"/>
      <c r="AP169" s="38"/>
      <c r="AQ169" s="37"/>
      <c r="AR169" s="37"/>
      <c r="AS169" s="41" t="str">
        <f aca="false">IF(AP169="","",AP169+90)</f>
        <v/>
      </c>
      <c r="AT169" s="39" t="str">
        <f aca="true">IF(C169="","",IF(AP169="","NOT REVIEWED",IF(TODAY()&gt;AS169,"OVERDUE",IF(AS169-TODAY()&lt;=14,"Due Soon","Current"))))</f>
        <v/>
      </c>
      <c r="AU169" s="36"/>
    </row>
    <row r="170" customFormat="false" ht="15" hidden="false" customHeight="false" outlineLevel="0" collapsed="false">
      <c r="A170" s="36"/>
      <c r="B170" s="36"/>
      <c r="C170" s="36"/>
      <c r="D170" s="37"/>
      <c r="E170" s="37"/>
      <c r="F170" s="37"/>
      <c r="G170" s="38"/>
      <c r="H170" s="38"/>
      <c r="I170" s="36"/>
      <c r="J170" s="38"/>
      <c r="K170" s="37"/>
      <c r="L170" s="36"/>
      <c r="M170" s="37"/>
      <c r="N170" s="37"/>
      <c r="O170" s="37"/>
      <c r="P170" s="37"/>
      <c r="Q170" s="36"/>
      <c r="R170" s="39" t="str">
        <f aca="true">IF(H170="","",TODAY()-H170)</f>
        <v/>
      </c>
      <c r="S170" s="39" t="str">
        <f aca="true">IF(J170="","",J170-TODAY())</f>
        <v/>
      </c>
      <c r="T170" s="37"/>
      <c r="U170" s="37"/>
      <c r="V170" s="40" t="str">
        <f aca="false">IFERROR(INDEX('Azure Resource Map'!$D$2:$D$2001,MATCH($C170,'Azure Resource Map'!$A$2:$A$2001,0)),"")</f>
        <v/>
      </c>
      <c r="W170" s="39" t="str">
        <f aca="false">IFERROR(INDEX('Azure Resource Map'!$E$2:$E$2001,MATCH($C170,'Azure Resource Map'!$A$2:$A$2001,0)),"")</f>
        <v/>
      </c>
      <c r="X170" s="39" t="str">
        <f aca="false">IFERROR(INDEX('Azure Resource Map'!$F$2:$F$2001,MATCH($C170,'Azure Resource Map'!$A$2:$A$2001,0)),"")</f>
        <v/>
      </c>
      <c r="Y170" s="39" t="str">
        <f aca="false">IF($C170="","",IF(ISNUMBER(MATCH($C170,'CA Exclusion Map'!$A$2:$A$2001,0)),"Yes","No"))</f>
        <v/>
      </c>
      <c r="Z170" s="39" t="str">
        <f aca="false">IFERROR(INDEX('CA Exclusion Map'!$D$2:$D$2001,MATCH($C170,'CA Exclusion Map'!$A$2:$A$2001,0)),"")</f>
        <v/>
      </c>
      <c r="AA170" s="40" t="str">
        <f aca="false">IFERROR(INDEX('CA Exclusion Map'!$E$2:$E$2001,MATCH($C170,'CA Exclusion Map'!$A$2:$A$2001,0)),"")</f>
        <v/>
      </c>
      <c r="AB170" s="40" t="str">
        <f aca="false">IFERROR(INDEX('CA Exclusion Map'!$F$2:$F$2001,MATCH($C170,'CA Exclusion Map'!$A$2:$A$2001,0)),"")</f>
        <v/>
      </c>
      <c r="AC170" s="36"/>
      <c r="AD170" s="37"/>
      <c r="AE170" s="38"/>
      <c r="AF170" s="38"/>
      <c r="AG170" s="39" t="str">
        <f aca="true">IF(Y170="","",IF(Y170&lt;&gt;"Yes","N/A",IF(AF170="","NO EXPIRY SET",IF(TODAY()&gt;AF170,"EXPIRED",IF(AF170-TODAY()&lt;=30,"Expiring Soon","Active")))))</f>
        <v/>
      </c>
      <c r="AH170" s="36"/>
      <c r="AI170" s="36"/>
      <c r="AJ170" s="37"/>
      <c r="AK170" s="36"/>
      <c r="AL170" s="37"/>
      <c r="AM170" s="37"/>
      <c r="AN170" s="37"/>
      <c r="AO170" s="37"/>
      <c r="AP170" s="38"/>
      <c r="AQ170" s="37"/>
      <c r="AR170" s="37"/>
      <c r="AS170" s="41" t="str">
        <f aca="false">IF(AP170="","",AP170+90)</f>
        <v/>
      </c>
      <c r="AT170" s="39" t="str">
        <f aca="true">IF(C170="","",IF(AP170="","NOT REVIEWED",IF(TODAY()&gt;AS170,"OVERDUE",IF(AS170-TODAY()&lt;=14,"Due Soon","Current"))))</f>
        <v/>
      </c>
      <c r="AU170" s="36"/>
    </row>
    <row r="171" customFormat="false" ht="15" hidden="false" customHeight="false" outlineLevel="0" collapsed="false">
      <c r="A171" s="36"/>
      <c r="B171" s="36"/>
      <c r="C171" s="36"/>
      <c r="D171" s="37"/>
      <c r="E171" s="37"/>
      <c r="F171" s="37"/>
      <c r="G171" s="38"/>
      <c r="H171" s="38"/>
      <c r="I171" s="36"/>
      <c r="J171" s="38"/>
      <c r="K171" s="37"/>
      <c r="L171" s="36"/>
      <c r="M171" s="37"/>
      <c r="N171" s="37"/>
      <c r="O171" s="37"/>
      <c r="P171" s="37"/>
      <c r="Q171" s="36"/>
      <c r="R171" s="39" t="str">
        <f aca="true">IF(H171="","",TODAY()-H171)</f>
        <v/>
      </c>
      <c r="S171" s="39" t="str">
        <f aca="true">IF(J171="","",J171-TODAY())</f>
        <v/>
      </c>
      <c r="T171" s="37"/>
      <c r="U171" s="37"/>
      <c r="V171" s="40" t="str">
        <f aca="false">IFERROR(INDEX('Azure Resource Map'!$D$2:$D$2001,MATCH($C171,'Azure Resource Map'!$A$2:$A$2001,0)),"")</f>
        <v/>
      </c>
      <c r="W171" s="39" t="str">
        <f aca="false">IFERROR(INDEX('Azure Resource Map'!$E$2:$E$2001,MATCH($C171,'Azure Resource Map'!$A$2:$A$2001,0)),"")</f>
        <v/>
      </c>
      <c r="X171" s="39" t="str">
        <f aca="false">IFERROR(INDEX('Azure Resource Map'!$F$2:$F$2001,MATCH($C171,'Azure Resource Map'!$A$2:$A$2001,0)),"")</f>
        <v/>
      </c>
      <c r="Y171" s="39" t="str">
        <f aca="false">IF($C171="","",IF(ISNUMBER(MATCH($C171,'CA Exclusion Map'!$A$2:$A$2001,0)),"Yes","No"))</f>
        <v/>
      </c>
      <c r="Z171" s="39" t="str">
        <f aca="false">IFERROR(INDEX('CA Exclusion Map'!$D$2:$D$2001,MATCH($C171,'CA Exclusion Map'!$A$2:$A$2001,0)),"")</f>
        <v/>
      </c>
      <c r="AA171" s="40" t="str">
        <f aca="false">IFERROR(INDEX('CA Exclusion Map'!$E$2:$E$2001,MATCH($C171,'CA Exclusion Map'!$A$2:$A$2001,0)),"")</f>
        <v/>
      </c>
      <c r="AB171" s="40" t="str">
        <f aca="false">IFERROR(INDEX('CA Exclusion Map'!$F$2:$F$2001,MATCH($C171,'CA Exclusion Map'!$A$2:$A$2001,0)),"")</f>
        <v/>
      </c>
      <c r="AC171" s="36"/>
      <c r="AD171" s="37"/>
      <c r="AE171" s="38"/>
      <c r="AF171" s="38"/>
      <c r="AG171" s="39" t="str">
        <f aca="true">IF(Y171="","",IF(Y171&lt;&gt;"Yes","N/A",IF(AF171="","NO EXPIRY SET",IF(TODAY()&gt;AF171,"EXPIRED",IF(AF171-TODAY()&lt;=30,"Expiring Soon","Active")))))</f>
        <v/>
      </c>
      <c r="AH171" s="36"/>
      <c r="AI171" s="36"/>
      <c r="AJ171" s="37"/>
      <c r="AK171" s="36"/>
      <c r="AL171" s="37"/>
      <c r="AM171" s="37"/>
      <c r="AN171" s="37"/>
      <c r="AO171" s="37"/>
      <c r="AP171" s="38"/>
      <c r="AQ171" s="37"/>
      <c r="AR171" s="37"/>
      <c r="AS171" s="41" t="str">
        <f aca="false">IF(AP171="","",AP171+90)</f>
        <v/>
      </c>
      <c r="AT171" s="39" t="str">
        <f aca="true">IF(C171="","",IF(AP171="","NOT REVIEWED",IF(TODAY()&gt;AS171,"OVERDUE",IF(AS171-TODAY()&lt;=14,"Due Soon","Current"))))</f>
        <v/>
      </c>
      <c r="AU171" s="36"/>
    </row>
    <row r="172" customFormat="false" ht="15" hidden="false" customHeight="false" outlineLevel="0" collapsed="false">
      <c r="A172" s="36"/>
      <c r="B172" s="36"/>
      <c r="C172" s="36"/>
      <c r="D172" s="37"/>
      <c r="E172" s="37"/>
      <c r="F172" s="37"/>
      <c r="G172" s="38"/>
      <c r="H172" s="38"/>
      <c r="I172" s="36"/>
      <c r="J172" s="38"/>
      <c r="K172" s="37"/>
      <c r="L172" s="36"/>
      <c r="M172" s="37"/>
      <c r="N172" s="37"/>
      <c r="O172" s="37"/>
      <c r="P172" s="37"/>
      <c r="Q172" s="36"/>
      <c r="R172" s="39" t="str">
        <f aca="true">IF(H172="","",TODAY()-H172)</f>
        <v/>
      </c>
      <c r="S172" s="39" t="str">
        <f aca="true">IF(J172="","",J172-TODAY())</f>
        <v/>
      </c>
      <c r="T172" s="37"/>
      <c r="U172" s="37"/>
      <c r="V172" s="40" t="str">
        <f aca="false">IFERROR(INDEX('Azure Resource Map'!$D$2:$D$2001,MATCH($C172,'Azure Resource Map'!$A$2:$A$2001,0)),"")</f>
        <v/>
      </c>
      <c r="W172" s="39" t="str">
        <f aca="false">IFERROR(INDEX('Azure Resource Map'!$E$2:$E$2001,MATCH($C172,'Azure Resource Map'!$A$2:$A$2001,0)),"")</f>
        <v/>
      </c>
      <c r="X172" s="39" t="str">
        <f aca="false">IFERROR(INDEX('Azure Resource Map'!$F$2:$F$2001,MATCH($C172,'Azure Resource Map'!$A$2:$A$2001,0)),"")</f>
        <v/>
      </c>
      <c r="Y172" s="39" t="str">
        <f aca="false">IF($C172="","",IF(ISNUMBER(MATCH($C172,'CA Exclusion Map'!$A$2:$A$2001,0)),"Yes","No"))</f>
        <v/>
      </c>
      <c r="Z172" s="39" t="str">
        <f aca="false">IFERROR(INDEX('CA Exclusion Map'!$D$2:$D$2001,MATCH($C172,'CA Exclusion Map'!$A$2:$A$2001,0)),"")</f>
        <v/>
      </c>
      <c r="AA172" s="40" t="str">
        <f aca="false">IFERROR(INDEX('CA Exclusion Map'!$E$2:$E$2001,MATCH($C172,'CA Exclusion Map'!$A$2:$A$2001,0)),"")</f>
        <v/>
      </c>
      <c r="AB172" s="40" t="str">
        <f aca="false">IFERROR(INDEX('CA Exclusion Map'!$F$2:$F$2001,MATCH($C172,'CA Exclusion Map'!$A$2:$A$2001,0)),"")</f>
        <v/>
      </c>
      <c r="AC172" s="36"/>
      <c r="AD172" s="37"/>
      <c r="AE172" s="38"/>
      <c r="AF172" s="38"/>
      <c r="AG172" s="39" t="str">
        <f aca="true">IF(Y172="","",IF(Y172&lt;&gt;"Yes","N/A",IF(AF172="","NO EXPIRY SET",IF(TODAY()&gt;AF172,"EXPIRED",IF(AF172-TODAY()&lt;=30,"Expiring Soon","Active")))))</f>
        <v/>
      </c>
      <c r="AH172" s="36"/>
      <c r="AI172" s="36"/>
      <c r="AJ172" s="37"/>
      <c r="AK172" s="36"/>
      <c r="AL172" s="37"/>
      <c r="AM172" s="37"/>
      <c r="AN172" s="37"/>
      <c r="AO172" s="37"/>
      <c r="AP172" s="38"/>
      <c r="AQ172" s="37"/>
      <c r="AR172" s="37"/>
      <c r="AS172" s="41" t="str">
        <f aca="false">IF(AP172="","",AP172+90)</f>
        <v/>
      </c>
      <c r="AT172" s="39" t="str">
        <f aca="true">IF(C172="","",IF(AP172="","NOT REVIEWED",IF(TODAY()&gt;AS172,"OVERDUE",IF(AS172-TODAY()&lt;=14,"Due Soon","Current"))))</f>
        <v/>
      </c>
      <c r="AU172" s="36"/>
    </row>
    <row r="173" customFormat="false" ht="15" hidden="false" customHeight="false" outlineLevel="0" collapsed="false">
      <c r="A173" s="36"/>
      <c r="B173" s="36"/>
      <c r="C173" s="36"/>
      <c r="D173" s="37"/>
      <c r="E173" s="37"/>
      <c r="F173" s="37"/>
      <c r="G173" s="38"/>
      <c r="H173" s="38"/>
      <c r="I173" s="36"/>
      <c r="J173" s="38"/>
      <c r="K173" s="37"/>
      <c r="L173" s="36"/>
      <c r="M173" s="37"/>
      <c r="N173" s="37"/>
      <c r="O173" s="37"/>
      <c r="P173" s="37"/>
      <c r="Q173" s="36"/>
      <c r="R173" s="39" t="str">
        <f aca="true">IF(H173="","",TODAY()-H173)</f>
        <v/>
      </c>
      <c r="S173" s="39" t="str">
        <f aca="true">IF(J173="","",J173-TODAY())</f>
        <v/>
      </c>
      <c r="T173" s="37"/>
      <c r="U173" s="37"/>
      <c r="V173" s="40" t="str">
        <f aca="false">IFERROR(INDEX('Azure Resource Map'!$D$2:$D$2001,MATCH($C173,'Azure Resource Map'!$A$2:$A$2001,0)),"")</f>
        <v/>
      </c>
      <c r="W173" s="39" t="str">
        <f aca="false">IFERROR(INDEX('Azure Resource Map'!$E$2:$E$2001,MATCH($C173,'Azure Resource Map'!$A$2:$A$2001,0)),"")</f>
        <v/>
      </c>
      <c r="X173" s="39" t="str">
        <f aca="false">IFERROR(INDEX('Azure Resource Map'!$F$2:$F$2001,MATCH($C173,'Azure Resource Map'!$A$2:$A$2001,0)),"")</f>
        <v/>
      </c>
      <c r="Y173" s="39" t="str">
        <f aca="false">IF($C173="","",IF(ISNUMBER(MATCH($C173,'CA Exclusion Map'!$A$2:$A$2001,0)),"Yes","No"))</f>
        <v/>
      </c>
      <c r="Z173" s="39" t="str">
        <f aca="false">IFERROR(INDEX('CA Exclusion Map'!$D$2:$D$2001,MATCH($C173,'CA Exclusion Map'!$A$2:$A$2001,0)),"")</f>
        <v/>
      </c>
      <c r="AA173" s="40" t="str">
        <f aca="false">IFERROR(INDEX('CA Exclusion Map'!$E$2:$E$2001,MATCH($C173,'CA Exclusion Map'!$A$2:$A$2001,0)),"")</f>
        <v/>
      </c>
      <c r="AB173" s="40" t="str">
        <f aca="false">IFERROR(INDEX('CA Exclusion Map'!$F$2:$F$2001,MATCH($C173,'CA Exclusion Map'!$A$2:$A$2001,0)),"")</f>
        <v/>
      </c>
      <c r="AC173" s="36"/>
      <c r="AD173" s="37"/>
      <c r="AE173" s="38"/>
      <c r="AF173" s="38"/>
      <c r="AG173" s="39" t="str">
        <f aca="true">IF(Y173="","",IF(Y173&lt;&gt;"Yes","N/A",IF(AF173="","NO EXPIRY SET",IF(TODAY()&gt;AF173,"EXPIRED",IF(AF173-TODAY()&lt;=30,"Expiring Soon","Active")))))</f>
        <v/>
      </c>
      <c r="AH173" s="36"/>
      <c r="AI173" s="36"/>
      <c r="AJ173" s="37"/>
      <c r="AK173" s="36"/>
      <c r="AL173" s="37"/>
      <c r="AM173" s="37"/>
      <c r="AN173" s="37"/>
      <c r="AO173" s="37"/>
      <c r="AP173" s="38"/>
      <c r="AQ173" s="37"/>
      <c r="AR173" s="37"/>
      <c r="AS173" s="41" t="str">
        <f aca="false">IF(AP173="","",AP173+90)</f>
        <v/>
      </c>
      <c r="AT173" s="39" t="str">
        <f aca="true">IF(C173="","",IF(AP173="","NOT REVIEWED",IF(TODAY()&gt;AS173,"OVERDUE",IF(AS173-TODAY()&lt;=14,"Due Soon","Current"))))</f>
        <v/>
      </c>
      <c r="AU173" s="36"/>
    </row>
    <row r="174" customFormat="false" ht="15" hidden="false" customHeight="false" outlineLevel="0" collapsed="false">
      <c r="A174" s="36"/>
      <c r="B174" s="36"/>
      <c r="C174" s="36"/>
      <c r="D174" s="37"/>
      <c r="E174" s="37"/>
      <c r="F174" s="37"/>
      <c r="G174" s="38"/>
      <c r="H174" s="38"/>
      <c r="I174" s="36"/>
      <c r="J174" s="38"/>
      <c r="K174" s="37"/>
      <c r="L174" s="36"/>
      <c r="M174" s="37"/>
      <c r="N174" s="37"/>
      <c r="O174" s="37"/>
      <c r="P174" s="37"/>
      <c r="Q174" s="36"/>
      <c r="R174" s="39" t="str">
        <f aca="true">IF(H174="","",TODAY()-H174)</f>
        <v/>
      </c>
      <c r="S174" s="39" t="str">
        <f aca="true">IF(J174="","",J174-TODAY())</f>
        <v/>
      </c>
      <c r="T174" s="37"/>
      <c r="U174" s="37"/>
      <c r="V174" s="40" t="str">
        <f aca="false">IFERROR(INDEX('Azure Resource Map'!$D$2:$D$2001,MATCH($C174,'Azure Resource Map'!$A$2:$A$2001,0)),"")</f>
        <v/>
      </c>
      <c r="W174" s="39" t="str">
        <f aca="false">IFERROR(INDEX('Azure Resource Map'!$E$2:$E$2001,MATCH($C174,'Azure Resource Map'!$A$2:$A$2001,0)),"")</f>
        <v/>
      </c>
      <c r="X174" s="39" t="str">
        <f aca="false">IFERROR(INDEX('Azure Resource Map'!$F$2:$F$2001,MATCH($C174,'Azure Resource Map'!$A$2:$A$2001,0)),"")</f>
        <v/>
      </c>
      <c r="Y174" s="39" t="str">
        <f aca="false">IF($C174="","",IF(ISNUMBER(MATCH($C174,'CA Exclusion Map'!$A$2:$A$2001,0)),"Yes","No"))</f>
        <v/>
      </c>
      <c r="Z174" s="39" t="str">
        <f aca="false">IFERROR(INDEX('CA Exclusion Map'!$D$2:$D$2001,MATCH($C174,'CA Exclusion Map'!$A$2:$A$2001,0)),"")</f>
        <v/>
      </c>
      <c r="AA174" s="40" t="str">
        <f aca="false">IFERROR(INDEX('CA Exclusion Map'!$E$2:$E$2001,MATCH($C174,'CA Exclusion Map'!$A$2:$A$2001,0)),"")</f>
        <v/>
      </c>
      <c r="AB174" s="40" t="str">
        <f aca="false">IFERROR(INDEX('CA Exclusion Map'!$F$2:$F$2001,MATCH($C174,'CA Exclusion Map'!$A$2:$A$2001,0)),"")</f>
        <v/>
      </c>
      <c r="AC174" s="36"/>
      <c r="AD174" s="37"/>
      <c r="AE174" s="38"/>
      <c r="AF174" s="38"/>
      <c r="AG174" s="39" t="str">
        <f aca="true">IF(Y174="","",IF(Y174&lt;&gt;"Yes","N/A",IF(AF174="","NO EXPIRY SET",IF(TODAY()&gt;AF174,"EXPIRED",IF(AF174-TODAY()&lt;=30,"Expiring Soon","Active")))))</f>
        <v/>
      </c>
      <c r="AH174" s="36"/>
      <c r="AI174" s="36"/>
      <c r="AJ174" s="37"/>
      <c r="AK174" s="36"/>
      <c r="AL174" s="37"/>
      <c r="AM174" s="37"/>
      <c r="AN174" s="37"/>
      <c r="AO174" s="37"/>
      <c r="AP174" s="38"/>
      <c r="AQ174" s="37"/>
      <c r="AR174" s="37"/>
      <c r="AS174" s="41" t="str">
        <f aca="false">IF(AP174="","",AP174+90)</f>
        <v/>
      </c>
      <c r="AT174" s="39" t="str">
        <f aca="true">IF(C174="","",IF(AP174="","NOT REVIEWED",IF(TODAY()&gt;AS174,"OVERDUE",IF(AS174-TODAY()&lt;=14,"Due Soon","Current"))))</f>
        <v/>
      </c>
      <c r="AU174" s="36"/>
    </row>
    <row r="175" customFormat="false" ht="15" hidden="false" customHeight="false" outlineLevel="0" collapsed="false">
      <c r="A175" s="36"/>
      <c r="B175" s="36"/>
      <c r="C175" s="36"/>
      <c r="D175" s="37"/>
      <c r="E175" s="37"/>
      <c r="F175" s="37"/>
      <c r="G175" s="38"/>
      <c r="H175" s="38"/>
      <c r="I175" s="36"/>
      <c r="J175" s="38"/>
      <c r="K175" s="37"/>
      <c r="L175" s="36"/>
      <c r="M175" s="37"/>
      <c r="N175" s="37"/>
      <c r="O175" s="37"/>
      <c r="P175" s="37"/>
      <c r="Q175" s="36"/>
      <c r="R175" s="39" t="str">
        <f aca="true">IF(H175="","",TODAY()-H175)</f>
        <v/>
      </c>
      <c r="S175" s="39" t="str">
        <f aca="true">IF(J175="","",J175-TODAY())</f>
        <v/>
      </c>
      <c r="T175" s="37"/>
      <c r="U175" s="37"/>
      <c r="V175" s="40" t="str">
        <f aca="false">IFERROR(INDEX('Azure Resource Map'!$D$2:$D$2001,MATCH($C175,'Azure Resource Map'!$A$2:$A$2001,0)),"")</f>
        <v/>
      </c>
      <c r="W175" s="39" t="str">
        <f aca="false">IFERROR(INDEX('Azure Resource Map'!$E$2:$E$2001,MATCH($C175,'Azure Resource Map'!$A$2:$A$2001,0)),"")</f>
        <v/>
      </c>
      <c r="X175" s="39" t="str">
        <f aca="false">IFERROR(INDEX('Azure Resource Map'!$F$2:$F$2001,MATCH($C175,'Azure Resource Map'!$A$2:$A$2001,0)),"")</f>
        <v/>
      </c>
      <c r="Y175" s="39" t="str">
        <f aca="false">IF($C175="","",IF(ISNUMBER(MATCH($C175,'CA Exclusion Map'!$A$2:$A$2001,0)),"Yes","No"))</f>
        <v/>
      </c>
      <c r="Z175" s="39" t="str">
        <f aca="false">IFERROR(INDEX('CA Exclusion Map'!$D$2:$D$2001,MATCH($C175,'CA Exclusion Map'!$A$2:$A$2001,0)),"")</f>
        <v/>
      </c>
      <c r="AA175" s="40" t="str">
        <f aca="false">IFERROR(INDEX('CA Exclusion Map'!$E$2:$E$2001,MATCH($C175,'CA Exclusion Map'!$A$2:$A$2001,0)),"")</f>
        <v/>
      </c>
      <c r="AB175" s="40" t="str">
        <f aca="false">IFERROR(INDEX('CA Exclusion Map'!$F$2:$F$2001,MATCH($C175,'CA Exclusion Map'!$A$2:$A$2001,0)),"")</f>
        <v/>
      </c>
      <c r="AC175" s="36"/>
      <c r="AD175" s="37"/>
      <c r="AE175" s="38"/>
      <c r="AF175" s="38"/>
      <c r="AG175" s="39" t="str">
        <f aca="true">IF(Y175="","",IF(Y175&lt;&gt;"Yes","N/A",IF(AF175="","NO EXPIRY SET",IF(TODAY()&gt;AF175,"EXPIRED",IF(AF175-TODAY()&lt;=30,"Expiring Soon","Active")))))</f>
        <v/>
      </c>
      <c r="AH175" s="36"/>
      <c r="AI175" s="36"/>
      <c r="AJ175" s="37"/>
      <c r="AK175" s="36"/>
      <c r="AL175" s="37"/>
      <c r="AM175" s="37"/>
      <c r="AN175" s="37"/>
      <c r="AO175" s="37"/>
      <c r="AP175" s="38"/>
      <c r="AQ175" s="37"/>
      <c r="AR175" s="37"/>
      <c r="AS175" s="41" t="str">
        <f aca="false">IF(AP175="","",AP175+90)</f>
        <v/>
      </c>
      <c r="AT175" s="39" t="str">
        <f aca="true">IF(C175="","",IF(AP175="","NOT REVIEWED",IF(TODAY()&gt;AS175,"OVERDUE",IF(AS175-TODAY()&lt;=14,"Due Soon","Current"))))</f>
        <v/>
      </c>
      <c r="AU175" s="36"/>
    </row>
    <row r="176" customFormat="false" ht="15" hidden="false" customHeight="false" outlineLevel="0" collapsed="false">
      <c r="A176" s="36"/>
      <c r="B176" s="36"/>
      <c r="C176" s="36"/>
      <c r="D176" s="37"/>
      <c r="E176" s="37"/>
      <c r="F176" s="37"/>
      <c r="G176" s="38"/>
      <c r="H176" s="38"/>
      <c r="I176" s="36"/>
      <c r="J176" s="38"/>
      <c r="K176" s="37"/>
      <c r="L176" s="36"/>
      <c r="M176" s="37"/>
      <c r="N176" s="37"/>
      <c r="O176" s="37"/>
      <c r="P176" s="37"/>
      <c r="Q176" s="36"/>
      <c r="R176" s="39" t="str">
        <f aca="true">IF(H176="","",TODAY()-H176)</f>
        <v/>
      </c>
      <c r="S176" s="39" t="str">
        <f aca="true">IF(J176="","",J176-TODAY())</f>
        <v/>
      </c>
      <c r="T176" s="37"/>
      <c r="U176" s="37"/>
      <c r="V176" s="40" t="str">
        <f aca="false">IFERROR(INDEX('Azure Resource Map'!$D$2:$D$2001,MATCH($C176,'Azure Resource Map'!$A$2:$A$2001,0)),"")</f>
        <v/>
      </c>
      <c r="W176" s="39" t="str">
        <f aca="false">IFERROR(INDEX('Azure Resource Map'!$E$2:$E$2001,MATCH($C176,'Azure Resource Map'!$A$2:$A$2001,0)),"")</f>
        <v/>
      </c>
      <c r="X176" s="39" t="str">
        <f aca="false">IFERROR(INDEX('Azure Resource Map'!$F$2:$F$2001,MATCH($C176,'Azure Resource Map'!$A$2:$A$2001,0)),"")</f>
        <v/>
      </c>
      <c r="Y176" s="39" t="str">
        <f aca="false">IF($C176="","",IF(ISNUMBER(MATCH($C176,'CA Exclusion Map'!$A$2:$A$2001,0)),"Yes","No"))</f>
        <v/>
      </c>
      <c r="Z176" s="39" t="str">
        <f aca="false">IFERROR(INDEX('CA Exclusion Map'!$D$2:$D$2001,MATCH($C176,'CA Exclusion Map'!$A$2:$A$2001,0)),"")</f>
        <v/>
      </c>
      <c r="AA176" s="40" t="str">
        <f aca="false">IFERROR(INDEX('CA Exclusion Map'!$E$2:$E$2001,MATCH($C176,'CA Exclusion Map'!$A$2:$A$2001,0)),"")</f>
        <v/>
      </c>
      <c r="AB176" s="40" t="str">
        <f aca="false">IFERROR(INDEX('CA Exclusion Map'!$F$2:$F$2001,MATCH($C176,'CA Exclusion Map'!$A$2:$A$2001,0)),"")</f>
        <v/>
      </c>
      <c r="AC176" s="36"/>
      <c r="AD176" s="37"/>
      <c r="AE176" s="38"/>
      <c r="AF176" s="38"/>
      <c r="AG176" s="39" t="str">
        <f aca="true">IF(Y176="","",IF(Y176&lt;&gt;"Yes","N/A",IF(AF176="","NO EXPIRY SET",IF(TODAY()&gt;AF176,"EXPIRED",IF(AF176-TODAY()&lt;=30,"Expiring Soon","Active")))))</f>
        <v/>
      </c>
      <c r="AH176" s="36"/>
      <c r="AI176" s="36"/>
      <c r="AJ176" s="37"/>
      <c r="AK176" s="36"/>
      <c r="AL176" s="37"/>
      <c r="AM176" s="37"/>
      <c r="AN176" s="37"/>
      <c r="AO176" s="37"/>
      <c r="AP176" s="38"/>
      <c r="AQ176" s="37"/>
      <c r="AR176" s="37"/>
      <c r="AS176" s="41" t="str">
        <f aca="false">IF(AP176="","",AP176+90)</f>
        <v/>
      </c>
      <c r="AT176" s="39" t="str">
        <f aca="true">IF(C176="","",IF(AP176="","NOT REVIEWED",IF(TODAY()&gt;AS176,"OVERDUE",IF(AS176-TODAY()&lt;=14,"Due Soon","Current"))))</f>
        <v/>
      </c>
      <c r="AU176" s="36"/>
    </row>
    <row r="177" customFormat="false" ht="15" hidden="false" customHeight="false" outlineLevel="0" collapsed="false">
      <c r="A177" s="36"/>
      <c r="B177" s="36"/>
      <c r="C177" s="36"/>
      <c r="D177" s="37"/>
      <c r="E177" s="37"/>
      <c r="F177" s="37"/>
      <c r="G177" s="38"/>
      <c r="H177" s="38"/>
      <c r="I177" s="36"/>
      <c r="J177" s="38"/>
      <c r="K177" s="37"/>
      <c r="L177" s="36"/>
      <c r="M177" s="37"/>
      <c r="N177" s="37"/>
      <c r="O177" s="37"/>
      <c r="P177" s="37"/>
      <c r="Q177" s="36"/>
      <c r="R177" s="39" t="str">
        <f aca="true">IF(H177="","",TODAY()-H177)</f>
        <v/>
      </c>
      <c r="S177" s="39" t="str">
        <f aca="true">IF(J177="","",J177-TODAY())</f>
        <v/>
      </c>
      <c r="T177" s="37"/>
      <c r="U177" s="37"/>
      <c r="V177" s="40" t="str">
        <f aca="false">IFERROR(INDEX('Azure Resource Map'!$D$2:$D$2001,MATCH($C177,'Azure Resource Map'!$A$2:$A$2001,0)),"")</f>
        <v/>
      </c>
      <c r="W177" s="39" t="str">
        <f aca="false">IFERROR(INDEX('Azure Resource Map'!$E$2:$E$2001,MATCH($C177,'Azure Resource Map'!$A$2:$A$2001,0)),"")</f>
        <v/>
      </c>
      <c r="X177" s="39" t="str">
        <f aca="false">IFERROR(INDEX('Azure Resource Map'!$F$2:$F$2001,MATCH($C177,'Azure Resource Map'!$A$2:$A$2001,0)),"")</f>
        <v/>
      </c>
      <c r="Y177" s="39" t="str">
        <f aca="false">IF($C177="","",IF(ISNUMBER(MATCH($C177,'CA Exclusion Map'!$A$2:$A$2001,0)),"Yes","No"))</f>
        <v/>
      </c>
      <c r="Z177" s="39" t="str">
        <f aca="false">IFERROR(INDEX('CA Exclusion Map'!$D$2:$D$2001,MATCH($C177,'CA Exclusion Map'!$A$2:$A$2001,0)),"")</f>
        <v/>
      </c>
      <c r="AA177" s="40" t="str">
        <f aca="false">IFERROR(INDEX('CA Exclusion Map'!$E$2:$E$2001,MATCH($C177,'CA Exclusion Map'!$A$2:$A$2001,0)),"")</f>
        <v/>
      </c>
      <c r="AB177" s="40" t="str">
        <f aca="false">IFERROR(INDEX('CA Exclusion Map'!$F$2:$F$2001,MATCH($C177,'CA Exclusion Map'!$A$2:$A$2001,0)),"")</f>
        <v/>
      </c>
      <c r="AC177" s="36"/>
      <c r="AD177" s="37"/>
      <c r="AE177" s="38"/>
      <c r="AF177" s="38"/>
      <c r="AG177" s="39" t="str">
        <f aca="true">IF(Y177="","",IF(Y177&lt;&gt;"Yes","N/A",IF(AF177="","NO EXPIRY SET",IF(TODAY()&gt;AF177,"EXPIRED",IF(AF177-TODAY()&lt;=30,"Expiring Soon","Active")))))</f>
        <v/>
      </c>
      <c r="AH177" s="36"/>
      <c r="AI177" s="36"/>
      <c r="AJ177" s="37"/>
      <c r="AK177" s="36"/>
      <c r="AL177" s="37"/>
      <c r="AM177" s="37"/>
      <c r="AN177" s="37"/>
      <c r="AO177" s="37"/>
      <c r="AP177" s="38"/>
      <c r="AQ177" s="37"/>
      <c r="AR177" s="37"/>
      <c r="AS177" s="41" t="str">
        <f aca="false">IF(AP177="","",AP177+90)</f>
        <v/>
      </c>
      <c r="AT177" s="39" t="str">
        <f aca="true">IF(C177="","",IF(AP177="","NOT REVIEWED",IF(TODAY()&gt;AS177,"OVERDUE",IF(AS177-TODAY()&lt;=14,"Due Soon","Current"))))</f>
        <v/>
      </c>
      <c r="AU177" s="36"/>
    </row>
    <row r="178" customFormat="false" ht="15" hidden="false" customHeight="false" outlineLevel="0" collapsed="false">
      <c r="A178" s="36"/>
      <c r="B178" s="36"/>
      <c r="C178" s="36"/>
      <c r="D178" s="37"/>
      <c r="E178" s="37"/>
      <c r="F178" s="37"/>
      <c r="G178" s="38"/>
      <c r="H178" s="38"/>
      <c r="I178" s="36"/>
      <c r="J178" s="38"/>
      <c r="K178" s="37"/>
      <c r="L178" s="36"/>
      <c r="M178" s="37"/>
      <c r="N178" s="37"/>
      <c r="O178" s="37"/>
      <c r="P178" s="37"/>
      <c r="Q178" s="36"/>
      <c r="R178" s="39" t="str">
        <f aca="true">IF(H178="","",TODAY()-H178)</f>
        <v/>
      </c>
      <c r="S178" s="39" t="str">
        <f aca="true">IF(J178="","",J178-TODAY())</f>
        <v/>
      </c>
      <c r="T178" s="37"/>
      <c r="U178" s="37"/>
      <c r="V178" s="40" t="str">
        <f aca="false">IFERROR(INDEX('Azure Resource Map'!$D$2:$D$2001,MATCH($C178,'Azure Resource Map'!$A$2:$A$2001,0)),"")</f>
        <v/>
      </c>
      <c r="W178" s="39" t="str">
        <f aca="false">IFERROR(INDEX('Azure Resource Map'!$E$2:$E$2001,MATCH($C178,'Azure Resource Map'!$A$2:$A$2001,0)),"")</f>
        <v/>
      </c>
      <c r="X178" s="39" t="str">
        <f aca="false">IFERROR(INDEX('Azure Resource Map'!$F$2:$F$2001,MATCH($C178,'Azure Resource Map'!$A$2:$A$2001,0)),"")</f>
        <v/>
      </c>
      <c r="Y178" s="39" t="str">
        <f aca="false">IF($C178="","",IF(ISNUMBER(MATCH($C178,'CA Exclusion Map'!$A$2:$A$2001,0)),"Yes","No"))</f>
        <v/>
      </c>
      <c r="Z178" s="39" t="str">
        <f aca="false">IFERROR(INDEX('CA Exclusion Map'!$D$2:$D$2001,MATCH($C178,'CA Exclusion Map'!$A$2:$A$2001,0)),"")</f>
        <v/>
      </c>
      <c r="AA178" s="40" t="str">
        <f aca="false">IFERROR(INDEX('CA Exclusion Map'!$E$2:$E$2001,MATCH($C178,'CA Exclusion Map'!$A$2:$A$2001,0)),"")</f>
        <v/>
      </c>
      <c r="AB178" s="40" t="str">
        <f aca="false">IFERROR(INDEX('CA Exclusion Map'!$F$2:$F$2001,MATCH($C178,'CA Exclusion Map'!$A$2:$A$2001,0)),"")</f>
        <v/>
      </c>
      <c r="AC178" s="36"/>
      <c r="AD178" s="37"/>
      <c r="AE178" s="38"/>
      <c r="AF178" s="38"/>
      <c r="AG178" s="39" t="str">
        <f aca="true">IF(Y178="","",IF(Y178&lt;&gt;"Yes","N/A",IF(AF178="","NO EXPIRY SET",IF(TODAY()&gt;AF178,"EXPIRED",IF(AF178-TODAY()&lt;=30,"Expiring Soon","Active")))))</f>
        <v/>
      </c>
      <c r="AH178" s="36"/>
      <c r="AI178" s="36"/>
      <c r="AJ178" s="37"/>
      <c r="AK178" s="36"/>
      <c r="AL178" s="37"/>
      <c r="AM178" s="37"/>
      <c r="AN178" s="37"/>
      <c r="AO178" s="37"/>
      <c r="AP178" s="38"/>
      <c r="AQ178" s="37"/>
      <c r="AR178" s="37"/>
      <c r="AS178" s="41" t="str">
        <f aca="false">IF(AP178="","",AP178+90)</f>
        <v/>
      </c>
      <c r="AT178" s="39" t="str">
        <f aca="true">IF(C178="","",IF(AP178="","NOT REVIEWED",IF(TODAY()&gt;AS178,"OVERDUE",IF(AS178-TODAY()&lt;=14,"Due Soon","Current"))))</f>
        <v/>
      </c>
      <c r="AU178" s="36"/>
    </row>
    <row r="179" customFormat="false" ht="15" hidden="false" customHeight="false" outlineLevel="0" collapsed="false">
      <c r="A179" s="36"/>
      <c r="B179" s="36"/>
      <c r="C179" s="36"/>
      <c r="D179" s="37"/>
      <c r="E179" s="37"/>
      <c r="F179" s="37"/>
      <c r="G179" s="38"/>
      <c r="H179" s="38"/>
      <c r="I179" s="36"/>
      <c r="J179" s="38"/>
      <c r="K179" s="37"/>
      <c r="L179" s="36"/>
      <c r="M179" s="37"/>
      <c r="N179" s="37"/>
      <c r="O179" s="37"/>
      <c r="P179" s="37"/>
      <c r="Q179" s="36"/>
      <c r="R179" s="39" t="str">
        <f aca="true">IF(H179="","",TODAY()-H179)</f>
        <v/>
      </c>
      <c r="S179" s="39" t="str">
        <f aca="true">IF(J179="","",J179-TODAY())</f>
        <v/>
      </c>
      <c r="T179" s="37"/>
      <c r="U179" s="37"/>
      <c r="V179" s="40" t="str">
        <f aca="false">IFERROR(INDEX('Azure Resource Map'!$D$2:$D$2001,MATCH($C179,'Azure Resource Map'!$A$2:$A$2001,0)),"")</f>
        <v/>
      </c>
      <c r="W179" s="39" t="str">
        <f aca="false">IFERROR(INDEX('Azure Resource Map'!$E$2:$E$2001,MATCH($C179,'Azure Resource Map'!$A$2:$A$2001,0)),"")</f>
        <v/>
      </c>
      <c r="X179" s="39" t="str">
        <f aca="false">IFERROR(INDEX('Azure Resource Map'!$F$2:$F$2001,MATCH($C179,'Azure Resource Map'!$A$2:$A$2001,0)),"")</f>
        <v/>
      </c>
      <c r="Y179" s="39" t="str">
        <f aca="false">IF($C179="","",IF(ISNUMBER(MATCH($C179,'CA Exclusion Map'!$A$2:$A$2001,0)),"Yes","No"))</f>
        <v/>
      </c>
      <c r="Z179" s="39" t="str">
        <f aca="false">IFERROR(INDEX('CA Exclusion Map'!$D$2:$D$2001,MATCH($C179,'CA Exclusion Map'!$A$2:$A$2001,0)),"")</f>
        <v/>
      </c>
      <c r="AA179" s="40" t="str">
        <f aca="false">IFERROR(INDEX('CA Exclusion Map'!$E$2:$E$2001,MATCH($C179,'CA Exclusion Map'!$A$2:$A$2001,0)),"")</f>
        <v/>
      </c>
      <c r="AB179" s="40" t="str">
        <f aca="false">IFERROR(INDEX('CA Exclusion Map'!$F$2:$F$2001,MATCH($C179,'CA Exclusion Map'!$A$2:$A$2001,0)),"")</f>
        <v/>
      </c>
      <c r="AC179" s="36"/>
      <c r="AD179" s="37"/>
      <c r="AE179" s="38"/>
      <c r="AF179" s="38"/>
      <c r="AG179" s="39" t="str">
        <f aca="true">IF(Y179="","",IF(Y179&lt;&gt;"Yes","N/A",IF(AF179="","NO EXPIRY SET",IF(TODAY()&gt;AF179,"EXPIRED",IF(AF179-TODAY()&lt;=30,"Expiring Soon","Active")))))</f>
        <v/>
      </c>
      <c r="AH179" s="36"/>
      <c r="AI179" s="36"/>
      <c r="AJ179" s="37"/>
      <c r="AK179" s="36"/>
      <c r="AL179" s="37"/>
      <c r="AM179" s="37"/>
      <c r="AN179" s="37"/>
      <c r="AO179" s="37"/>
      <c r="AP179" s="38"/>
      <c r="AQ179" s="37"/>
      <c r="AR179" s="37"/>
      <c r="AS179" s="41" t="str">
        <f aca="false">IF(AP179="","",AP179+90)</f>
        <v/>
      </c>
      <c r="AT179" s="39" t="str">
        <f aca="true">IF(C179="","",IF(AP179="","NOT REVIEWED",IF(TODAY()&gt;AS179,"OVERDUE",IF(AS179-TODAY()&lt;=14,"Due Soon","Current"))))</f>
        <v/>
      </c>
      <c r="AU179" s="36"/>
    </row>
    <row r="180" customFormat="false" ht="15" hidden="false" customHeight="false" outlineLevel="0" collapsed="false">
      <c r="A180" s="36"/>
      <c r="B180" s="36"/>
      <c r="C180" s="36"/>
      <c r="D180" s="37"/>
      <c r="E180" s="37"/>
      <c r="F180" s="37"/>
      <c r="G180" s="38"/>
      <c r="H180" s="38"/>
      <c r="I180" s="36"/>
      <c r="J180" s="38"/>
      <c r="K180" s="37"/>
      <c r="L180" s="36"/>
      <c r="M180" s="37"/>
      <c r="N180" s="37"/>
      <c r="O180" s="37"/>
      <c r="P180" s="37"/>
      <c r="Q180" s="36"/>
      <c r="R180" s="39" t="str">
        <f aca="true">IF(H180="","",TODAY()-H180)</f>
        <v/>
      </c>
      <c r="S180" s="39" t="str">
        <f aca="true">IF(J180="","",J180-TODAY())</f>
        <v/>
      </c>
      <c r="T180" s="37"/>
      <c r="U180" s="37"/>
      <c r="V180" s="40" t="str">
        <f aca="false">IFERROR(INDEX('Azure Resource Map'!$D$2:$D$2001,MATCH($C180,'Azure Resource Map'!$A$2:$A$2001,0)),"")</f>
        <v/>
      </c>
      <c r="W180" s="39" t="str">
        <f aca="false">IFERROR(INDEX('Azure Resource Map'!$E$2:$E$2001,MATCH($C180,'Azure Resource Map'!$A$2:$A$2001,0)),"")</f>
        <v/>
      </c>
      <c r="X180" s="39" t="str">
        <f aca="false">IFERROR(INDEX('Azure Resource Map'!$F$2:$F$2001,MATCH($C180,'Azure Resource Map'!$A$2:$A$2001,0)),"")</f>
        <v/>
      </c>
      <c r="Y180" s="39" t="str">
        <f aca="false">IF($C180="","",IF(ISNUMBER(MATCH($C180,'CA Exclusion Map'!$A$2:$A$2001,0)),"Yes","No"))</f>
        <v/>
      </c>
      <c r="Z180" s="39" t="str">
        <f aca="false">IFERROR(INDEX('CA Exclusion Map'!$D$2:$D$2001,MATCH($C180,'CA Exclusion Map'!$A$2:$A$2001,0)),"")</f>
        <v/>
      </c>
      <c r="AA180" s="40" t="str">
        <f aca="false">IFERROR(INDEX('CA Exclusion Map'!$E$2:$E$2001,MATCH($C180,'CA Exclusion Map'!$A$2:$A$2001,0)),"")</f>
        <v/>
      </c>
      <c r="AB180" s="40" t="str">
        <f aca="false">IFERROR(INDEX('CA Exclusion Map'!$F$2:$F$2001,MATCH($C180,'CA Exclusion Map'!$A$2:$A$2001,0)),"")</f>
        <v/>
      </c>
      <c r="AC180" s="36"/>
      <c r="AD180" s="37"/>
      <c r="AE180" s="38"/>
      <c r="AF180" s="38"/>
      <c r="AG180" s="39" t="str">
        <f aca="true">IF(Y180="","",IF(Y180&lt;&gt;"Yes","N/A",IF(AF180="","NO EXPIRY SET",IF(TODAY()&gt;AF180,"EXPIRED",IF(AF180-TODAY()&lt;=30,"Expiring Soon","Active")))))</f>
        <v/>
      </c>
      <c r="AH180" s="36"/>
      <c r="AI180" s="36"/>
      <c r="AJ180" s="37"/>
      <c r="AK180" s="36"/>
      <c r="AL180" s="37"/>
      <c r="AM180" s="37"/>
      <c r="AN180" s="37"/>
      <c r="AO180" s="37"/>
      <c r="AP180" s="38"/>
      <c r="AQ180" s="37"/>
      <c r="AR180" s="37"/>
      <c r="AS180" s="41" t="str">
        <f aca="false">IF(AP180="","",AP180+90)</f>
        <v/>
      </c>
      <c r="AT180" s="39" t="str">
        <f aca="true">IF(C180="","",IF(AP180="","NOT REVIEWED",IF(TODAY()&gt;AS180,"OVERDUE",IF(AS180-TODAY()&lt;=14,"Due Soon","Current"))))</f>
        <v/>
      </c>
      <c r="AU180" s="36"/>
    </row>
    <row r="181" customFormat="false" ht="15" hidden="false" customHeight="false" outlineLevel="0" collapsed="false">
      <c r="A181" s="36"/>
      <c r="B181" s="36"/>
      <c r="C181" s="36"/>
      <c r="D181" s="37"/>
      <c r="E181" s="37"/>
      <c r="F181" s="37"/>
      <c r="G181" s="38"/>
      <c r="H181" s="38"/>
      <c r="I181" s="36"/>
      <c r="J181" s="38"/>
      <c r="K181" s="37"/>
      <c r="L181" s="36"/>
      <c r="M181" s="37"/>
      <c r="N181" s="37"/>
      <c r="O181" s="37"/>
      <c r="P181" s="37"/>
      <c r="Q181" s="36"/>
      <c r="R181" s="39" t="str">
        <f aca="true">IF(H181="","",TODAY()-H181)</f>
        <v/>
      </c>
      <c r="S181" s="39" t="str">
        <f aca="true">IF(J181="","",J181-TODAY())</f>
        <v/>
      </c>
      <c r="T181" s="37"/>
      <c r="U181" s="37"/>
      <c r="V181" s="40" t="str">
        <f aca="false">IFERROR(INDEX('Azure Resource Map'!$D$2:$D$2001,MATCH($C181,'Azure Resource Map'!$A$2:$A$2001,0)),"")</f>
        <v/>
      </c>
      <c r="W181" s="39" t="str">
        <f aca="false">IFERROR(INDEX('Azure Resource Map'!$E$2:$E$2001,MATCH($C181,'Azure Resource Map'!$A$2:$A$2001,0)),"")</f>
        <v/>
      </c>
      <c r="X181" s="39" t="str">
        <f aca="false">IFERROR(INDEX('Azure Resource Map'!$F$2:$F$2001,MATCH($C181,'Azure Resource Map'!$A$2:$A$2001,0)),"")</f>
        <v/>
      </c>
      <c r="Y181" s="39" t="str">
        <f aca="false">IF($C181="","",IF(ISNUMBER(MATCH($C181,'CA Exclusion Map'!$A$2:$A$2001,0)),"Yes","No"))</f>
        <v/>
      </c>
      <c r="Z181" s="39" t="str">
        <f aca="false">IFERROR(INDEX('CA Exclusion Map'!$D$2:$D$2001,MATCH($C181,'CA Exclusion Map'!$A$2:$A$2001,0)),"")</f>
        <v/>
      </c>
      <c r="AA181" s="40" t="str">
        <f aca="false">IFERROR(INDEX('CA Exclusion Map'!$E$2:$E$2001,MATCH($C181,'CA Exclusion Map'!$A$2:$A$2001,0)),"")</f>
        <v/>
      </c>
      <c r="AB181" s="40" t="str">
        <f aca="false">IFERROR(INDEX('CA Exclusion Map'!$F$2:$F$2001,MATCH($C181,'CA Exclusion Map'!$A$2:$A$2001,0)),"")</f>
        <v/>
      </c>
      <c r="AC181" s="36"/>
      <c r="AD181" s="37"/>
      <c r="AE181" s="38"/>
      <c r="AF181" s="38"/>
      <c r="AG181" s="39" t="str">
        <f aca="true">IF(Y181="","",IF(Y181&lt;&gt;"Yes","N/A",IF(AF181="","NO EXPIRY SET",IF(TODAY()&gt;AF181,"EXPIRED",IF(AF181-TODAY()&lt;=30,"Expiring Soon","Active")))))</f>
        <v/>
      </c>
      <c r="AH181" s="36"/>
      <c r="AI181" s="36"/>
      <c r="AJ181" s="37"/>
      <c r="AK181" s="36"/>
      <c r="AL181" s="37"/>
      <c r="AM181" s="37"/>
      <c r="AN181" s="37"/>
      <c r="AO181" s="37"/>
      <c r="AP181" s="38"/>
      <c r="AQ181" s="37"/>
      <c r="AR181" s="37"/>
      <c r="AS181" s="41" t="str">
        <f aca="false">IF(AP181="","",AP181+90)</f>
        <v/>
      </c>
      <c r="AT181" s="39" t="str">
        <f aca="true">IF(C181="","",IF(AP181="","NOT REVIEWED",IF(TODAY()&gt;AS181,"OVERDUE",IF(AS181-TODAY()&lt;=14,"Due Soon","Current"))))</f>
        <v/>
      </c>
      <c r="AU181" s="36"/>
    </row>
    <row r="182" customFormat="false" ht="15" hidden="false" customHeight="false" outlineLevel="0" collapsed="false">
      <c r="A182" s="36"/>
      <c r="B182" s="36"/>
      <c r="C182" s="36"/>
      <c r="D182" s="37"/>
      <c r="E182" s="37"/>
      <c r="F182" s="37"/>
      <c r="G182" s="38"/>
      <c r="H182" s="38"/>
      <c r="I182" s="36"/>
      <c r="J182" s="38"/>
      <c r="K182" s="37"/>
      <c r="L182" s="36"/>
      <c r="M182" s="37"/>
      <c r="N182" s="37"/>
      <c r="O182" s="37"/>
      <c r="P182" s="37"/>
      <c r="Q182" s="36"/>
      <c r="R182" s="39" t="str">
        <f aca="true">IF(H182="","",TODAY()-H182)</f>
        <v/>
      </c>
      <c r="S182" s="39" t="str">
        <f aca="true">IF(J182="","",J182-TODAY())</f>
        <v/>
      </c>
      <c r="T182" s="37"/>
      <c r="U182" s="37"/>
      <c r="V182" s="40" t="str">
        <f aca="false">IFERROR(INDEX('Azure Resource Map'!$D$2:$D$2001,MATCH($C182,'Azure Resource Map'!$A$2:$A$2001,0)),"")</f>
        <v/>
      </c>
      <c r="W182" s="39" t="str">
        <f aca="false">IFERROR(INDEX('Azure Resource Map'!$E$2:$E$2001,MATCH($C182,'Azure Resource Map'!$A$2:$A$2001,0)),"")</f>
        <v/>
      </c>
      <c r="X182" s="39" t="str">
        <f aca="false">IFERROR(INDEX('Azure Resource Map'!$F$2:$F$2001,MATCH($C182,'Azure Resource Map'!$A$2:$A$2001,0)),"")</f>
        <v/>
      </c>
      <c r="Y182" s="39" t="str">
        <f aca="false">IF($C182="","",IF(ISNUMBER(MATCH($C182,'CA Exclusion Map'!$A$2:$A$2001,0)),"Yes","No"))</f>
        <v/>
      </c>
      <c r="Z182" s="39" t="str">
        <f aca="false">IFERROR(INDEX('CA Exclusion Map'!$D$2:$D$2001,MATCH($C182,'CA Exclusion Map'!$A$2:$A$2001,0)),"")</f>
        <v/>
      </c>
      <c r="AA182" s="40" t="str">
        <f aca="false">IFERROR(INDEX('CA Exclusion Map'!$E$2:$E$2001,MATCH($C182,'CA Exclusion Map'!$A$2:$A$2001,0)),"")</f>
        <v/>
      </c>
      <c r="AB182" s="40" t="str">
        <f aca="false">IFERROR(INDEX('CA Exclusion Map'!$F$2:$F$2001,MATCH($C182,'CA Exclusion Map'!$A$2:$A$2001,0)),"")</f>
        <v/>
      </c>
      <c r="AC182" s="36"/>
      <c r="AD182" s="37"/>
      <c r="AE182" s="38"/>
      <c r="AF182" s="38"/>
      <c r="AG182" s="39" t="str">
        <f aca="true">IF(Y182="","",IF(Y182&lt;&gt;"Yes","N/A",IF(AF182="","NO EXPIRY SET",IF(TODAY()&gt;AF182,"EXPIRED",IF(AF182-TODAY()&lt;=30,"Expiring Soon","Active")))))</f>
        <v/>
      </c>
      <c r="AH182" s="36"/>
      <c r="AI182" s="36"/>
      <c r="AJ182" s="37"/>
      <c r="AK182" s="36"/>
      <c r="AL182" s="37"/>
      <c r="AM182" s="37"/>
      <c r="AN182" s="37"/>
      <c r="AO182" s="37"/>
      <c r="AP182" s="38"/>
      <c r="AQ182" s="37"/>
      <c r="AR182" s="37"/>
      <c r="AS182" s="41" t="str">
        <f aca="false">IF(AP182="","",AP182+90)</f>
        <v/>
      </c>
      <c r="AT182" s="39" t="str">
        <f aca="true">IF(C182="","",IF(AP182="","NOT REVIEWED",IF(TODAY()&gt;AS182,"OVERDUE",IF(AS182-TODAY()&lt;=14,"Due Soon","Current"))))</f>
        <v/>
      </c>
      <c r="AU182" s="36"/>
    </row>
    <row r="183" customFormat="false" ht="15" hidden="false" customHeight="false" outlineLevel="0" collapsed="false">
      <c r="A183" s="36"/>
      <c r="B183" s="36"/>
      <c r="C183" s="36"/>
      <c r="D183" s="37"/>
      <c r="E183" s="37"/>
      <c r="F183" s="37"/>
      <c r="G183" s="38"/>
      <c r="H183" s="38"/>
      <c r="I183" s="36"/>
      <c r="J183" s="38"/>
      <c r="K183" s="37"/>
      <c r="L183" s="36"/>
      <c r="M183" s="37"/>
      <c r="N183" s="37"/>
      <c r="O183" s="37"/>
      <c r="P183" s="37"/>
      <c r="Q183" s="36"/>
      <c r="R183" s="39" t="str">
        <f aca="true">IF(H183="","",TODAY()-H183)</f>
        <v/>
      </c>
      <c r="S183" s="39" t="str">
        <f aca="true">IF(J183="","",J183-TODAY())</f>
        <v/>
      </c>
      <c r="T183" s="37"/>
      <c r="U183" s="37"/>
      <c r="V183" s="40" t="str">
        <f aca="false">IFERROR(INDEX('Azure Resource Map'!$D$2:$D$2001,MATCH($C183,'Azure Resource Map'!$A$2:$A$2001,0)),"")</f>
        <v/>
      </c>
      <c r="W183" s="39" t="str">
        <f aca="false">IFERROR(INDEX('Azure Resource Map'!$E$2:$E$2001,MATCH($C183,'Azure Resource Map'!$A$2:$A$2001,0)),"")</f>
        <v/>
      </c>
      <c r="X183" s="39" t="str">
        <f aca="false">IFERROR(INDEX('Azure Resource Map'!$F$2:$F$2001,MATCH($C183,'Azure Resource Map'!$A$2:$A$2001,0)),"")</f>
        <v/>
      </c>
      <c r="Y183" s="39" t="str">
        <f aca="false">IF($C183="","",IF(ISNUMBER(MATCH($C183,'CA Exclusion Map'!$A$2:$A$2001,0)),"Yes","No"))</f>
        <v/>
      </c>
      <c r="Z183" s="39" t="str">
        <f aca="false">IFERROR(INDEX('CA Exclusion Map'!$D$2:$D$2001,MATCH($C183,'CA Exclusion Map'!$A$2:$A$2001,0)),"")</f>
        <v/>
      </c>
      <c r="AA183" s="40" t="str">
        <f aca="false">IFERROR(INDEX('CA Exclusion Map'!$E$2:$E$2001,MATCH($C183,'CA Exclusion Map'!$A$2:$A$2001,0)),"")</f>
        <v/>
      </c>
      <c r="AB183" s="40" t="str">
        <f aca="false">IFERROR(INDEX('CA Exclusion Map'!$F$2:$F$2001,MATCH($C183,'CA Exclusion Map'!$A$2:$A$2001,0)),"")</f>
        <v/>
      </c>
      <c r="AC183" s="36"/>
      <c r="AD183" s="37"/>
      <c r="AE183" s="38"/>
      <c r="AF183" s="38"/>
      <c r="AG183" s="39" t="str">
        <f aca="true">IF(Y183="","",IF(Y183&lt;&gt;"Yes","N/A",IF(AF183="","NO EXPIRY SET",IF(TODAY()&gt;AF183,"EXPIRED",IF(AF183-TODAY()&lt;=30,"Expiring Soon","Active")))))</f>
        <v/>
      </c>
      <c r="AH183" s="36"/>
      <c r="AI183" s="36"/>
      <c r="AJ183" s="37"/>
      <c r="AK183" s="36"/>
      <c r="AL183" s="37"/>
      <c r="AM183" s="37"/>
      <c r="AN183" s="37"/>
      <c r="AO183" s="37"/>
      <c r="AP183" s="38"/>
      <c r="AQ183" s="37"/>
      <c r="AR183" s="37"/>
      <c r="AS183" s="41" t="str">
        <f aca="false">IF(AP183="","",AP183+90)</f>
        <v/>
      </c>
      <c r="AT183" s="39" t="str">
        <f aca="true">IF(C183="","",IF(AP183="","NOT REVIEWED",IF(TODAY()&gt;AS183,"OVERDUE",IF(AS183-TODAY()&lt;=14,"Due Soon","Current"))))</f>
        <v/>
      </c>
      <c r="AU183" s="36"/>
    </row>
    <row r="184" customFormat="false" ht="15" hidden="false" customHeight="false" outlineLevel="0" collapsed="false">
      <c r="A184" s="36"/>
      <c r="B184" s="36"/>
      <c r="C184" s="36"/>
      <c r="D184" s="37"/>
      <c r="E184" s="37"/>
      <c r="F184" s="37"/>
      <c r="G184" s="38"/>
      <c r="H184" s="38"/>
      <c r="I184" s="36"/>
      <c r="J184" s="38"/>
      <c r="K184" s="37"/>
      <c r="L184" s="36"/>
      <c r="M184" s="37"/>
      <c r="N184" s="37"/>
      <c r="O184" s="37"/>
      <c r="P184" s="37"/>
      <c r="Q184" s="36"/>
      <c r="R184" s="39" t="str">
        <f aca="true">IF(H184="","",TODAY()-H184)</f>
        <v/>
      </c>
      <c r="S184" s="39" t="str">
        <f aca="true">IF(J184="","",J184-TODAY())</f>
        <v/>
      </c>
      <c r="T184" s="37"/>
      <c r="U184" s="37"/>
      <c r="V184" s="40" t="str">
        <f aca="false">IFERROR(INDEX('Azure Resource Map'!$D$2:$D$2001,MATCH($C184,'Azure Resource Map'!$A$2:$A$2001,0)),"")</f>
        <v/>
      </c>
      <c r="W184" s="39" t="str">
        <f aca="false">IFERROR(INDEX('Azure Resource Map'!$E$2:$E$2001,MATCH($C184,'Azure Resource Map'!$A$2:$A$2001,0)),"")</f>
        <v/>
      </c>
      <c r="X184" s="39" t="str">
        <f aca="false">IFERROR(INDEX('Azure Resource Map'!$F$2:$F$2001,MATCH($C184,'Azure Resource Map'!$A$2:$A$2001,0)),"")</f>
        <v/>
      </c>
      <c r="Y184" s="39" t="str">
        <f aca="false">IF($C184="","",IF(ISNUMBER(MATCH($C184,'CA Exclusion Map'!$A$2:$A$2001,0)),"Yes","No"))</f>
        <v/>
      </c>
      <c r="Z184" s="39" t="str">
        <f aca="false">IFERROR(INDEX('CA Exclusion Map'!$D$2:$D$2001,MATCH($C184,'CA Exclusion Map'!$A$2:$A$2001,0)),"")</f>
        <v/>
      </c>
      <c r="AA184" s="40" t="str">
        <f aca="false">IFERROR(INDEX('CA Exclusion Map'!$E$2:$E$2001,MATCH($C184,'CA Exclusion Map'!$A$2:$A$2001,0)),"")</f>
        <v/>
      </c>
      <c r="AB184" s="40" t="str">
        <f aca="false">IFERROR(INDEX('CA Exclusion Map'!$F$2:$F$2001,MATCH($C184,'CA Exclusion Map'!$A$2:$A$2001,0)),"")</f>
        <v/>
      </c>
      <c r="AC184" s="36"/>
      <c r="AD184" s="37"/>
      <c r="AE184" s="38"/>
      <c r="AF184" s="38"/>
      <c r="AG184" s="39" t="str">
        <f aca="true">IF(Y184="","",IF(Y184&lt;&gt;"Yes","N/A",IF(AF184="","NO EXPIRY SET",IF(TODAY()&gt;AF184,"EXPIRED",IF(AF184-TODAY()&lt;=30,"Expiring Soon","Active")))))</f>
        <v/>
      </c>
      <c r="AH184" s="36"/>
      <c r="AI184" s="36"/>
      <c r="AJ184" s="37"/>
      <c r="AK184" s="36"/>
      <c r="AL184" s="37"/>
      <c r="AM184" s="37"/>
      <c r="AN184" s="37"/>
      <c r="AO184" s="37"/>
      <c r="AP184" s="38"/>
      <c r="AQ184" s="37"/>
      <c r="AR184" s="37"/>
      <c r="AS184" s="41" t="str">
        <f aca="false">IF(AP184="","",AP184+90)</f>
        <v/>
      </c>
      <c r="AT184" s="39" t="str">
        <f aca="true">IF(C184="","",IF(AP184="","NOT REVIEWED",IF(TODAY()&gt;AS184,"OVERDUE",IF(AS184-TODAY()&lt;=14,"Due Soon","Current"))))</f>
        <v/>
      </c>
      <c r="AU184" s="36"/>
    </row>
    <row r="185" customFormat="false" ht="15" hidden="false" customHeight="false" outlineLevel="0" collapsed="false">
      <c r="A185" s="36"/>
      <c r="B185" s="36"/>
      <c r="C185" s="36"/>
      <c r="D185" s="37"/>
      <c r="E185" s="37"/>
      <c r="F185" s="37"/>
      <c r="G185" s="38"/>
      <c r="H185" s="38"/>
      <c r="I185" s="36"/>
      <c r="J185" s="38"/>
      <c r="K185" s="37"/>
      <c r="L185" s="36"/>
      <c r="M185" s="37"/>
      <c r="N185" s="37"/>
      <c r="O185" s="37"/>
      <c r="P185" s="37"/>
      <c r="Q185" s="36"/>
      <c r="R185" s="39" t="str">
        <f aca="true">IF(H185="","",TODAY()-H185)</f>
        <v/>
      </c>
      <c r="S185" s="39" t="str">
        <f aca="true">IF(J185="","",J185-TODAY())</f>
        <v/>
      </c>
      <c r="T185" s="37"/>
      <c r="U185" s="37"/>
      <c r="V185" s="40" t="str">
        <f aca="false">IFERROR(INDEX('Azure Resource Map'!$D$2:$D$2001,MATCH($C185,'Azure Resource Map'!$A$2:$A$2001,0)),"")</f>
        <v/>
      </c>
      <c r="W185" s="39" t="str">
        <f aca="false">IFERROR(INDEX('Azure Resource Map'!$E$2:$E$2001,MATCH($C185,'Azure Resource Map'!$A$2:$A$2001,0)),"")</f>
        <v/>
      </c>
      <c r="X185" s="39" t="str">
        <f aca="false">IFERROR(INDEX('Azure Resource Map'!$F$2:$F$2001,MATCH($C185,'Azure Resource Map'!$A$2:$A$2001,0)),"")</f>
        <v/>
      </c>
      <c r="Y185" s="39" t="str">
        <f aca="false">IF($C185="","",IF(ISNUMBER(MATCH($C185,'CA Exclusion Map'!$A$2:$A$2001,0)),"Yes","No"))</f>
        <v/>
      </c>
      <c r="Z185" s="39" t="str">
        <f aca="false">IFERROR(INDEX('CA Exclusion Map'!$D$2:$D$2001,MATCH($C185,'CA Exclusion Map'!$A$2:$A$2001,0)),"")</f>
        <v/>
      </c>
      <c r="AA185" s="40" t="str">
        <f aca="false">IFERROR(INDEX('CA Exclusion Map'!$E$2:$E$2001,MATCH($C185,'CA Exclusion Map'!$A$2:$A$2001,0)),"")</f>
        <v/>
      </c>
      <c r="AB185" s="40" t="str">
        <f aca="false">IFERROR(INDEX('CA Exclusion Map'!$F$2:$F$2001,MATCH($C185,'CA Exclusion Map'!$A$2:$A$2001,0)),"")</f>
        <v/>
      </c>
      <c r="AC185" s="36"/>
      <c r="AD185" s="37"/>
      <c r="AE185" s="38"/>
      <c r="AF185" s="38"/>
      <c r="AG185" s="39" t="str">
        <f aca="true">IF(Y185="","",IF(Y185&lt;&gt;"Yes","N/A",IF(AF185="","NO EXPIRY SET",IF(TODAY()&gt;AF185,"EXPIRED",IF(AF185-TODAY()&lt;=30,"Expiring Soon","Active")))))</f>
        <v/>
      </c>
      <c r="AH185" s="36"/>
      <c r="AI185" s="36"/>
      <c r="AJ185" s="37"/>
      <c r="AK185" s="36"/>
      <c r="AL185" s="37"/>
      <c r="AM185" s="37"/>
      <c r="AN185" s="37"/>
      <c r="AO185" s="37"/>
      <c r="AP185" s="38"/>
      <c r="AQ185" s="37"/>
      <c r="AR185" s="37"/>
      <c r="AS185" s="41" t="str">
        <f aca="false">IF(AP185="","",AP185+90)</f>
        <v/>
      </c>
      <c r="AT185" s="39" t="str">
        <f aca="true">IF(C185="","",IF(AP185="","NOT REVIEWED",IF(TODAY()&gt;AS185,"OVERDUE",IF(AS185-TODAY()&lt;=14,"Due Soon","Current"))))</f>
        <v/>
      </c>
      <c r="AU185" s="36"/>
    </row>
    <row r="186" customFormat="false" ht="15" hidden="false" customHeight="false" outlineLevel="0" collapsed="false">
      <c r="A186" s="36"/>
      <c r="B186" s="36"/>
      <c r="C186" s="36"/>
      <c r="D186" s="37"/>
      <c r="E186" s="37"/>
      <c r="F186" s="37"/>
      <c r="G186" s="38"/>
      <c r="H186" s="38"/>
      <c r="I186" s="36"/>
      <c r="J186" s="38"/>
      <c r="K186" s="37"/>
      <c r="L186" s="36"/>
      <c r="M186" s="37"/>
      <c r="N186" s="37"/>
      <c r="O186" s="37"/>
      <c r="P186" s="37"/>
      <c r="Q186" s="36"/>
      <c r="R186" s="39" t="str">
        <f aca="true">IF(H186="","",TODAY()-H186)</f>
        <v/>
      </c>
      <c r="S186" s="39" t="str">
        <f aca="true">IF(J186="","",J186-TODAY())</f>
        <v/>
      </c>
      <c r="T186" s="37"/>
      <c r="U186" s="37"/>
      <c r="V186" s="40" t="str">
        <f aca="false">IFERROR(INDEX('Azure Resource Map'!$D$2:$D$2001,MATCH($C186,'Azure Resource Map'!$A$2:$A$2001,0)),"")</f>
        <v/>
      </c>
      <c r="W186" s="39" t="str">
        <f aca="false">IFERROR(INDEX('Azure Resource Map'!$E$2:$E$2001,MATCH($C186,'Azure Resource Map'!$A$2:$A$2001,0)),"")</f>
        <v/>
      </c>
      <c r="X186" s="39" t="str">
        <f aca="false">IFERROR(INDEX('Azure Resource Map'!$F$2:$F$2001,MATCH($C186,'Azure Resource Map'!$A$2:$A$2001,0)),"")</f>
        <v/>
      </c>
      <c r="Y186" s="39" t="str">
        <f aca="false">IF($C186="","",IF(ISNUMBER(MATCH($C186,'CA Exclusion Map'!$A$2:$A$2001,0)),"Yes","No"))</f>
        <v/>
      </c>
      <c r="Z186" s="39" t="str">
        <f aca="false">IFERROR(INDEX('CA Exclusion Map'!$D$2:$D$2001,MATCH($C186,'CA Exclusion Map'!$A$2:$A$2001,0)),"")</f>
        <v/>
      </c>
      <c r="AA186" s="40" t="str">
        <f aca="false">IFERROR(INDEX('CA Exclusion Map'!$E$2:$E$2001,MATCH($C186,'CA Exclusion Map'!$A$2:$A$2001,0)),"")</f>
        <v/>
      </c>
      <c r="AB186" s="40" t="str">
        <f aca="false">IFERROR(INDEX('CA Exclusion Map'!$F$2:$F$2001,MATCH($C186,'CA Exclusion Map'!$A$2:$A$2001,0)),"")</f>
        <v/>
      </c>
      <c r="AC186" s="36"/>
      <c r="AD186" s="37"/>
      <c r="AE186" s="38"/>
      <c r="AF186" s="38"/>
      <c r="AG186" s="39" t="str">
        <f aca="true">IF(Y186="","",IF(Y186&lt;&gt;"Yes","N/A",IF(AF186="","NO EXPIRY SET",IF(TODAY()&gt;AF186,"EXPIRED",IF(AF186-TODAY()&lt;=30,"Expiring Soon","Active")))))</f>
        <v/>
      </c>
      <c r="AH186" s="36"/>
      <c r="AI186" s="36"/>
      <c r="AJ186" s="37"/>
      <c r="AK186" s="36"/>
      <c r="AL186" s="37"/>
      <c r="AM186" s="37"/>
      <c r="AN186" s="37"/>
      <c r="AO186" s="37"/>
      <c r="AP186" s="38"/>
      <c r="AQ186" s="37"/>
      <c r="AR186" s="37"/>
      <c r="AS186" s="41" t="str">
        <f aca="false">IF(AP186="","",AP186+90)</f>
        <v/>
      </c>
      <c r="AT186" s="39" t="str">
        <f aca="true">IF(C186="","",IF(AP186="","NOT REVIEWED",IF(TODAY()&gt;AS186,"OVERDUE",IF(AS186-TODAY()&lt;=14,"Due Soon","Current"))))</f>
        <v/>
      </c>
      <c r="AU186" s="36"/>
    </row>
    <row r="187" customFormat="false" ht="15" hidden="false" customHeight="false" outlineLevel="0" collapsed="false">
      <c r="A187" s="36"/>
      <c r="B187" s="36"/>
      <c r="C187" s="36"/>
      <c r="D187" s="37"/>
      <c r="E187" s="37"/>
      <c r="F187" s="37"/>
      <c r="G187" s="38"/>
      <c r="H187" s="38"/>
      <c r="I187" s="36"/>
      <c r="J187" s="38"/>
      <c r="K187" s="37"/>
      <c r="L187" s="36"/>
      <c r="M187" s="37"/>
      <c r="N187" s="37"/>
      <c r="O187" s="37"/>
      <c r="P187" s="37"/>
      <c r="Q187" s="36"/>
      <c r="R187" s="39" t="str">
        <f aca="true">IF(H187="","",TODAY()-H187)</f>
        <v/>
      </c>
      <c r="S187" s="39" t="str">
        <f aca="true">IF(J187="","",J187-TODAY())</f>
        <v/>
      </c>
      <c r="T187" s="37"/>
      <c r="U187" s="37"/>
      <c r="V187" s="40" t="str">
        <f aca="false">IFERROR(INDEX('Azure Resource Map'!$D$2:$D$2001,MATCH($C187,'Azure Resource Map'!$A$2:$A$2001,0)),"")</f>
        <v/>
      </c>
      <c r="W187" s="39" t="str">
        <f aca="false">IFERROR(INDEX('Azure Resource Map'!$E$2:$E$2001,MATCH($C187,'Azure Resource Map'!$A$2:$A$2001,0)),"")</f>
        <v/>
      </c>
      <c r="X187" s="39" t="str">
        <f aca="false">IFERROR(INDEX('Azure Resource Map'!$F$2:$F$2001,MATCH($C187,'Azure Resource Map'!$A$2:$A$2001,0)),"")</f>
        <v/>
      </c>
      <c r="Y187" s="39" t="str">
        <f aca="false">IF($C187="","",IF(ISNUMBER(MATCH($C187,'CA Exclusion Map'!$A$2:$A$2001,0)),"Yes","No"))</f>
        <v/>
      </c>
      <c r="Z187" s="39" t="str">
        <f aca="false">IFERROR(INDEX('CA Exclusion Map'!$D$2:$D$2001,MATCH($C187,'CA Exclusion Map'!$A$2:$A$2001,0)),"")</f>
        <v/>
      </c>
      <c r="AA187" s="40" t="str">
        <f aca="false">IFERROR(INDEX('CA Exclusion Map'!$E$2:$E$2001,MATCH($C187,'CA Exclusion Map'!$A$2:$A$2001,0)),"")</f>
        <v/>
      </c>
      <c r="AB187" s="40" t="str">
        <f aca="false">IFERROR(INDEX('CA Exclusion Map'!$F$2:$F$2001,MATCH($C187,'CA Exclusion Map'!$A$2:$A$2001,0)),"")</f>
        <v/>
      </c>
      <c r="AC187" s="36"/>
      <c r="AD187" s="37"/>
      <c r="AE187" s="38"/>
      <c r="AF187" s="38"/>
      <c r="AG187" s="39" t="str">
        <f aca="true">IF(Y187="","",IF(Y187&lt;&gt;"Yes","N/A",IF(AF187="","NO EXPIRY SET",IF(TODAY()&gt;AF187,"EXPIRED",IF(AF187-TODAY()&lt;=30,"Expiring Soon","Active")))))</f>
        <v/>
      </c>
      <c r="AH187" s="36"/>
      <c r="AI187" s="36"/>
      <c r="AJ187" s="37"/>
      <c r="AK187" s="36"/>
      <c r="AL187" s="37"/>
      <c r="AM187" s="37"/>
      <c r="AN187" s="37"/>
      <c r="AO187" s="37"/>
      <c r="AP187" s="38"/>
      <c r="AQ187" s="37"/>
      <c r="AR187" s="37"/>
      <c r="AS187" s="41" t="str">
        <f aca="false">IF(AP187="","",AP187+90)</f>
        <v/>
      </c>
      <c r="AT187" s="39" t="str">
        <f aca="true">IF(C187="","",IF(AP187="","NOT REVIEWED",IF(TODAY()&gt;AS187,"OVERDUE",IF(AS187-TODAY()&lt;=14,"Due Soon","Current"))))</f>
        <v/>
      </c>
      <c r="AU187" s="36"/>
    </row>
    <row r="188" customFormat="false" ht="15" hidden="false" customHeight="false" outlineLevel="0" collapsed="false">
      <c r="A188" s="36"/>
      <c r="B188" s="36"/>
      <c r="C188" s="36"/>
      <c r="D188" s="37"/>
      <c r="E188" s="37"/>
      <c r="F188" s="37"/>
      <c r="G188" s="38"/>
      <c r="H188" s="38"/>
      <c r="I188" s="36"/>
      <c r="J188" s="38"/>
      <c r="K188" s="37"/>
      <c r="L188" s="36"/>
      <c r="M188" s="37"/>
      <c r="N188" s="37"/>
      <c r="O188" s="37"/>
      <c r="P188" s="37"/>
      <c r="Q188" s="36"/>
      <c r="R188" s="39" t="str">
        <f aca="true">IF(H188="","",TODAY()-H188)</f>
        <v/>
      </c>
      <c r="S188" s="39" t="str">
        <f aca="true">IF(J188="","",J188-TODAY())</f>
        <v/>
      </c>
      <c r="T188" s="37"/>
      <c r="U188" s="37"/>
      <c r="V188" s="40" t="str">
        <f aca="false">IFERROR(INDEX('Azure Resource Map'!$D$2:$D$2001,MATCH($C188,'Azure Resource Map'!$A$2:$A$2001,0)),"")</f>
        <v/>
      </c>
      <c r="W188" s="39" t="str">
        <f aca="false">IFERROR(INDEX('Azure Resource Map'!$E$2:$E$2001,MATCH($C188,'Azure Resource Map'!$A$2:$A$2001,0)),"")</f>
        <v/>
      </c>
      <c r="X188" s="39" t="str">
        <f aca="false">IFERROR(INDEX('Azure Resource Map'!$F$2:$F$2001,MATCH($C188,'Azure Resource Map'!$A$2:$A$2001,0)),"")</f>
        <v/>
      </c>
      <c r="Y188" s="39" t="str">
        <f aca="false">IF($C188="","",IF(ISNUMBER(MATCH($C188,'CA Exclusion Map'!$A$2:$A$2001,0)),"Yes","No"))</f>
        <v/>
      </c>
      <c r="Z188" s="39" t="str">
        <f aca="false">IFERROR(INDEX('CA Exclusion Map'!$D$2:$D$2001,MATCH($C188,'CA Exclusion Map'!$A$2:$A$2001,0)),"")</f>
        <v/>
      </c>
      <c r="AA188" s="40" t="str">
        <f aca="false">IFERROR(INDEX('CA Exclusion Map'!$E$2:$E$2001,MATCH($C188,'CA Exclusion Map'!$A$2:$A$2001,0)),"")</f>
        <v/>
      </c>
      <c r="AB188" s="40" t="str">
        <f aca="false">IFERROR(INDEX('CA Exclusion Map'!$F$2:$F$2001,MATCH($C188,'CA Exclusion Map'!$A$2:$A$2001,0)),"")</f>
        <v/>
      </c>
      <c r="AC188" s="36"/>
      <c r="AD188" s="37"/>
      <c r="AE188" s="38"/>
      <c r="AF188" s="38"/>
      <c r="AG188" s="39" t="str">
        <f aca="true">IF(Y188="","",IF(Y188&lt;&gt;"Yes","N/A",IF(AF188="","NO EXPIRY SET",IF(TODAY()&gt;AF188,"EXPIRED",IF(AF188-TODAY()&lt;=30,"Expiring Soon","Active")))))</f>
        <v/>
      </c>
      <c r="AH188" s="36"/>
      <c r="AI188" s="36"/>
      <c r="AJ188" s="37"/>
      <c r="AK188" s="36"/>
      <c r="AL188" s="37"/>
      <c r="AM188" s="37"/>
      <c r="AN188" s="37"/>
      <c r="AO188" s="37"/>
      <c r="AP188" s="38"/>
      <c r="AQ188" s="37"/>
      <c r="AR188" s="37"/>
      <c r="AS188" s="41" t="str">
        <f aca="false">IF(AP188="","",AP188+90)</f>
        <v/>
      </c>
      <c r="AT188" s="39" t="str">
        <f aca="true">IF(C188="","",IF(AP188="","NOT REVIEWED",IF(TODAY()&gt;AS188,"OVERDUE",IF(AS188-TODAY()&lt;=14,"Due Soon","Current"))))</f>
        <v/>
      </c>
      <c r="AU188" s="36"/>
    </row>
    <row r="189" customFormat="false" ht="15" hidden="false" customHeight="false" outlineLevel="0" collapsed="false">
      <c r="A189" s="36"/>
      <c r="B189" s="36"/>
      <c r="C189" s="36"/>
      <c r="D189" s="37"/>
      <c r="E189" s="37"/>
      <c r="F189" s="37"/>
      <c r="G189" s="38"/>
      <c r="H189" s="38"/>
      <c r="I189" s="36"/>
      <c r="J189" s="38"/>
      <c r="K189" s="37"/>
      <c r="L189" s="36"/>
      <c r="M189" s="37"/>
      <c r="N189" s="37"/>
      <c r="O189" s="37"/>
      <c r="P189" s="37"/>
      <c r="Q189" s="36"/>
      <c r="R189" s="39" t="str">
        <f aca="true">IF(H189="","",TODAY()-H189)</f>
        <v/>
      </c>
      <c r="S189" s="39" t="str">
        <f aca="true">IF(J189="","",J189-TODAY())</f>
        <v/>
      </c>
      <c r="T189" s="37"/>
      <c r="U189" s="37"/>
      <c r="V189" s="40" t="str">
        <f aca="false">IFERROR(INDEX('Azure Resource Map'!$D$2:$D$2001,MATCH($C189,'Azure Resource Map'!$A$2:$A$2001,0)),"")</f>
        <v/>
      </c>
      <c r="W189" s="39" t="str">
        <f aca="false">IFERROR(INDEX('Azure Resource Map'!$E$2:$E$2001,MATCH($C189,'Azure Resource Map'!$A$2:$A$2001,0)),"")</f>
        <v/>
      </c>
      <c r="X189" s="39" t="str">
        <f aca="false">IFERROR(INDEX('Azure Resource Map'!$F$2:$F$2001,MATCH($C189,'Azure Resource Map'!$A$2:$A$2001,0)),"")</f>
        <v/>
      </c>
      <c r="Y189" s="39" t="str">
        <f aca="false">IF($C189="","",IF(ISNUMBER(MATCH($C189,'CA Exclusion Map'!$A$2:$A$2001,0)),"Yes","No"))</f>
        <v/>
      </c>
      <c r="Z189" s="39" t="str">
        <f aca="false">IFERROR(INDEX('CA Exclusion Map'!$D$2:$D$2001,MATCH($C189,'CA Exclusion Map'!$A$2:$A$2001,0)),"")</f>
        <v/>
      </c>
      <c r="AA189" s="40" t="str">
        <f aca="false">IFERROR(INDEX('CA Exclusion Map'!$E$2:$E$2001,MATCH($C189,'CA Exclusion Map'!$A$2:$A$2001,0)),"")</f>
        <v/>
      </c>
      <c r="AB189" s="40" t="str">
        <f aca="false">IFERROR(INDEX('CA Exclusion Map'!$F$2:$F$2001,MATCH($C189,'CA Exclusion Map'!$A$2:$A$2001,0)),"")</f>
        <v/>
      </c>
      <c r="AC189" s="36"/>
      <c r="AD189" s="37"/>
      <c r="AE189" s="38"/>
      <c r="AF189" s="38"/>
      <c r="AG189" s="39" t="str">
        <f aca="true">IF(Y189="","",IF(Y189&lt;&gt;"Yes","N/A",IF(AF189="","NO EXPIRY SET",IF(TODAY()&gt;AF189,"EXPIRED",IF(AF189-TODAY()&lt;=30,"Expiring Soon","Active")))))</f>
        <v/>
      </c>
      <c r="AH189" s="36"/>
      <c r="AI189" s="36"/>
      <c r="AJ189" s="37"/>
      <c r="AK189" s="36"/>
      <c r="AL189" s="37"/>
      <c r="AM189" s="37"/>
      <c r="AN189" s="37"/>
      <c r="AO189" s="37"/>
      <c r="AP189" s="38"/>
      <c r="AQ189" s="37"/>
      <c r="AR189" s="37"/>
      <c r="AS189" s="41" t="str">
        <f aca="false">IF(AP189="","",AP189+90)</f>
        <v/>
      </c>
      <c r="AT189" s="39" t="str">
        <f aca="true">IF(C189="","",IF(AP189="","NOT REVIEWED",IF(TODAY()&gt;AS189,"OVERDUE",IF(AS189-TODAY()&lt;=14,"Due Soon","Current"))))</f>
        <v/>
      </c>
      <c r="AU189" s="36"/>
    </row>
    <row r="190" customFormat="false" ht="15" hidden="false" customHeight="false" outlineLevel="0" collapsed="false">
      <c r="A190" s="36"/>
      <c r="B190" s="36"/>
      <c r="C190" s="36"/>
      <c r="D190" s="37"/>
      <c r="E190" s="37"/>
      <c r="F190" s="37"/>
      <c r="G190" s="38"/>
      <c r="H190" s="38"/>
      <c r="I190" s="36"/>
      <c r="J190" s="38"/>
      <c r="K190" s="37"/>
      <c r="L190" s="36"/>
      <c r="M190" s="37"/>
      <c r="N190" s="37"/>
      <c r="O190" s="37"/>
      <c r="P190" s="37"/>
      <c r="Q190" s="36"/>
      <c r="R190" s="39" t="str">
        <f aca="true">IF(H190="","",TODAY()-H190)</f>
        <v/>
      </c>
      <c r="S190" s="39" t="str">
        <f aca="true">IF(J190="","",J190-TODAY())</f>
        <v/>
      </c>
      <c r="T190" s="37"/>
      <c r="U190" s="37"/>
      <c r="V190" s="40" t="str">
        <f aca="false">IFERROR(INDEX('Azure Resource Map'!$D$2:$D$2001,MATCH($C190,'Azure Resource Map'!$A$2:$A$2001,0)),"")</f>
        <v/>
      </c>
      <c r="W190" s="39" t="str">
        <f aca="false">IFERROR(INDEX('Azure Resource Map'!$E$2:$E$2001,MATCH($C190,'Azure Resource Map'!$A$2:$A$2001,0)),"")</f>
        <v/>
      </c>
      <c r="X190" s="39" t="str">
        <f aca="false">IFERROR(INDEX('Azure Resource Map'!$F$2:$F$2001,MATCH($C190,'Azure Resource Map'!$A$2:$A$2001,0)),"")</f>
        <v/>
      </c>
      <c r="Y190" s="39" t="str">
        <f aca="false">IF($C190="","",IF(ISNUMBER(MATCH($C190,'CA Exclusion Map'!$A$2:$A$2001,0)),"Yes","No"))</f>
        <v/>
      </c>
      <c r="Z190" s="39" t="str">
        <f aca="false">IFERROR(INDEX('CA Exclusion Map'!$D$2:$D$2001,MATCH($C190,'CA Exclusion Map'!$A$2:$A$2001,0)),"")</f>
        <v/>
      </c>
      <c r="AA190" s="40" t="str">
        <f aca="false">IFERROR(INDEX('CA Exclusion Map'!$E$2:$E$2001,MATCH($C190,'CA Exclusion Map'!$A$2:$A$2001,0)),"")</f>
        <v/>
      </c>
      <c r="AB190" s="40" t="str">
        <f aca="false">IFERROR(INDEX('CA Exclusion Map'!$F$2:$F$2001,MATCH($C190,'CA Exclusion Map'!$A$2:$A$2001,0)),"")</f>
        <v/>
      </c>
      <c r="AC190" s="36"/>
      <c r="AD190" s="37"/>
      <c r="AE190" s="38"/>
      <c r="AF190" s="38"/>
      <c r="AG190" s="39" t="str">
        <f aca="true">IF(Y190="","",IF(Y190&lt;&gt;"Yes","N/A",IF(AF190="","NO EXPIRY SET",IF(TODAY()&gt;AF190,"EXPIRED",IF(AF190-TODAY()&lt;=30,"Expiring Soon","Active")))))</f>
        <v/>
      </c>
      <c r="AH190" s="36"/>
      <c r="AI190" s="36"/>
      <c r="AJ190" s="37"/>
      <c r="AK190" s="36"/>
      <c r="AL190" s="37"/>
      <c r="AM190" s="37"/>
      <c r="AN190" s="37"/>
      <c r="AO190" s="37"/>
      <c r="AP190" s="38"/>
      <c r="AQ190" s="37"/>
      <c r="AR190" s="37"/>
      <c r="AS190" s="41" t="str">
        <f aca="false">IF(AP190="","",AP190+90)</f>
        <v/>
      </c>
      <c r="AT190" s="39" t="str">
        <f aca="true">IF(C190="","",IF(AP190="","NOT REVIEWED",IF(TODAY()&gt;AS190,"OVERDUE",IF(AS190-TODAY()&lt;=14,"Due Soon","Current"))))</f>
        <v/>
      </c>
      <c r="AU190" s="36"/>
    </row>
    <row r="191" customFormat="false" ht="15" hidden="false" customHeight="false" outlineLevel="0" collapsed="false">
      <c r="A191" s="36"/>
      <c r="B191" s="36"/>
      <c r="C191" s="36"/>
      <c r="D191" s="37"/>
      <c r="E191" s="37"/>
      <c r="F191" s="37"/>
      <c r="G191" s="38"/>
      <c r="H191" s="38"/>
      <c r="I191" s="36"/>
      <c r="J191" s="38"/>
      <c r="K191" s="37"/>
      <c r="L191" s="36"/>
      <c r="M191" s="37"/>
      <c r="N191" s="37"/>
      <c r="O191" s="37"/>
      <c r="P191" s="37"/>
      <c r="Q191" s="36"/>
      <c r="R191" s="39" t="str">
        <f aca="true">IF(H191="","",TODAY()-H191)</f>
        <v/>
      </c>
      <c r="S191" s="39" t="str">
        <f aca="true">IF(J191="","",J191-TODAY())</f>
        <v/>
      </c>
      <c r="T191" s="37"/>
      <c r="U191" s="37"/>
      <c r="V191" s="40" t="str">
        <f aca="false">IFERROR(INDEX('Azure Resource Map'!$D$2:$D$2001,MATCH($C191,'Azure Resource Map'!$A$2:$A$2001,0)),"")</f>
        <v/>
      </c>
      <c r="W191" s="39" t="str">
        <f aca="false">IFERROR(INDEX('Azure Resource Map'!$E$2:$E$2001,MATCH($C191,'Azure Resource Map'!$A$2:$A$2001,0)),"")</f>
        <v/>
      </c>
      <c r="X191" s="39" t="str">
        <f aca="false">IFERROR(INDEX('Azure Resource Map'!$F$2:$F$2001,MATCH($C191,'Azure Resource Map'!$A$2:$A$2001,0)),"")</f>
        <v/>
      </c>
      <c r="Y191" s="39" t="str">
        <f aca="false">IF($C191="","",IF(ISNUMBER(MATCH($C191,'CA Exclusion Map'!$A$2:$A$2001,0)),"Yes","No"))</f>
        <v/>
      </c>
      <c r="Z191" s="39" t="str">
        <f aca="false">IFERROR(INDEX('CA Exclusion Map'!$D$2:$D$2001,MATCH($C191,'CA Exclusion Map'!$A$2:$A$2001,0)),"")</f>
        <v/>
      </c>
      <c r="AA191" s="40" t="str">
        <f aca="false">IFERROR(INDEX('CA Exclusion Map'!$E$2:$E$2001,MATCH($C191,'CA Exclusion Map'!$A$2:$A$2001,0)),"")</f>
        <v/>
      </c>
      <c r="AB191" s="40" t="str">
        <f aca="false">IFERROR(INDEX('CA Exclusion Map'!$F$2:$F$2001,MATCH($C191,'CA Exclusion Map'!$A$2:$A$2001,0)),"")</f>
        <v/>
      </c>
      <c r="AC191" s="36"/>
      <c r="AD191" s="37"/>
      <c r="AE191" s="38"/>
      <c r="AF191" s="38"/>
      <c r="AG191" s="39" t="str">
        <f aca="true">IF(Y191="","",IF(Y191&lt;&gt;"Yes","N/A",IF(AF191="","NO EXPIRY SET",IF(TODAY()&gt;AF191,"EXPIRED",IF(AF191-TODAY()&lt;=30,"Expiring Soon","Active")))))</f>
        <v/>
      </c>
      <c r="AH191" s="36"/>
      <c r="AI191" s="36"/>
      <c r="AJ191" s="37"/>
      <c r="AK191" s="36"/>
      <c r="AL191" s="37"/>
      <c r="AM191" s="37"/>
      <c r="AN191" s="37"/>
      <c r="AO191" s="37"/>
      <c r="AP191" s="38"/>
      <c r="AQ191" s="37"/>
      <c r="AR191" s="37"/>
      <c r="AS191" s="41" t="str">
        <f aca="false">IF(AP191="","",AP191+90)</f>
        <v/>
      </c>
      <c r="AT191" s="39" t="str">
        <f aca="true">IF(C191="","",IF(AP191="","NOT REVIEWED",IF(TODAY()&gt;AS191,"OVERDUE",IF(AS191-TODAY()&lt;=14,"Due Soon","Current"))))</f>
        <v/>
      </c>
      <c r="AU191" s="36"/>
    </row>
    <row r="192" customFormat="false" ht="15" hidden="false" customHeight="false" outlineLevel="0" collapsed="false">
      <c r="A192" s="36"/>
      <c r="B192" s="36"/>
      <c r="C192" s="36"/>
      <c r="D192" s="37"/>
      <c r="E192" s="37"/>
      <c r="F192" s="37"/>
      <c r="G192" s="38"/>
      <c r="H192" s="38"/>
      <c r="I192" s="36"/>
      <c r="J192" s="38"/>
      <c r="K192" s="37"/>
      <c r="L192" s="36"/>
      <c r="M192" s="37"/>
      <c r="N192" s="37"/>
      <c r="O192" s="37"/>
      <c r="P192" s="37"/>
      <c r="Q192" s="36"/>
      <c r="R192" s="39" t="str">
        <f aca="true">IF(H192="","",TODAY()-H192)</f>
        <v/>
      </c>
      <c r="S192" s="39" t="str">
        <f aca="true">IF(J192="","",J192-TODAY())</f>
        <v/>
      </c>
      <c r="T192" s="37"/>
      <c r="U192" s="37"/>
      <c r="V192" s="40" t="str">
        <f aca="false">IFERROR(INDEX('Azure Resource Map'!$D$2:$D$2001,MATCH($C192,'Azure Resource Map'!$A$2:$A$2001,0)),"")</f>
        <v/>
      </c>
      <c r="W192" s="39" t="str">
        <f aca="false">IFERROR(INDEX('Azure Resource Map'!$E$2:$E$2001,MATCH($C192,'Azure Resource Map'!$A$2:$A$2001,0)),"")</f>
        <v/>
      </c>
      <c r="X192" s="39" t="str">
        <f aca="false">IFERROR(INDEX('Azure Resource Map'!$F$2:$F$2001,MATCH($C192,'Azure Resource Map'!$A$2:$A$2001,0)),"")</f>
        <v/>
      </c>
      <c r="Y192" s="39" t="str">
        <f aca="false">IF($C192="","",IF(ISNUMBER(MATCH($C192,'CA Exclusion Map'!$A$2:$A$2001,0)),"Yes","No"))</f>
        <v/>
      </c>
      <c r="Z192" s="39" t="str">
        <f aca="false">IFERROR(INDEX('CA Exclusion Map'!$D$2:$D$2001,MATCH($C192,'CA Exclusion Map'!$A$2:$A$2001,0)),"")</f>
        <v/>
      </c>
      <c r="AA192" s="40" t="str">
        <f aca="false">IFERROR(INDEX('CA Exclusion Map'!$E$2:$E$2001,MATCH($C192,'CA Exclusion Map'!$A$2:$A$2001,0)),"")</f>
        <v/>
      </c>
      <c r="AB192" s="40" t="str">
        <f aca="false">IFERROR(INDEX('CA Exclusion Map'!$F$2:$F$2001,MATCH($C192,'CA Exclusion Map'!$A$2:$A$2001,0)),"")</f>
        <v/>
      </c>
      <c r="AC192" s="36"/>
      <c r="AD192" s="37"/>
      <c r="AE192" s="38"/>
      <c r="AF192" s="38"/>
      <c r="AG192" s="39" t="str">
        <f aca="true">IF(Y192="","",IF(Y192&lt;&gt;"Yes","N/A",IF(AF192="","NO EXPIRY SET",IF(TODAY()&gt;AF192,"EXPIRED",IF(AF192-TODAY()&lt;=30,"Expiring Soon","Active")))))</f>
        <v/>
      </c>
      <c r="AH192" s="36"/>
      <c r="AI192" s="36"/>
      <c r="AJ192" s="37"/>
      <c r="AK192" s="36"/>
      <c r="AL192" s="37"/>
      <c r="AM192" s="37"/>
      <c r="AN192" s="37"/>
      <c r="AO192" s="37"/>
      <c r="AP192" s="38"/>
      <c r="AQ192" s="37"/>
      <c r="AR192" s="37"/>
      <c r="AS192" s="41" t="str">
        <f aca="false">IF(AP192="","",AP192+90)</f>
        <v/>
      </c>
      <c r="AT192" s="39" t="str">
        <f aca="true">IF(C192="","",IF(AP192="","NOT REVIEWED",IF(TODAY()&gt;AS192,"OVERDUE",IF(AS192-TODAY()&lt;=14,"Due Soon","Current"))))</f>
        <v/>
      </c>
      <c r="AU192" s="36"/>
    </row>
    <row r="193" customFormat="false" ht="15" hidden="false" customHeight="false" outlineLevel="0" collapsed="false">
      <c r="A193" s="36"/>
      <c r="B193" s="36"/>
      <c r="C193" s="36"/>
      <c r="D193" s="37"/>
      <c r="E193" s="37"/>
      <c r="F193" s="37"/>
      <c r="G193" s="38"/>
      <c r="H193" s="38"/>
      <c r="I193" s="36"/>
      <c r="J193" s="38"/>
      <c r="K193" s="37"/>
      <c r="L193" s="36"/>
      <c r="M193" s="37"/>
      <c r="N193" s="37"/>
      <c r="O193" s="37"/>
      <c r="P193" s="37"/>
      <c r="Q193" s="36"/>
      <c r="R193" s="39" t="str">
        <f aca="true">IF(H193="","",TODAY()-H193)</f>
        <v/>
      </c>
      <c r="S193" s="39" t="str">
        <f aca="true">IF(J193="","",J193-TODAY())</f>
        <v/>
      </c>
      <c r="T193" s="37"/>
      <c r="U193" s="37"/>
      <c r="V193" s="40" t="str">
        <f aca="false">IFERROR(INDEX('Azure Resource Map'!$D$2:$D$2001,MATCH($C193,'Azure Resource Map'!$A$2:$A$2001,0)),"")</f>
        <v/>
      </c>
      <c r="W193" s="39" t="str">
        <f aca="false">IFERROR(INDEX('Azure Resource Map'!$E$2:$E$2001,MATCH($C193,'Azure Resource Map'!$A$2:$A$2001,0)),"")</f>
        <v/>
      </c>
      <c r="X193" s="39" t="str">
        <f aca="false">IFERROR(INDEX('Azure Resource Map'!$F$2:$F$2001,MATCH($C193,'Azure Resource Map'!$A$2:$A$2001,0)),"")</f>
        <v/>
      </c>
      <c r="Y193" s="39" t="str">
        <f aca="false">IF($C193="","",IF(ISNUMBER(MATCH($C193,'CA Exclusion Map'!$A$2:$A$2001,0)),"Yes","No"))</f>
        <v/>
      </c>
      <c r="Z193" s="39" t="str">
        <f aca="false">IFERROR(INDEX('CA Exclusion Map'!$D$2:$D$2001,MATCH($C193,'CA Exclusion Map'!$A$2:$A$2001,0)),"")</f>
        <v/>
      </c>
      <c r="AA193" s="40" t="str">
        <f aca="false">IFERROR(INDEX('CA Exclusion Map'!$E$2:$E$2001,MATCH($C193,'CA Exclusion Map'!$A$2:$A$2001,0)),"")</f>
        <v/>
      </c>
      <c r="AB193" s="40" t="str">
        <f aca="false">IFERROR(INDEX('CA Exclusion Map'!$F$2:$F$2001,MATCH($C193,'CA Exclusion Map'!$A$2:$A$2001,0)),"")</f>
        <v/>
      </c>
      <c r="AC193" s="36"/>
      <c r="AD193" s="37"/>
      <c r="AE193" s="38"/>
      <c r="AF193" s="38"/>
      <c r="AG193" s="39" t="str">
        <f aca="true">IF(Y193="","",IF(Y193&lt;&gt;"Yes","N/A",IF(AF193="","NO EXPIRY SET",IF(TODAY()&gt;AF193,"EXPIRED",IF(AF193-TODAY()&lt;=30,"Expiring Soon","Active")))))</f>
        <v/>
      </c>
      <c r="AH193" s="36"/>
      <c r="AI193" s="36"/>
      <c r="AJ193" s="37"/>
      <c r="AK193" s="36"/>
      <c r="AL193" s="37"/>
      <c r="AM193" s="37"/>
      <c r="AN193" s="37"/>
      <c r="AO193" s="37"/>
      <c r="AP193" s="38"/>
      <c r="AQ193" s="37"/>
      <c r="AR193" s="37"/>
      <c r="AS193" s="41" t="str">
        <f aca="false">IF(AP193="","",AP193+90)</f>
        <v/>
      </c>
      <c r="AT193" s="39" t="str">
        <f aca="true">IF(C193="","",IF(AP193="","NOT REVIEWED",IF(TODAY()&gt;AS193,"OVERDUE",IF(AS193-TODAY()&lt;=14,"Due Soon","Current"))))</f>
        <v/>
      </c>
      <c r="AU193" s="36"/>
    </row>
    <row r="194" customFormat="false" ht="15" hidden="false" customHeight="false" outlineLevel="0" collapsed="false">
      <c r="A194" s="36"/>
      <c r="B194" s="36"/>
      <c r="C194" s="36"/>
      <c r="D194" s="37"/>
      <c r="E194" s="37"/>
      <c r="F194" s="37"/>
      <c r="G194" s="38"/>
      <c r="H194" s="38"/>
      <c r="I194" s="36"/>
      <c r="J194" s="38"/>
      <c r="K194" s="37"/>
      <c r="L194" s="36"/>
      <c r="M194" s="37"/>
      <c r="N194" s="37"/>
      <c r="O194" s="37"/>
      <c r="P194" s="37"/>
      <c r="Q194" s="36"/>
      <c r="R194" s="39" t="str">
        <f aca="true">IF(H194="","",TODAY()-H194)</f>
        <v/>
      </c>
      <c r="S194" s="39" t="str">
        <f aca="true">IF(J194="","",J194-TODAY())</f>
        <v/>
      </c>
      <c r="T194" s="37"/>
      <c r="U194" s="37"/>
      <c r="V194" s="40" t="str">
        <f aca="false">IFERROR(INDEX('Azure Resource Map'!$D$2:$D$2001,MATCH($C194,'Azure Resource Map'!$A$2:$A$2001,0)),"")</f>
        <v/>
      </c>
      <c r="W194" s="39" t="str">
        <f aca="false">IFERROR(INDEX('Azure Resource Map'!$E$2:$E$2001,MATCH($C194,'Azure Resource Map'!$A$2:$A$2001,0)),"")</f>
        <v/>
      </c>
      <c r="X194" s="39" t="str">
        <f aca="false">IFERROR(INDEX('Azure Resource Map'!$F$2:$F$2001,MATCH($C194,'Azure Resource Map'!$A$2:$A$2001,0)),"")</f>
        <v/>
      </c>
      <c r="Y194" s="39" t="str">
        <f aca="false">IF($C194="","",IF(ISNUMBER(MATCH($C194,'CA Exclusion Map'!$A$2:$A$2001,0)),"Yes","No"))</f>
        <v/>
      </c>
      <c r="Z194" s="39" t="str">
        <f aca="false">IFERROR(INDEX('CA Exclusion Map'!$D$2:$D$2001,MATCH($C194,'CA Exclusion Map'!$A$2:$A$2001,0)),"")</f>
        <v/>
      </c>
      <c r="AA194" s="40" t="str">
        <f aca="false">IFERROR(INDEX('CA Exclusion Map'!$E$2:$E$2001,MATCH($C194,'CA Exclusion Map'!$A$2:$A$2001,0)),"")</f>
        <v/>
      </c>
      <c r="AB194" s="40" t="str">
        <f aca="false">IFERROR(INDEX('CA Exclusion Map'!$F$2:$F$2001,MATCH($C194,'CA Exclusion Map'!$A$2:$A$2001,0)),"")</f>
        <v/>
      </c>
      <c r="AC194" s="36"/>
      <c r="AD194" s="37"/>
      <c r="AE194" s="38"/>
      <c r="AF194" s="38"/>
      <c r="AG194" s="39" t="str">
        <f aca="true">IF(Y194="","",IF(Y194&lt;&gt;"Yes","N/A",IF(AF194="","NO EXPIRY SET",IF(TODAY()&gt;AF194,"EXPIRED",IF(AF194-TODAY()&lt;=30,"Expiring Soon","Active")))))</f>
        <v/>
      </c>
      <c r="AH194" s="36"/>
      <c r="AI194" s="36"/>
      <c r="AJ194" s="37"/>
      <c r="AK194" s="36"/>
      <c r="AL194" s="37"/>
      <c r="AM194" s="37"/>
      <c r="AN194" s="37"/>
      <c r="AO194" s="37"/>
      <c r="AP194" s="38"/>
      <c r="AQ194" s="37"/>
      <c r="AR194" s="37"/>
      <c r="AS194" s="41" t="str">
        <f aca="false">IF(AP194="","",AP194+90)</f>
        <v/>
      </c>
      <c r="AT194" s="39" t="str">
        <f aca="true">IF(C194="","",IF(AP194="","NOT REVIEWED",IF(TODAY()&gt;AS194,"OVERDUE",IF(AS194-TODAY()&lt;=14,"Due Soon","Current"))))</f>
        <v/>
      </c>
      <c r="AU194" s="36"/>
    </row>
    <row r="195" customFormat="false" ht="15" hidden="false" customHeight="false" outlineLevel="0" collapsed="false">
      <c r="A195" s="36"/>
      <c r="B195" s="36"/>
      <c r="C195" s="36"/>
      <c r="D195" s="37"/>
      <c r="E195" s="37"/>
      <c r="F195" s="37"/>
      <c r="G195" s="38"/>
      <c r="H195" s="38"/>
      <c r="I195" s="36"/>
      <c r="J195" s="38"/>
      <c r="K195" s="37"/>
      <c r="L195" s="36"/>
      <c r="M195" s="37"/>
      <c r="N195" s="37"/>
      <c r="O195" s="37"/>
      <c r="P195" s="37"/>
      <c r="Q195" s="36"/>
      <c r="R195" s="39" t="str">
        <f aca="true">IF(H195="","",TODAY()-H195)</f>
        <v/>
      </c>
      <c r="S195" s="39" t="str">
        <f aca="true">IF(J195="","",J195-TODAY())</f>
        <v/>
      </c>
      <c r="T195" s="37"/>
      <c r="U195" s="37"/>
      <c r="V195" s="40" t="str">
        <f aca="false">IFERROR(INDEX('Azure Resource Map'!$D$2:$D$2001,MATCH($C195,'Azure Resource Map'!$A$2:$A$2001,0)),"")</f>
        <v/>
      </c>
      <c r="W195" s="39" t="str">
        <f aca="false">IFERROR(INDEX('Azure Resource Map'!$E$2:$E$2001,MATCH($C195,'Azure Resource Map'!$A$2:$A$2001,0)),"")</f>
        <v/>
      </c>
      <c r="X195" s="39" t="str">
        <f aca="false">IFERROR(INDEX('Azure Resource Map'!$F$2:$F$2001,MATCH($C195,'Azure Resource Map'!$A$2:$A$2001,0)),"")</f>
        <v/>
      </c>
      <c r="Y195" s="39" t="str">
        <f aca="false">IF($C195="","",IF(ISNUMBER(MATCH($C195,'CA Exclusion Map'!$A$2:$A$2001,0)),"Yes","No"))</f>
        <v/>
      </c>
      <c r="Z195" s="39" t="str">
        <f aca="false">IFERROR(INDEX('CA Exclusion Map'!$D$2:$D$2001,MATCH($C195,'CA Exclusion Map'!$A$2:$A$2001,0)),"")</f>
        <v/>
      </c>
      <c r="AA195" s="40" t="str">
        <f aca="false">IFERROR(INDEX('CA Exclusion Map'!$E$2:$E$2001,MATCH($C195,'CA Exclusion Map'!$A$2:$A$2001,0)),"")</f>
        <v/>
      </c>
      <c r="AB195" s="40" t="str">
        <f aca="false">IFERROR(INDEX('CA Exclusion Map'!$F$2:$F$2001,MATCH($C195,'CA Exclusion Map'!$A$2:$A$2001,0)),"")</f>
        <v/>
      </c>
      <c r="AC195" s="36"/>
      <c r="AD195" s="37"/>
      <c r="AE195" s="38"/>
      <c r="AF195" s="38"/>
      <c r="AG195" s="39" t="str">
        <f aca="true">IF(Y195="","",IF(Y195&lt;&gt;"Yes","N/A",IF(AF195="","NO EXPIRY SET",IF(TODAY()&gt;AF195,"EXPIRED",IF(AF195-TODAY()&lt;=30,"Expiring Soon","Active")))))</f>
        <v/>
      </c>
      <c r="AH195" s="36"/>
      <c r="AI195" s="36"/>
      <c r="AJ195" s="37"/>
      <c r="AK195" s="36"/>
      <c r="AL195" s="37"/>
      <c r="AM195" s="37"/>
      <c r="AN195" s="37"/>
      <c r="AO195" s="37"/>
      <c r="AP195" s="38"/>
      <c r="AQ195" s="37"/>
      <c r="AR195" s="37"/>
      <c r="AS195" s="41" t="str">
        <f aca="false">IF(AP195="","",AP195+90)</f>
        <v/>
      </c>
      <c r="AT195" s="39" t="str">
        <f aca="true">IF(C195="","",IF(AP195="","NOT REVIEWED",IF(TODAY()&gt;AS195,"OVERDUE",IF(AS195-TODAY()&lt;=14,"Due Soon","Current"))))</f>
        <v/>
      </c>
      <c r="AU195" s="36"/>
    </row>
    <row r="196" customFormat="false" ht="15" hidden="false" customHeight="false" outlineLevel="0" collapsed="false">
      <c r="A196" s="36"/>
      <c r="B196" s="36"/>
      <c r="C196" s="36"/>
      <c r="D196" s="37"/>
      <c r="E196" s="37"/>
      <c r="F196" s="37"/>
      <c r="G196" s="38"/>
      <c r="H196" s="38"/>
      <c r="I196" s="36"/>
      <c r="J196" s="38"/>
      <c r="K196" s="37"/>
      <c r="L196" s="36"/>
      <c r="M196" s="37"/>
      <c r="N196" s="37"/>
      <c r="O196" s="37"/>
      <c r="P196" s="37"/>
      <c r="Q196" s="36"/>
      <c r="R196" s="39" t="str">
        <f aca="true">IF(H196="","",TODAY()-H196)</f>
        <v/>
      </c>
      <c r="S196" s="39" t="str">
        <f aca="true">IF(J196="","",J196-TODAY())</f>
        <v/>
      </c>
      <c r="T196" s="37"/>
      <c r="U196" s="37"/>
      <c r="V196" s="40" t="str">
        <f aca="false">IFERROR(INDEX('Azure Resource Map'!$D$2:$D$2001,MATCH($C196,'Azure Resource Map'!$A$2:$A$2001,0)),"")</f>
        <v/>
      </c>
      <c r="W196" s="39" t="str">
        <f aca="false">IFERROR(INDEX('Azure Resource Map'!$E$2:$E$2001,MATCH($C196,'Azure Resource Map'!$A$2:$A$2001,0)),"")</f>
        <v/>
      </c>
      <c r="X196" s="39" t="str">
        <f aca="false">IFERROR(INDEX('Azure Resource Map'!$F$2:$F$2001,MATCH($C196,'Azure Resource Map'!$A$2:$A$2001,0)),"")</f>
        <v/>
      </c>
      <c r="Y196" s="39" t="str">
        <f aca="false">IF($C196="","",IF(ISNUMBER(MATCH($C196,'CA Exclusion Map'!$A$2:$A$2001,0)),"Yes","No"))</f>
        <v/>
      </c>
      <c r="Z196" s="39" t="str">
        <f aca="false">IFERROR(INDEX('CA Exclusion Map'!$D$2:$D$2001,MATCH($C196,'CA Exclusion Map'!$A$2:$A$2001,0)),"")</f>
        <v/>
      </c>
      <c r="AA196" s="40" t="str">
        <f aca="false">IFERROR(INDEX('CA Exclusion Map'!$E$2:$E$2001,MATCH($C196,'CA Exclusion Map'!$A$2:$A$2001,0)),"")</f>
        <v/>
      </c>
      <c r="AB196" s="40" t="str">
        <f aca="false">IFERROR(INDEX('CA Exclusion Map'!$F$2:$F$2001,MATCH($C196,'CA Exclusion Map'!$A$2:$A$2001,0)),"")</f>
        <v/>
      </c>
      <c r="AC196" s="36"/>
      <c r="AD196" s="37"/>
      <c r="AE196" s="38"/>
      <c r="AF196" s="38"/>
      <c r="AG196" s="39" t="str">
        <f aca="true">IF(Y196="","",IF(Y196&lt;&gt;"Yes","N/A",IF(AF196="","NO EXPIRY SET",IF(TODAY()&gt;AF196,"EXPIRED",IF(AF196-TODAY()&lt;=30,"Expiring Soon","Active")))))</f>
        <v/>
      </c>
      <c r="AH196" s="36"/>
      <c r="AI196" s="36"/>
      <c r="AJ196" s="37"/>
      <c r="AK196" s="36"/>
      <c r="AL196" s="37"/>
      <c r="AM196" s="37"/>
      <c r="AN196" s="37"/>
      <c r="AO196" s="37"/>
      <c r="AP196" s="38"/>
      <c r="AQ196" s="37"/>
      <c r="AR196" s="37"/>
      <c r="AS196" s="41" t="str">
        <f aca="false">IF(AP196="","",AP196+90)</f>
        <v/>
      </c>
      <c r="AT196" s="39" t="str">
        <f aca="true">IF(C196="","",IF(AP196="","NOT REVIEWED",IF(TODAY()&gt;AS196,"OVERDUE",IF(AS196-TODAY()&lt;=14,"Due Soon","Current"))))</f>
        <v/>
      </c>
      <c r="AU196" s="36"/>
    </row>
    <row r="197" customFormat="false" ht="15" hidden="false" customHeight="false" outlineLevel="0" collapsed="false">
      <c r="A197" s="36"/>
      <c r="B197" s="36"/>
      <c r="C197" s="36"/>
      <c r="D197" s="37"/>
      <c r="E197" s="37"/>
      <c r="F197" s="37"/>
      <c r="G197" s="38"/>
      <c r="H197" s="38"/>
      <c r="I197" s="36"/>
      <c r="J197" s="38"/>
      <c r="K197" s="37"/>
      <c r="L197" s="36"/>
      <c r="M197" s="37"/>
      <c r="N197" s="37"/>
      <c r="O197" s="37"/>
      <c r="P197" s="37"/>
      <c r="Q197" s="36"/>
      <c r="R197" s="39" t="str">
        <f aca="true">IF(H197="","",TODAY()-H197)</f>
        <v/>
      </c>
      <c r="S197" s="39" t="str">
        <f aca="true">IF(J197="","",J197-TODAY())</f>
        <v/>
      </c>
      <c r="T197" s="37"/>
      <c r="U197" s="37"/>
      <c r="V197" s="40" t="str">
        <f aca="false">IFERROR(INDEX('Azure Resource Map'!$D$2:$D$2001,MATCH($C197,'Azure Resource Map'!$A$2:$A$2001,0)),"")</f>
        <v/>
      </c>
      <c r="W197" s="39" t="str">
        <f aca="false">IFERROR(INDEX('Azure Resource Map'!$E$2:$E$2001,MATCH($C197,'Azure Resource Map'!$A$2:$A$2001,0)),"")</f>
        <v/>
      </c>
      <c r="X197" s="39" t="str">
        <f aca="false">IFERROR(INDEX('Azure Resource Map'!$F$2:$F$2001,MATCH($C197,'Azure Resource Map'!$A$2:$A$2001,0)),"")</f>
        <v/>
      </c>
      <c r="Y197" s="39" t="str">
        <f aca="false">IF($C197="","",IF(ISNUMBER(MATCH($C197,'CA Exclusion Map'!$A$2:$A$2001,0)),"Yes","No"))</f>
        <v/>
      </c>
      <c r="Z197" s="39" t="str">
        <f aca="false">IFERROR(INDEX('CA Exclusion Map'!$D$2:$D$2001,MATCH($C197,'CA Exclusion Map'!$A$2:$A$2001,0)),"")</f>
        <v/>
      </c>
      <c r="AA197" s="40" t="str">
        <f aca="false">IFERROR(INDEX('CA Exclusion Map'!$E$2:$E$2001,MATCH($C197,'CA Exclusion Map'!$A$2:$A$2001,0)),"")</f>
        <v/>
      </c>
      <c r="AB197" s="40" t="str">
        <f aca="false">IFERROR(INDEX('CA Exclusion Map'!$F$2:$F$2001,MATCH($C197,'CA Exclusion Map'!$A$2:$A$2001,0)),"")</f>
        <v/>
      </c>
      <c r="AC197" s="36"/>
      <c r="AD197" s="37"/>
      <c r="AE197" s="38"/>
      <c r="AF197" s="38"/>
      <c r="AG197" s="39" t="str">
        <f aca="true">IF(Y197="","",IF(Y197&lt;&gt;"Yes","N/A",IF(AF197="","NO EXPIRY SET",IF(TODAY()&gt;AF197,"EXPIRED",IF(AF197-TODAY()&lt;=30,"Expiring Soon","Active")))))</f>
        <v/>
      </c>
      <c r="AH197" s="36"/>
      <c r="AI197" s="36"/>
      <c r="AJ197" s="37"/>
      <c r="AK197" s="36"/>
      <c r="AL197" s="37"/>
      <c r="AM197" s="37"/>
      <c r="AN197" s="37"/>
      <c r="AO197" s="37"/>
      <c r="AP197" s="38"/>
      <c r="AQ197" s="37"/>
      <c r="AR197" s="37"/>
      <c r="AS197" s="41" t="str">
        <f aca="false">IF(AP197="","",AP197+90)</f>
        <v/>
      </c>
      <c r="AT197" s="39" t="str">
        <f aca="true">IF(C197="","",IF(AP197="","NOT REVIEWED",IF(TODAY()&gt;AS197,"OVERDUE",IF(AS197-TODAY()&lt;=14,"Due Soon","Current"))))</f>
        <v/>
      </c>
      <c r="AU197" s="36"/>
    </row>
    <row r="198" customFormat="false" ht="15" hidden="false" customHeight="false" outlineLevel="0" collapsed="false">
      <c r="A198" s="36"/>
      <c r="B198" s="36"/>
      <c r="C198" s="36"/>
      <c r="D198" s="37"/>
      <c r="E198" s="37"/>
      <c r="F198" s="37"/>
      <c r="G198" s="38"/>
      <c r="H198" s="38"/>
      <c r="I198" s="36"/>
      <c r="J198" s="38"/>
      <c r="K198" s="37"/>
      <c r="L198" s="36"/>
      <c r="M198" s="37"/>
      <c r="N198" s="37"/>
      <c r="O198" s="37"/>
      <c r="P198" s="37"/>
      <c r="Q198" s="36"/>
      <c r="R198" s="39" t="str">
        <f aca="true">IF(H198="","",TODAY()-H198)</f>
        <v/>
      </c>
      <c r="S198" s="39" t="str">
        <f aca="true">IF(J198="","",J198-TODAY())</f>
        <v/>
      </c>
      <c r="T198" s="37"/>
      <c r="U198" s="37"/>
      <c r="V198" s="40" t="str">
        <f aca="false">IFERROR(INDEX('Azure Resource Map'!$D$2:$D$2001,MATCH($C198,'Azure Resource Map'!$A$2:$A$2001,0)),"")</f>
        <v/>
      </c>
      <c r="W198" s="39" t="str">
        <f aca="false">IFERROR(INDEX('Azure Resource Map'!$E$2:$E$2001,MATCH($C198,'Azure Resource Map'!$A$2:$A$2001,0)),"")</f>
        <v/>
      </c>
      <c r="X198" s="39" t="str">
        <f aca="false">IFERROR(INDEX('Azure Resource Map'!$F$2:$F$2001,MATCH($C198,'Azure Resource Map'!$A$2:$A$2001,0)),"")</f>
        <v/>
      </c>
      <c r="Y198" s="39" t="str">
        <f aca="false">IF($C198="","",IF(ISNUMBER(MATCH($C198,'CA Exclusion Map'!$A$2:$A$2001,0)),"Yes","No"))</f>
        <v/>
      </c>
      <c r="Z198" s="39" t="str">
        <f aca="false">IFERROR(INDEX('CA Exclusion Map'!$D$2:$D$2001,MATCH($C198,'CA Exclusion Map'!$A$2:$A$2001,0)),"")</f>
        <v/>
      </c>
      <c r="AA198" s="40" t="str">
        <f aca="false">IFERROR(INDEX('CA Exclusion Map'!$E$2:$E$2001,MATCH($C198,'CA Exclusion Map'!$A$2:$A$2001,0)),"")</f>
        <v/>
      </c>
      <c r="AB198" s="40" t="str">
        <f aca="false">IFERROR(INDEX('CA Exclusion Map'!$F$2:$F$2001,MATCH($C198,'CA Exclusion Map'!$A$2:$A$2001,0)),"")</f>
        <v/>
      </c>
      <c r="AC198" s="36"/>
      <c r="AD198" s="37"/>
      <c r="AE198" s="38"/>
      <c r="AF198" s="38"/>
      <c r="AG198" s="39" t="str">
        <f aca="true">IF(Y198="","",IF(Y198&lt;&gt;"Yes","N/A",IF(AF198="","NO EXPIRY SET",IF(TODAY()&gt;AF198,"EXPIRED",IF(AF198-TODAY()&lt;=30,"Expiring Soon","Active")))))</f>
        <v/>
      </c>
      <c r="AH198" s="36"/>
      <c r="AI198" s="36"/>
      <c r="AJ198" s="37"/>
      <c r="AK198" s="36"/>
      <c r="AL198" s="37"/>
      <c r="AM198" s="37"/>
      <c r="AN198" s="37"/>
      <c r="AO198" s="37"/>
      <c r="AP198" s="38"/>
      <c r="AQ198" s="37"/>
      <c r="AR198" s="37"/>
      <c r="AS198" s="41" t="str">
        <f aca="false">IF(AP198="","",AP198+90)</f>
        <v/>
      </c>
      <c r="AT198" s="39" t="str">
        <f aca="true">IF(C198="","",IF(AP198="","NOT REVIEWED",IF(TODAY()&gt;AS198,"OVERDUE",IF(AS198-TODAY()&lt;=14,"Due Soon","Current"))))</f>
        <v/>
      </c>
      <c r="AU198" s="36"/>
    </row>
    <row r="199" customFormat="false" ht="15" hidden="false" customHeight="false" outlineLevel="0" collapsed="false">
      <c r="A199" s="36"/>
      <c r="B199" s="36"/>
      <c r="C199" s="36"/>
      <c r="D199" s="37"/>
      <c r="E199" s="37"/>
      <c r="F199" s="37"/>
      <c r="G199" s="38"/>
      <c r="H199" s="38"/>
      <c r="I199" s="36"/>
      <c r="J199" s="38"/>
      <c r="K199" s="37"/>
      <c r="L199" s="36"/>
      <c r="M199" s="37"/>
      <c r="N199" s="37"/>
      <c r="O199" s="37"/>
      <c r="P199" s="37"/>
      <c r="Q199" s="36"/>
      <c r="R199" s="39" t="str">
        <f aca="true">IF(H199="","",TODAY()-H199)</f>
        <v/>
      </c>
      <c r="S199" s="39" t="str">
        <f aca="true">IF(J199="","",J199-TODAY())</f>
        <v/>
      </c>
      <c r="T199" s="37"/>
      <c r="U199" s="37"/>
      <c r="V199" s="40" t="str">
        <f aca="false">IFERROR(INDEX('Azure Resource Map'!$D$2:$D$2001,MATCH($C199,'Azure Resource Map'!$A$2:$A$2001,0)),"")</f>
        <v/>
      </c>
      <c r="W199" s="39" t="str">
        <f aca="false">IFERROR(INDEX('Azure Resource Map'!$E$2:$E$2001,MATCH($C199,'Azure Resource Map'!$A$2:$A$2001,0)),"")</f>
        <v/>
      </c>
      <c r="X199" s="39" t="str">
        <f aca="false">IFERROR(INDEX('Azure Resource Map'!$F$2:$F$2001,MATCH($C199,'Azure Resource Map'!$A$2:$A$2001,0)),"")</f>
        <v/>
      </c>
      <c r="Y199" s="39" t="str">
        <f aca="false">IF($C199="","",IF(ISNUMBER(MATCH($C199,'CA Exclusion Map'!$A$2:$A$2001,0)),"Yes","No"))</f>
        <v/>
      </c>
      <c r="Z199" s="39" t="str">
        <f aca="false">IFERROR(INDEX('CA Exclusion Map'!$D$2:$D$2001,MATCH($C199,'CA Exclusion Map'!$A$2:$A$2001,0)),"")</f>
        <v/>
      </c>
      <c r="AA199" s="40" t="str">
        <f aca="false">IFERROR(INDEX('CA Exclusion Map'!$E$2:$E$2001,MATCH($C199,'CA Exclusion Map'!$A$2:$A$2001,0)),"")</f>
        <v/>
      </c>
      <c r="AB199" s="40" t="str">
        <f aca="false">IFERROR(INDEX('CA Exclusion Map'!$F$2:$F$2001,MATCH($C199,'CA Exclusion Map'!$A$2:$A$2001,0)),"")</f>
        <v/>
      </c>
      <c r="AC199" s="36"/>
      <c r="AD199" s="37"/>
      <c r="AE199" s="38"/>
      <c r="AF199" s="38"/>
      <c r="AG199" s="39" t="str">
        <f aca="true">IF(Y199="","",IF(Y199&lt;&gt;"Yes","N/A",IF(AF199="","NO EXPIRY SET",IF(TODAY()&gt;AF199,"EXPIRED",IF(AF199-TODAY()&lt;=30,"Expiring Soon","Active")))))</f>
        <v/>
      </c>
      <c r="AH199" s="36"/>
      <c r="AI199" s="36"/>
      <c r="AJ199" s="37"/>
      <c r="AK199" s="36"/>
      <c r="AL199" s="37"/>
      <c r="AM199" s="37"/>
      <c r="AN199" s="37"/>
      <c r="AO199" s="37"/>
      <c r="AP199" s="38"/>
      <c r="AQ199" s="37"/>
      <c r="AR199" s="37"/>
      <c r="AS199" s="41" t="str">
        <f aca="false">IF(AP199="","",AP199+90)</f>
        <v/>
      </c>
      <c r="AT199" s="39" t="str">
        <f aca="true">IF(C199="","",IF(AP199="","NOT REVIEWED",IF(TODAY()&gt;AS199,"OVERDUE",IF(AS199-TODAY()&lt;=14,"Due Soon","Current"))))</f>
        <v/>
      </c>
      <c r="AU199" s="36"/>
    </row>
    <row r="200" customFormat="false" ht="15" hidden="false" customHeight="false" outlineLevel="0" collapsed="false">
      <c r="A200" s="36"/>
      <c r="B200" s="36"/>
      <c r="C200" s="36"/>
      <c r="D200" s="37"/>
      <c r="E200" s="37"/>
      <c r="F200" s="37"/>
      <c r="G200" s="38"/>
      <c r="H200" s="38"/>
      <c r="I200" s="36"/>
      <c r="J200" s="38"/>
      <c r="K200" s="37"/>
      <c r="L200" s="36"/>
      <c r="M200" s="37"/>
      <c r="N200" s="37"/>
      <c r="O200" s="37"/>
      <c r="P200" s="37"/>
      <c r="Q200" s="36"/>
      <c r="R200" s="39" t="str">
        <f aca="true">IF(H200="","",TODAY()-H200)</f>
        <v/>
      </c>
      <c r="S200" s="39" t="str">
        <f aca="true">IF(J200="","",J200-TODAY())</f>
        <v/>
      </c>
      <c r="T200" s="37"/>
      <c r="U200" s="37"/>
      <c r="V200" s="40" t="str">
        <f aca="false">IFERROR(INDEX('Azure Resource Map'!$D$2:$D$2001,MATCH($C200,'Azure Resource Map'!$A$2:$A$2001,0)),"")</f>
        <v/>
      </c>
      <c r="W200" s="39" t="str">
        <f aca="false">IFERROR(INDEX('Azure Resource Map'!$E$2:$E$2001,MATCH($C200,'Azure Resource Map'!$A$2:$A$2001,0)),"")</f>
        <v/>
      </c>
      <c r="X200" s="39" t="str">
        <f aca="false">IFERROR(INDEX('Azure Resource Map'!$F$2:$F$2001,MATCH($C200,'Azure Resource Map'!$A$2:$A$2001,0)),"")</f>
        <v/>
      </c>
      <c r="Y200" s="39" t="str">
        <f aca="false">IF($C200="","",IF(ISNUMBER(MATCH($C200,'CA Exclusion Map'!$A$2:$A$2001,0)),"Yes","No"))</f>
        <v/>
      </c>
      <c r="Z200" s="39" t="str">
        <f aca="false">IFERROR(INDEX('CA Exclusion Map'!$D$2:$D$2001,MATCH($C200,'CA Exclusion Map'!$A$2:$A$2001,0)),"")</f>
        <v/>
      </c>
      <c r="AA200" s="40" t="str">
        <f aca="false">IFERROR(INDEX('CA Exclusion Map'!$E$2:$E$2001,MATCH($C200,'CA Exclusion Map'!$A$2:$A$2001,0)),"")</f>
        <v/>
      </c>
      <c r="AB200" s="40" t="str">
        <f aca="false">IFERROR(INDEX('CA Exclusion Map'!$F$2:$F$2001,MATCH($C200,'CA Exclusion Map'!$A$2:$A$2001,0)),"")</f>
        <v/>
      </c>
      <c r="AC200" s="36"/>
      <c r="AD200" s="37"/>
      <c r="AE200" s="38"/>
      <c r="AF200" s="38"/>
      <c r="AG200" s="39" t="str">
        <f aca="true">IF(Y200="","",IF(Y200&lt;&gt;"Yes","N/A",IF(AF200="","NO EXPIRY SET",IF(TODAY()&gt;AF200,"EXPIRED",IF(AF200-TODAY()&lt;=30,"Expiring Soon","Active")))))</f>
        <v/>
      </c>
      <c r="AH200" s="36"/>
      <c r="AI200" s="36"/>
      <c r="AJ200" s="37"/>
      <c r="AK200" s="36"/>
      <c r="AL200" s="37"/>
      <c r="AM200" s="37"/>
      <c r="AN200" s="37"/>
      <c r="AO200" s="37"/>
      <c r="AP200" s="38"/>
      <c r="AQ200" s="37"/>
      <c r="AR200" s="37"/>
      <c r="AS200" s="41" t="str">
        <f aca="false">IF(AP200="","",AP200+90)</f>
        <v/>
      </c>
      <c r="AT200" s="39" t="str">
        <f aca="true">IF(C200="","",IF(AP200="","NOT REVIEWED",IF(TODAY()&gt;AS200,"OVERDUE",IF(AS200-TODAY()&lt;=14,"Due Soon","Current"))))</f>
        <v/>
      </c>
      <c r="AU200" s="36"/>
    </row>
    <row r="201" customFormat="false" ht="15" hidden="false" customHeight="false" outlineLevel="0" collapsed="false">
      <c r="A201" s="36"/>
      <c r="B201" s="36"/>
      <c r="C201" s="36"/>
      <c r="D201" s="37"/>
      <c r="E201" s="37"/>
      <c r="F201" s="37"/>
      <c r="G201" s="38"/>
      <c r="H201" s="38"/>
      <c r="I201" s="36"/>
      <c r="J201" s="38"/>
      <c r="K201" s="37"/>
      <c r="L201" s="36"/>
      <c r="M201" s="37"/>
      <c r="N201" s="37"/>
      <c r="O201" s="37"/>
      <c r="P201" s="37"/>
      <c r="Q201" s="36"/>
      <c r="R201" s="39" t="str">
        <f aca="true">IF(H201="","",TODAY()-H201)</f>
        <v/>
      </c>
      <c r="S201" s="39" t="str">
        <f aca="true">IF(J201="","",J201-TODAY())</f>
        <v/>
      </c>
      <c r="T201" s="37"/>
      <c r="U201" s="37"/>
      <c r="V201" s="40" t="str">
        <f aca="false">IFERROR(INDEX('Azure Resource Map'!$D$2:$D$2001,MATCH($C201,'Azure Resource Map'!$A$2:$A$2001,0)),"")</f>
        <v/>
      </c>
      <c r="W201" s="39" t="str">
        <f aca="false">IFERROR(INDEX('Azure Resource Map'!$E$2:$E$2001,MATCH($C201,'Azure Resource Map'!$A$2:$A$2001,0)),"")</f>
        <v/>
      </c>
      <c r="X201" s="39" t="str">
        <f aca="false">IFERROR(INDEX('Azure Resource Map'!$F$2:$F$2001,MATCH($C201,'Azure Resource Map'!$A$2:$A$2001,0)),"")</f>
        <v/>
      </c>
      <c r="Y201" s="39" t="str">
        <f aca="false">IF($C201="","",IF(ISNUMBER(MATCH($C201,'CA Exclusion Map'!$A$2:$A$2001,0)),"Yes","No"))</f>
        <v/>
      </c>
      <c r="Z201" s="39" t="str">
        <f aca="false">IFERROR(INDEX('CA Exclusion Map'!$D$2:$D$2001,MATCH($C201,'CA Exclusion Map'!$A$2:$A$2001,0)),"")</f>
        <v/>
      </c>
      <c r="AA201" s="40" t="str">
        <f aca="false">IFERROR(INDEX('CA Exclusion Map'!$E$2:$E$2001,MATCH($C201,'CA Exclusion Map'!$A$2:$A$2001,0)),"")</f>
        <v/>
      </c>
      <c r="AB201" s="40" t="str">
        <f aca="false">IFERROR(INDEX('CA Exclusion Map'!$F$2:$F$2001,MATCH($C201,'CA Exclusion Map'!$A$2:$A$2001,0)),"")</f>
        <v/>
      </c>
      <c r="AC201" s="36"/>
      <c r="AD201" s="37"/>
      <c r="AE201" s="38"/>
      <c r="AF201" s="38"/>
      <c r="AG201" s="39" t="str">
        <f aca="true">IF(Y201="","",IF(Y201&lt;&gt;"Yes","N/A",IF(AF201="","NO EXPIRY SET",IF(TODAY()&gt;AF201,"EXPIRED",IF(AF201-TODAY()&lt;=30,"Expiring Soon","Active")))))</f>
        <v/>
      </c>
      <c r="AH201" s="36"/>
      <c r="AI201" s="36"/>
      <c r="AJ201" s="37"/>
      <c r="AK201" s="36"/>
      <c r="AL201" s="37"/>
      <c r="AM201" s="37"/>
      <c r="AN201" s="37"/>
      <c r="AO201" s="37"/>
      <c r="AP201" s="38"/>
      <c r="AQ201" s="37"/>
      <c r="AR201" s="37"/>
      <c r="AS201" s="41" t="str">
        <f aca="false">IF(AP201="","",AP201+90)</f>
        <v/>
      </c>
      <c r="AT201" s="39" t="str">
        <f aca="true">IF(C201="","",IF(AP201="","NOT REVIEWED",IF(TODAY()&gt;AS201,"OVERDUE",IF(AS201-TODAY()&lt;=14,"Due Soon","Current"))))</f>
        <v/>
      </c>
      <c r="AU201" s="36"/>
    </row>
  </sheetData>
  <autoFilter ref="A1:AU201"/>
  <conditionalFormatting sqref="AG2:AG201">
    <cfRule type="expression" priority="2" aboveAverage="0" equalAverage="0" bottom="0" percent="0" rank="0" text="" dxfId="14">
      <formula>OR(AG2="EXPIRED",AG2="NO EXPIRY SET")</formula>
    </cfRule>
    <cfRule type="expression" priority="3" aboveAverage="0" equalAverage="0" bottom="0" percent="0" rank="0" text="" dxfId="15">
      <formula>AG2="Expiring Soon"</formula>
    </cfRule>
    <cfRule type="expression" priority="4" aboveAverage="0" equalAverage="0" bottom="0" percent="0" rank="0" text="" dxfId="16">
      <formula>AG2="Active"</formula>
    </cfRule>
  </conditionalFormatting>
  <conditionalFormatting sqref="AT2:AT201">
    <cfRule type="expression" priority="5" aboveAverage="0" equalAverage="0" bottom="0" percent="0" rank="0" text="" dxfId="14">
      <formula>OR(AT2="OVERDUE",AT2="NOT REVIEWED")</formula>
    </cfRule>
    <cfRule type="expression" priority="6" aboveAverage="0" equalAverage="0" bottom="0" percent="0" rank="0" text="" dxfId="15">
      <formula>AT2="Due Soon"</formula>
    </cfRule>
  </conditionalFormatting>
  <conditionalFormatting sqref="AI2:AI201">
    <cfRule type="expression" priority="7" aboveAverage="0" equalAverage="0" bottom="0" percent="0" rank="0" text="" dxfId="14">
      <formula>OR(AI2="UNASSIGNED - NEEDS OWNER",AND(AI2="",$C2&lt;&gt;""))</formula>
    </cfRule>
  </conditionalFormatting>
  <conditionalFormatting sqref="Y2:Y201">
    <cfRule type="expression" priority="8" aboveAverage="0" equalAverage="0" bottom="0" percent="0" rank="0" text="" dxfId="15">
      <formula>Y2="Yes"</formula>
    </cfRule>
  </conditionalFormatting>
  <conditionalFormatting sqref="R2:R201">
    <cfRule type="expression" priority="9" aboveAverage="0" equalAverage="0" bottom="0" percent="0" rank="0" text="" dxfId="14">
      <formula>AND(R2&lt;&gt;"",R2&gt;90)</formula>
    </cfRule>
  </conditionalFormatting>
  <conditionalFormatting sqref="W2:W201">
    <cfRule type="expression" priority="10" aboveAverage="0" equalAverage="0" bottom="0" percent="0" rank="0" text="" dxfId="14">
      <formula>OR(W2="Owner",W2="User Access Administrator")</formula>
    </cfRule>
  </conditionalFormatting>
  <conditionalFormatting sqref="X2:X201">
    <cfRule type="expression" priority="11" aboveAverage="0" equalAverage="0" bottom="0" percent="0" rank="0" text="" dxfId="15">
      <formula>X2="Yes"</formula>
    </cfRule>
  </conditionalFormatting>
  <conditionalFormatting sqref="S2:S201">
    <cfRule type="expression" priority="12" aboveAverage="0" equalAverage="0" bottom="0" percent="0" rank="0" text="" dxfId="14">
      <formula>AND(S2&lt;&gt;"",S2&lt;=30)</formula>
    </cfRule>
    <cfRule type="expression" priority="13" aboveAverage="0" equalAverage="0" bottom="0" percent="0" rank="0" text="" dxfId="15">
      <formula>AND(S2&gt;30,S2&lt;=60)</formula>
    </cfRule>
  </conditionalFormatting>
  <conditionalFormatting sqref="M2:M201">
    <cfRule type="expression" priority="14" aboveAverage="0" equalAverage="0" bottom="0" percent="0" rank="0" text="" dxfId="14">
      <formula>M2="High"</formula>
    </cfRule>
  </conditionalFormatting>
  <conditionalFormatting sqref="P2:P201">
    <cfRule type="expression" priority="15" aboveAverage="0" equalAverage="0" bottom="0" percent="0" rank="0" text="" dxfId="15">
      <formula>AND(P2="",$C2&lt;&gt;"")</formula>
    </cfRule>
  </conditionalFormatting>
  <dataValidations count="6">
    <dataValidation allowBlank="true" error="Not in the Reference list. Pick an existing value or add yours to the Reference tab." errorStyle="warning" operator="between" showDropDown="false" showErrorMessage="false" showInputMessage="false" sqref="T2:T201" type="list">
      <formula1>Reference!$F$2:$F$8</formula1>
      <formula2>0</formula2>
    </dataValidation>
    <dataValidation allowBlank="true" error="Not in the Reference list. Pick an existing value or add yours to the Reference tab." errorStyle="warning" operator="between" showDropDown="false" showErrorMessage="false" showInputMessage="false" sqref="U2:U201" type="list">
      <formula1>Reference!$D$2:$D$5</formula1>
      <formula2>0</formula2>
    </dataValidation>
    <dataValidation allowBlank="true" error="Not in the Reference list. Pick an existing value or add yours to the Reference tab." errorStyle="warning" operator="between" showDropDown="false" showErrorMessage="false" showInputMessage="false" sqref="AI2:AI201" type="list">
      <formula1>Reference!$A$2:$A$14</formula1>
      <formula2>0</formula2>
    </dataValidation>
    <dataValidation allowBlank="true" error="Not in the Reference list. Pick an existing value or add yours to the Reference tab." errorStyle="warning" operator="between" showDropDown="false" showErrorMessage="false" showInputMessage="false" sqref="AN2:AN201" type="list">
      <formula1>Reference!$B$2:$B$7</formula1>
      <formula2>0</formula2>
    </dataValidation>
    <dataValidation allowBlank="true" error="Not in the Reference list. Pick an existing value or add yours to the Reference tab." errorStyle="warning" operator="between" showDropDown="false" showErrorMessage="false" showInputMessage="false" sqref="AO2:AO201" type="list">
      <formula1>Reference!$C$2:$C$6</formula1>
      <formula2>0</formula2>
    </dataValidation>
    <dataValidation allowBlank="true" error="Not in the Reference list. Pick an existing value or add yours to the Reference tab." errorStyle="warning" operator="between" showDropDown="false" showErrorMessage="false" showInputMessage="false" sqref="AR2:AR201" type="list">
      <formula1>Reference!$E$2:$E$8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AP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8"/>
    <col collapsed="false" customWidth="true" hidden="false" outlineLevel="0" max="4" min="4" style="0" width="18"/>
    <col collapsed="false" customWidth="true" hidden="false" outlineLevel="0" max="6" min="5" style="0" width="14"/>
    <col collapsed="false" customWidth="true" hidden="false" outlineLevel="0" max="7" min="7" style="0" width="30"/>
    <col collapsed="false" customWidth="true" hidden="false" outlineLevel="0" max="9" min="8" style="0" width="15"/>
    <col collapsed="false" customWidth="true" hidden="false" outlineLevel="0" max="10" min="10" style="0" width="34"/>
    <col collapsed="false" customWidth="true" hidden="false" outlineLevel="0" max="11" min="11" style="0" width="26"/>
    <col collapsed="false" customWidth="true" hidden="false" outlineLevel="0" max="12" min="12" style="0" width="24"/>
    <col collapsed="false" customWidth="true" hidden="false" outlineLevel="0" max="13" min="13" style="0" width="26"/>
    <col collapsed="false" customWidth="true" hidden="false" outlineLevel="0" max="14" min="14" style="0" width="15"/>
    <col collapsed="false" customWidth="true" hidden="false" outlineLevel="0" max="15" min="15" style="0" width="22"/>
    <col collapsed="false" customWidth="true" hidden="false" outlineLevel="0" max="16" min="16" style="0" width="34"/>
    <col collapsed="false" customWidth="true" hidden="false" outlineLevel="0" max="17" min="17" style="0" width="20"/>
    <col collapsed="false" customWidth="true" hidden="false" outlineLevel="0" max="18" min="18" style="0" width="15"/>
    <col collapsed="false" customWidth="true" hidden="false" outlineLevel="0" max="19" min="19" style="0" width="16"/>
    <col collapsed="false" customWidth="true" hidden="false" outlineLevel="0" max="20" min="20" style="0" width="14"/>
    <col collapsed="false" customWidth="true" hidden="false" outlineLevel="0" max="21" min="21" style="0" width="22"/>
    <col collapsed="false" customWidth="true" hidden="false" outlineLevel="0" max="22" min="22" style="0" width="26"/>
    <col collapsed="false" customWidth="true" hidden="false" outlineLevel="0" max="24" min="23" style="0" width="34"/>
    <col collapsed="false" customWidth="true" hidden="false" outlineLevel="0" max="25" min="25" style="0" width="20"/>
    <col collapsed="false" customWidth="true" hidden="false" outlineLevel="0" max="28" min="26" style="0" width="16"/>
    <col collapsed="false" customWidth="true" hidden="false" outlineLevel="0" max="29" min="29" style="0" width="30"/>
    <col collapsed="false" customWidth="true" hidden="false" outlineLevel="0" max="30" min="30" style="0" width="26"/>
    <col collapsed="false" customWidth="true" hidden="false" outlineLevel="0" max="31" min="31" style="0" width="20"/>
    <col collapsed="false" customWidth="true" hidden="false" outlineLevel="0" max="32" min="32" style="0" width="26"/>
    <col collapsed="false" customWidth="true" hidden="false" outlineLevel="0" max="33" min="33" style="0" width="22"/>
    <col collapsed="false" customWidth="true" hidden="false" outlineLevel="0" max="34" min="34" style="0" width="16"/>
    <col collapsed="false" customWidth="true" hidden="false" outlineLevel="0" max="36" min="35" style="0" width="18"/>
    <col collapsed="false" customWidth="true" hidden="false" outlineLevel="0" max="37" min="37" style="0" width="14"/>
    <col collapsed="false" customWidth="true" hidden="false" outlineLevel="0" max="38" min="38" style="0" width="18"/>
    <col collapsed="false" customWidth="true" hidden="false" outlineLevel="0" max="39" min="39" style="0" width="24"/>
    <col collapsed="false" customWidth="true" hidden="false" outlineLevel="0" max="40" min="40" style="0" width="14"/>
    <col collapsed="false" customWidth="true" hidden="false" outlineLevel="0" max="41" min="41" style="0" width="16"/>
    <col collapsed="false" customWidth="true" hidden="false" outlineLevel="0" max="42" min="42" style="0" width="40"/>
  </cols>
  <sheetData>
    <row r="1" customFormat="false" ht="48" hidden="false" customHeight="true" outlineLevel="0" collapsed="false">
      <c r="A1" s="23" t="s">
        <v>182</v>
      </c>
      <c r="B1" s="23" t="s">
        <v>283</v>
      </c>
      <c r="C1" s="23" t="s">
        <v>284</v>
      </c>
      <c r="D1" s="23" t="s">
        <v>285</v>
      </c>
      <c r="E1" s="23" t="s">
        <v>189</v>
      </c>
      <c r="F1" s="23" t="s">
        <v>253</v>
      </c>
      <c r="G1" s="23" t="s">
        <v>286</v>
      </c>
      <c r="H1" s="23" t="s">
        <v>287</v>
      </c>
      <c r="I1" s="24" t="s">
        <v>198</v>
      </c>
      <c r="J1" s="26" t="s">
        <v>288</v>
      </c>
      <c r="K1" s="26" t="s">
        <v>289</v>
      </c>
      <c r="L1" s="26" t="s">
        <v>290</v>
      </c>
      <c r="M1" s="26" t="s">
        <v>291</v>
      </c>
      <c r="N1" s="26" t="s">
        <v>292</v>
      </c>
      <c r="O1" s="26" t="s">
        <v>293</v>
      </c>
      <c r="P1" s="26" t="s">
        <v>200</v>
      </c>
      <c r="Q1" s="26" t="s">
        <v>201</v>
      </c>
      <c r="R1" s="26" t="s">
        <v>202</v>
      </c>
      <c r="S1" s="25" t="s">
        <v>294</v>
      </c>
      <c r="T1" s="24" t="s">
        <v>203</v>
      </c>
      <c r="U1" s="24" t="s">
        <v>204</v>
      </c>
      <c r="V1" s="24" t="s">
        <v>205</v>
      </c>
      <c r="W1" s="24" t="s">
        <v>206</v>
      </c>
      <c r="X1" s="27" t="s">
        <v>207</v>
      </c>
      <c r="Y1" s="27" t="s">
        <v>208</v>
      </c>
      <c r="Z1" s="27" t="s">
        <v>209</v>
      </c>
      <c r="AA1" s="27" t="s">
        <v>210</v>
      </c>
      <c r="AB1" s="24" t="s">
        <v>211</v>
      </c>
      <c r="AC1" s="27" t="s">
        <v>212</v>
      </c>
      <c r="AD1" s="28" t="s">
        <v>213</v>
      </c>
      <c r="AE1" s="28" t="s">
        <v>214</v>
      </c>
      <c r="AF1" s="28" t="s">
        <v>215</v>
      </c>
      <c r="AG1" s="28" t="s">
        <v>216</v>
      </c>
      <c r="AH1" s="28" t="s">
        <v>217</v>
      </c>
      <c r="AI1" s="28" t="s">
        <v>218</v>
      </c>
      <c r="AJ1" s="28" t="s">
        <v>219</v>
      </c>
      <c r="AK1" s="25" t="s">
        <v>220</v>
      </c>
      <c r="AL1" s="25" t="s">
        <v>221</v>
      </c>
      <c r="AM1" s="25" t="s">
        <v>222</v>
      </c>
      <c r="AN1" s="24" t="s">
        <v>223</v>
      </c>
      <c r="AO1" s="24" t="s">
        <v>224</v>
      </c>
      <c r="AP1" s="25" t="s">
        <v>225</v>
      </c>
    </row>
    <row r="2" customFormat="false" ht="57.45" hidden="false" customHeight="false" outlineLevel="0" collapsed="false">
      <c r="A2" s="29" t="s">
        <v>295</v>
      </c>
      <c r="B2" s="29" t="s">
        <v>296</v>
      </c>
      <c r="C2" s="29" t="s">
        <v>297</v>
      </c>
      <c r="D2" s="30" t="s">
        <v>298</v>
      </c>
      <c r="E2" s="31" t="n">
        <v>45676</v>
      </c>
      <c r="F2" s="31" t="n">
        <v>46238</v>
      </c>
      <c r="G2" s="29" t="s">
        <v>234</v>
      </c>
      <c r="H2" s="30" t="s">
        <v>299</v>
      </c>
      <c r="I2" s="32" t="n">
        <f aca="true">IF(F2="","",TODAY()-F2)</f>
        <v>1</v>
      </c>
      <c r="J2" s="33" t="str">
        <f aca="false">IFERROR(INDEX('Azure Resource Map'!$H$2:$H$2001,MATCH($C2,'Azure Resource Map'!$A$2:$A$2001,0)),"")</f>
        <v>/subscriptions/a1b2.../resourceGroups/rg-analytics-prod-ause/providers/Microsoft.ManagedIdentity/userAssignedIdentities/mi-datafactory-prod-ause</v>
      </c>
      <c r="K2" s="33" t="str">
        <f aca="false">IFERROR(INDEX('Azure Resource Map'!$I$2:$I$2001,MATCH($C2,'Azure Resource Map'!$A$2:$A$2001,0)),"")</f>
        <v>microsoft.managedidentity/userassignedidentities</v>
      </c>
      <c r="L2" s="34" t="str">
        <f aca="false">IFERROR(INDEX('Azure Resource Map'!$J$2:$J$2001,MATCH($C2,'Azure Resource Map'!$A$2:$A$2001,0)),"")</f>
        <v>rg-analytics-prod-ause</v>
      </c>
      <c r="M2" s="33" t="str">
        <f aca="false">IFERROR(INDEX('Azure Resource Map'!$K$2:$K$2001,MATCH($C2,'Azure Resource Map'!$A$2:$A$2001,0)),"")</f>
        <v>SUB-PROD-DATA</v>
      </c>
      <c r="N2" s="34" t="str">
        <f aca="false">IFERROR(INDEX('Azure Resource Map'!$L$2:$L$2001,MATCH($C2,'Azure Resource Map'!$A$2:$A$2001,0)),"")</f>
        <v>australiaeast</v>
      </c>
      <c r="O2" s="34" t="str">
        <f aca="false">IFERROR(INDEX('Azure Resource Map'!$M$2:$M$2001,MATCH($C2,'Azure Resource Map'!$A$2:$A$2001,0)),"")</f>
        <v>Aisha Karim</v>
      </c>
      <c r="P2" s="33" t="str">
        <f aca="false">IFERROR(INDEX('Azure Resource Map'!$D$2:$D$2001,MATCH($C2,'Azure Resource Map'!$A$2:$A$2001,0)),"")</f>
        <v>Storage Blob Data Contributor @ st-datalake-prod; Key Vault Secrets User @ kv-data-prod</v>
      </c>
      <c r="Q2" s="34" t="str">
        <f aca="false">IFERROR(INDEX('Azure Resource Map'!$E$2:$E$2001,MATCH($C2,'Azure Resource Map'!$A$2:$A$2001,0)),"")</f>
        <v>Storage Blob Data Contributor</v>
      </c>
      <c r="R2" s="34" t="str">
        <f aca="false">IFERROR(INDEX('Azure Resource Map'!$F$2:$F$2001,MATCH($C2,'Azure Resource Map'!$A$2:$A$2001,0)),"")</f>
        <v>No</v>
      </c>
      <c r="S2" s="30" t="s">
        <v>300</v>
      </c>
      <c r="T2" s="34" t="str">
        <f aca="false">IF($C2="","",IF(ISNUMBER(MATCH($C2,'CA Exclusion Map'!$A$2:$A$2001,0)),"Yes","No"))</f>
        <v>Yes</v>
      </c>
      <c r="U2" s="34" t="str">
        <f aca="false">IFERROR(INDEX('CA Exclusion Map'!$D$2:$D$2001,MATCH($C2,'CA Exclusion Map'!$A$2:$A$2001,0)),"")</f>
        <v>Group membership</v>
      </c>
      <c r="V2" s="33" t="str">
        <f aca="false">IFERROR(INDEX('CA Exclusion Map'!$E$2:$E$2001,MATCH($C2,'CA Exclusion Map'!$A$2:$A$2001,0)),"")</f>
        <v>CA-Excl-WorkloadIdentities</v>
      </c>
      <c r="W2" s="33" t="str">
        <f aca="false">IFERROR(INDEX('CA Exclusion Map'!$F$2:$F$2001,MATCH($C2,'CA Exclusion Map'!$A$2:$A$2001,0)),"")</f>
        <v>CA015-Workload Identity Location Restriction</v>
      </c>
      <c r="X2" s="29" t="s">
        <v>301</v>
      </c>
      <c r="Y2" s="30" t="s">
        <v>302</v>
      </c>
      <c r="Z2" s="31" t="n">
        <v>46120</v>
      </c>
      <c r="AA2" s="31" t="n">
        <v>46303</v>
      </c>
      <c r="AB2" s="34" t="str">
        <f aca="true">IF(T2="","",IF(T2&lt;&gt;"Yes","N/A",IF(AA2="","NO EXPIRY SET",IF(TODAY()&gt;AA2,"EXPIRED",IF(AA2-TODAY()&lt;=30,"Expiring Soon","Active")))))</f>
        <v>Active</v>
      </c>
      <c r="AC2" s="29" t="s">
        <v>303</v>
      </c>
      <c r="AD2" s="29" t="s">
        <v>304</v>
      </c>
      <c r="AE2" s="30" t="s">
        <v>305</v>
      </c>
      <c r="AF2" s="29" t="s">
        <v>306</v>
      </c>
      <c r="AG2" s="30" t="s">
        <v>307</v>
      </c>
      <c r="AH2" s="30" t="s">
        <v>308</v>
      </c>
      <c r="AI2" s="30" t="s">
        <v>9</v>
      </c>
      <c r="AJ2" s="30" t="s">
        <v>273</v>
      </c>
      <c r="AK2" s="31" t="n">
        <v>46204</v>
      </c>
      <c r="AL2" s="30" t="s">
        <v>307</v>
      </c>
      <c r="AM2" s="30" t="s">
        <v>309</v>
      </c>
      <c r="AN2" s="35" t="n">
        <f aca="false">IF(AK2="","",AK2+90)</f>
        <v>46294</v>
      </c>
      <c r="AO2" s="34" t="str">
        <f aca="true">IF(C2="","",IF(AK2="","NOT REVIEWED",IF(TODAY()&gt;AN2,"OVERDUE",IF(AN2-TODAY()&lt;=14,"Due Soon","Current"))))</f>
        <v>Current</v>
      </c>
      <c r="AP2" s="29" t="s">
        <v>247</v>
      </c>
    </row>
    <row r="3" customFormat="false" ht="15" hidden="false" customHeight="false" outlineLevel="0" collapsed="false">
      <c r="A3" s="36"/>
      <c r="B3" s="36"/>
      <c r="C3" s="36"/>
      <c r="D3" s="37"/>
      <c r="E3" s="38"/>
      <c r="F3" s="38"/>
      <c r="G3" s="36"/>
      <c r="H3" s="37"/>
      <c r="I3" s="39" t="str">
        <f aca="true">IF(F3="","",TODAY()-F3)</f>
        <v/>
      </c>
      <c r="J3" s="40" t="str">
        <f aca="false">IFERROR(INDEX('Azure Resource Map'!$H$2:$H$2001,MATCH($C3,'Azure Resource Map'!$A$2:$A$2001,0)),"")</f>
        <v/>
      </c>
      <c r="K3" s="40" t="str">
        <f aca="false">IFERROR(INDEX('Azure Resource Map'!$I$2:$I$2001,MATCH($C3,'Azure Resource Map'!$A$2:$A$2001,0)),"")</f>
        <v/>
      </c>
      <c r="L3" s="39" t="str">
        <f aca="false">IFERROR(INDEX('Azure Resource Map'!$J$2:$J$2001,MATCH($C3,'Azure Resource Map'!$A$2:$A$2001,0)),"")</f>
        <v/>
      </c>
      <c r="M3" s="40" t="str">
        <f aca="false">IFERROR(INDEX('Azure Resource Map'!$K$2:$K$2001,MATCH($C3,'Azure Resource Map'!$A$2:$A$2001,0)),"")</f>
        <v/>
      </c>
      <c r="N3" s="39" t="str">
        <f aca="false">IFERROR(INDEX('Azure Resource Map'!$L$2:$L$2001,MATCH($C3,'Azure Resource Map'!$A$2:$A$2001,0)),"")</f>
        <v/>
      </c>
      <c r="O3" s="39" t="str">
        <f aca="false">IFERROR(INDEX('Azure Resource Map'!$M$2:$M$2001,MATCH($C3,'Azure Resource Map'!$A$2:$A$2001,0)),"")</f>
        <v/>
      </c>
      <c r="P3" s="40" t="str">
        <f aca="false">IFERROR(INDEX('Azure Resource Map'!$D$2:$D$2001,MATCH($C3,'Azure Resource Map'!$A$2:$A$2001,0)),"")</f>
        <v/>
      </c>
      <c r="Q3" s="39" t="str">
        <f aca="false">IFERROR(INDEX('Azure Resource Map'!$E$2:$E$2001,MATCH($C3,'Azure Resource Map'!$A$2:$A$2001,0)),"")</f>
        <v/>
      </c>
      <c r="R3" s="39" t="str">
        <f aca="false">IFERROR(INDEX('Azure Resource Map'!$F$2:$F$2001,MATCH($C3,'Azure Resource Map'!$A$2:$A$2001,0)),"")</f>
        <v/>
      </c>
      <c r="S3" s="37"/>
      <c r="T3" s="39" t="str">
        <f aca="false">IF($C3="","",IF(ISNUMBER(MATCH($C3,'CA Exclusion Map'!$A$2:$A$2001,0)),"Yes","No"))</f>
        <v/>
      </c>
      <c r="U3" s="39" t="str">
        <f aca="false">IFERROR(INDEX('CA Exclusion Map'!$D$2:$D$2001,MATCH($C3,'CA Exclusion Map'!$A$2:$A$2001,0)),"")</f>
        <v/>
      </c>
      <c r="V3" s="40" t="str">
        <f aca="false">IFERROR(INDEX('CA Exclusion Map'!$E$2:$E$2001,MATCH($C3,'CA Exclusion Map'!$A$2:$A$2001,0)),"")</f>
        <v/>
      </c>
      <c r="W3" s="40" t="str">
        <f aca="false">IFERROR(INDEX('CA Exclusion Map'!$F$2:$F$2001,MATCH($C3,'CA Exclusion Map'!$A$2:$A$2001,0)),"")</f>
        <v/>
      </c>
      <c r="X3" s="36"/>
      <c r="Y3" s="37"/>
      <c r="Z3" s="38"/>
      <c r="AA3" s="38"/>
      <c r="AB3" s="39" t="str">
        <f aca="true">IF(T3="","",IF(T3&lt;&gt;"Yes","N/A",IF(AA3="","NO EXPIRY SET",IF(TODAY()&gt;AA3,"EXPIRED",IF(AA3-TODAY()&lt;=30,"Expiring Soon","Active")))))</f>
        <v/>
      </c>
      <c r="AC3" s="36"/>
      <c r="AD3" s="36"/>
      <c r="AE3" s="37"/>
      <c r="AF3" s="36"/>
      <c r="AG3" s="37"/>
      <c r="AH3" s="37"/>
      <c r="AI3" s="37"/>
      <c r="AJ3" s="37"/>
      <c r="AK3" s="38"/>
      <c r="AL3" s="37"/>
      <c r="AM3" s="37"/>
      <c r="AN3" s="41" t="str">
        <f aca="false">IF(AK3="","",AK3+90)</f>
        <v/>
      </c>
      <c r="AO3" s="39" t="str">
        <f aca="true">IF(C3="","",IF(AK3="","NOT REVIEWED",IF(TODAY()&gt;AN3,"OVERDUE",IF(AN3-TODAY()&lt;=14,"Due Soon","Current"))))</f>
        <v/>
      </c>
      <c r="AP3" s="36"/>
    </row>
    <row r="4" customFormat="false" ht="15" hidden="false" customHeight="false" outlineLevel="0" collapsed="false">
      <c r="A4" s="36"/>
      <c r="B4" s="36"/>
      <c r="C4" s="36"/>
      <c r="D4" s="37"/>
      <c r="E4" s="38"/>
      <c r="F4" s="38"/>
      <c r="G4" s="36"/>
      <c r="H4" s="37"/>
      <c r="I4" s="39" t="str">
        <f aca="true">IF(F4="","",TODAY()-F4)</f>
        <v/>
      </c>
      <c r="J4" s="40" t="str">
        <f aca="false">IFERROR(INDEX('Azure Resource Map'!$H$2:$H$2001,MATCH($C4,'Azure Resource Map'!$A$2:$A$2001,0)),"")</f>
        <v/>
      </c>
      <c r="K4" s="40" t="str">
        <f aca="false">IFERROR(INDEX('Azure Resource Map'!$I$2:$I$2001,MATCH($C4,'Azure Resource Map'!$A$2:$A$2001,0)),"")</f>
        <v/>
      </c>
      <c r="L4" s="39" t="str">
        <f aca="false">IFERROR(INDEX('Azure Resource Map'!$J$2:$J$2001,MATCH($C4,'Azure Resource Map'!$A$2:$A$2001,0)),"")</f>
        <v/>
      </c>
      <c r="M4" s="40" t="str">
        <f aca="false">IFERROR(INDEX('Azure Resource Map'!$K$2:$K$2001,MATCH($C4,'Azure Resource Map'!$A$2:$A$2001,0)),"")</f>
        <v/>
      </c>
      <c r="N4" s="39" t="str">
        <f aca="false">IFERROR(INDEX('Azure Resource Map'!$L$2:$L$2001,MATCH($C4,'Azure Resource Map'!$A$2:$A$2001,0)),"")</f>
        <v/>
      </c>
      <c r="O4" s="39" t="str">
        <f aca="false">IFERROR(INDEX('Azure Resource Map'!$M$2:$M$2001,MATCH($C4,'Azure Resource Map'!$A$2:$A$2001,0)),"")</f>
        <v/>
      </c>
      <c r="P4" s="40" t="str">
        <f aca="false">IFERROR(INDEX('Azure Resource Map'!$D$2:$D$2001,MATCH($C4,'Azure Resource Map'!$A$2:$A$2001,0)),"")</f>
        <v/>
      </c>
      <c r="Q4" s="39" t="str">
        <f aca="false">IFERROR(INDEX('Azure Resource Map'!$E$2:$E$2001,MATCH($C4,'Azure Resource Map'!$A$2:$A$2001,0)),"")</f>
        <v/>
      </c>
      <c r="R4" s="39" t="str">
        <f aca="false">IFERROR(INDEX('Azure Resource Map'!$F$2:$F$2001,MATCH($C4,'Azure Resource Map'!$A$2:$A$2001,0)),"")</f>
        <v/>
      </c>
      <c r="S4" s="37"/>
      <c r="T4" s="39" t="str">
        <f aca="false">IF($C4="","",IF(ISNUMBER(MATCH($C4,'CA Exclusion Map'!$A$2:$A$2001,0)),"Yes","No"))</f>
        <v/>
      </c>
      <c r="U4" s="39" t="str">
        <f aca="false">IFERROR(INDEX('CA Exclusion Map'!$D$2:$D$2001,MATCH($C4,'CA Exclusion Map'!$A$2:$A$2001,0)),"")</f>
        <v/>
      </c>
      <c r="V4" s="40" t="str">
        <f aca="false">IFERROR(INDEX('CA Exclusion Map'!$E$2:$E$2001,MATCH($C4,'CA Exclusion Map'!$A$2:$A$2001,0)),"")</f>
        <v/>
      </c>
      <c r="W4" s="40" t="str">
        <f aca="false">IFERROR(INDEX('CA Exclusion Map'!$F$2:$F$2001,MATCH($C4,'CA Exclusion Map'!$A$2:$A$2001,0)),"")</f>
        <v/>
      </c>
      <c r="X4" s="36"/>
      <c r="Y4" s="37"/>
      <c r="Z4" s="38"/>
      <c r="AA4" s="38"/>
      <c r="AB4" s="39" t="str">
        <f aca="true">IF(T4="","",IF(T4&lt;&gt;"Yes","N/A",IF(AA4="","NO EXPIRY SET",IF(TODAY()&gt;AA4,"EXPIRED",IF(AA4-TODAY()&lt;=30,"Expiring Soon","Active")))))</f>
        <v/>
      </c>
      <c r="AC4" s="36"/>
      <c r="AD4" s="36"/>
      <c r="AE4" s="37"/>
      <c r="AF4" s="36"/>
      <c r="AG4" s="37"/>
      <c r="AH4" s="37"/>
      <c r="AI4" s="37"/>
      <c r="AJ4" s="37"/>
      <c r="AK4" s="38"/>
      <c r="AL4" s="37"/>
      <c r="AM4" s="37"/>
      <c r="AN4" s="41" t="str">
        <f aca="false">IF(AK4="","",AK4+90)</f>
        <v/>
      </c>
      <c r="AO4" s="39" t="str">
        <f aca="true">IF(C4="","",IF(AK4="","NOT REVIEWED",IF(TODAY()&gt;AN4,"OVERDUE",IF(AN4-TODAY()&lt;=14,"Due Soon","Current"))))</f>
        <v/>
      </c>
      <c r="AP4" s="36"/>
    </row>
    <row r="5" customFormat="false" ht="15" hidden="false" customHeight="false" outlineLevel="0" collapsed="false">
      <c r="A5" s="36"/>
      <c r="B5" s="36"/>
      <c r="C5" s="36"/>
      <c r="D5" s="37"/>
      <c r="E5" s="38"/>
      <c r="F5" s="38"/>
      <c r="G5" s="36"/>
      <c r="H5" s="37"/>
      <c r="I5" s="39" t="str">
        <f aca="true">IF(F5="","",TODAY()-F5)</f>
        <v/>
      </c>
      <c r="J5" s="40" t="str">
        <f aca="false">IFERROR(INDEX('Azure Resource Map'!$H$2:$H$2001,MATCH($C5,'Azure Resource Map'!$A$2:$A$2001,0)),"")</f>
        <v/>
      </c>
      <c r="K5" s="40" t="str">
        <f aca="false">IFERROR(INDEX('Azure Resource Map'!$I$2:$I$2001,MATCH($C5,'Azure Resource Map'!$A$2:$A$2001,0)),"")</f>
        <v/>
      </c>
      <c r="L5" s="39" t="str">
        <f aca="false">IFERROR(INDEX('Azure Resource Map'!$J$2:$J$2001,MATCH($C5,'Azure Resource Map'!$A$2:$A$2001,0)),"")</f>
        <v/>
      </c>
      <c r="M5" s="40" t="str">
        <f aca="false">IFERROR(INDEX('Azure Resource Map'!$K$2:$K$2001,MATCH($C5,'Azure Resource Map'!$A$2:$A$2001,0)),"")</f>
        <v/>
      </c>
      <c r="N5" s="39" t="str">
        <f aca="false">IFERROR(INDEX('Azure Resource Map'!$L$2:$L$2001,MATCH($C5,'Azure Resource Map'!$A$2:$A$2001,0)),"")</f>
        <v/>
      </c>
      <c r="O5" s="39" t="str">
        <f aca="false">IFERROR(INDEX('Azure Resource Map'!$M$2:$M$2001,MATCH($C5,'Azure Resource Map'!$A$2:$A$2001,0)),"")</f>
        <v/>
      </c>
      <c r="P5" s="40" t="str">
        <f aca="false">IFERROR(INDEX('Azure Resource Map'!$D$2:$D$2001,MATCH($C5,'Azure Resource Map'!$A$2:$A$2001,0)),"")</f>
        <v/>
      </c>
      <c r="Q5" s="39" t="str">
        <f aca="false">IFERROR(INDEX('Azure Resource Map'!$E$2:$E$2001,MATCH($C5,'Azure Resource Map'!$A$2:$A$2001,0)),"")</f>
        <v/>
      </c>
      <c r="R5" s="39" t="str">
        <f aca="false">IFERROR(INDEX('Azure Resource Map'!$F$2:$F$2001,MATCH($C5,'Azure Resource Map'!$A$2:$A$2001,0)),"")</f>
        <v/>
      </c>
      <c r="S5" s="37"/>
      <c r="T5" s="39" t="str">
        <f aca="false">IF($C5="","",IF(ISNUMBER(MATCH($C5,'CA Exclusion Map'!$A$2:$A$2001,0)),"Yes","No"))</f>
        <v/>
      </c>
      <c r="U5" s="39" t="str">
        <f aca="false">IFERROR(INDEX('CA Exclusion Map'!$D$2:$D$2001,MATCH($C5,'CA Exclusion Map'!$A$2:$A$2001,0)),"")</f>
        <v/>
      </c>
      <c r="V5" s="40" t="str">
        <f aca="false">IFERROR(INDEX('CA Exclusion Map'!$E$2:$E$2001,MATCH($C5,'CA Exclusion Map'!$A$2:$A$2001,0)),"")</f>
        <v/>
      </c>
      <c r="W5" s="40" t="str">
        <f aca="false">IFERROR(INDEX('CA Exclusion Map'!$F$2:$F$2001,MATCH($C5,'CA Exclusion Map'!$A$2:$A$2001,0)),"")</f>
        <v/>
      </c>
      <c r="X5" s="36"/>
      <c r="Y5" s="37"/>
      <c r="Z5" s="38"/>
      <c r="AA5" s="38"/>
      <c r="AB5" s="39" t="str">
        <f aca="true">IF(T5="","",IF(T5&lt;&gt;"Yes","N/A",IF(AA5="","NO EXPIRY SET",IF(TODAY()&gt;AA5,"EXPIRED",IF(AA5-TODAY()&lt;=30,"Expiring Soon","Active")))))</f>
        <v/>
      </c>
      <c r="AC5" s="36"/>
      <c r="AD5" s="36"/>
      <c r="AE5" s="37"/>
      <c r="AF5" s="36"/>
      <c r="AG5" s="37"/>
      <c r="AH5" s="37"/>
      <c r="AI5" s="37"/>
      <c r="AJ5" s="37"/>
      <c r="AK5" s="38"/>
      <c r="AL5" s="37"/>
      <c r="AM5" s="37"/>
      <c r="AN5" s="41" t="str">
        <f aca="false">IF(AK5="","",AK5+90)</f>
        <v/>
      </c>
      <c r="AO5" s="39" t="str">
        <f aca="true">IF(C5="","",IF(AK5="","NOT REVIEWED",IF(TODAY()&gt;AN5,"OVERDUE",IF(AN5-TODAY()&lt;=14,"Due Soon","Current"))))</f>
        <v/>
      </c>
      <c r="AP5" s="36"/>
    </row>
    <row r="6" customFormat="false" ht="15" hidden="false" customHeight="false" outlineLevel="0" collapsed="false">
      <c r="A6" s="36"/>
      <c r="B6" s="36"/>
      <c r="C6" s="36"/>
      <c r="D6" s="37"/>
      <c r="E6" s="38"/>
      <c r="F6" s="38"/>
      <c r="G6" s="36"/>
      <c r="H6" s="37"/>
      <c r="I6" s="39" t="str">
        <f aca="true">IF(F6="","",TODAY()-F6)</f>
        <v/>
      </c>
      <c r="J6" s="40" t="str">
        <f aca="false">IFERROR(INDEX('Azure Resource Map'!$H$2:$H$2001,MATCH($C6,'Azure Resource Map'!$A$2:$A$2001,0)),"")</f>
        <v/>
      </c>
      <c r="K6" s="40" t="str">
        <f aca="false">IFERROR(INDEX('Azure Resource Map'!$I$2:$I$2001,MATCH($C6,'Azure Resource Map'!$A$2:$A$2001,0)),"")</f>
        <v/>
      </c>
      <c r="L6" s="39" t="str">
        <f aca="false">IFERROR(INDEX('Azure Resource Map'!$J$2:$J$2001,MATCH($C6,'Azure Resource Map'!$A$2:$A$2001,0)),"")</f>
        <v/>
      </c>
      <c r="M6" s="40" t="str">
        <f aca="false">IFERROR(INDEX('Azure Resource Map'!$K$2:$K$2001,MATCH($C6,'Azure Resource Map'!$A$2:$A$2001,0)),"")</f>
        <v/>
      </c>
      <c r="N6" s="39" t="str">
        <f aca="false">IFERROR(INDEX('Azure Resource Map'!$L$2:$L$2001,MATCH($C6,'Azure Resource Map'!$A$2:$A$2001,0)),"")</f>
        <v/>
      </c>
      <c r="O6" s="39" t="str">
        <f aca="false">IFERROR(INDEX('Azure Resource Map'!$M$2:$M$2001,MATCH($C6,'Azure Resource Map'!$A$2:$A$2001,0)),"")</f>
        <v/>
      </c>
      <c r="P6" s="40" t="str">
        <f aca="false">IFERROR(INDEX('Azure Resource Map'!$D$2:$D$2001,MATCH($C6,'Azure Resource Map'!$A$2:$A$2001,0)),"")</f>
        <v/>
      </c>
      <c r="Q6" s="39" t="str">
        <f aca="false">IFERROR(INDEX('Azure Resource Map'!$E$2:$E$2001,MATCH($C6,'Azure Resource Map'!$A$2:$A$2001,0)),"")</f>
        <v/>
      </c>
      <c r="R6" s="39" t="str">
        <f aca="false">IFERROR(INDEX('Azure Resource Map'!$F$2:$F$2001,MATCH($C6,'Azure Resource Map'!$A$2:$A$2001,0)),"")</f>
        <v/>
      </c>
      <c r="S6" s="37"/>
      <c r="T6" s="39" t="str">
        <f aca="false">IF($C6="","",IF(ISNUMBER(MATCH($C6,'CA Exclusion Map'!$A$2:$A$2001,0)),"Yes","No"))</f>
        <v/>
      </c>
      <c r="U6" s="39" t="str">
        <f aca="false">IFERROR(INDEX('CA Exclusion Map'!$D$2:$D$2001,MATCH($C6,'CA Exclusion Map'!$A$2:$A$2001,0)),"")</f>
        <v/>
      </c>
      <c r="V6" s="40" t="str">
        <f aca="false">IFERROR(INDEX('CA Exclusion Map'!$E$2:$E$2001,MATCH($C6,'CA Exclusion Map'!$A$2:$A$2001,0)),"")</f>
        <v/>
      </c>
      <c r="W6" s="40" t="str">
        <f aca="false">IFERROR(INDEX('CA Exclusion Map'!$F$2:$F$2001,MATCH($C6,'CA Exclusion Map'!$A$2:$A$2001,0)),"")</f>
        <v/>
      </c>
      <c r="X6" s="36"/>
      <c r="Y6" s="37"/>
      <c r="Z6" s="38"/>
      <c r="AA6" s="38"/>
      <c r="AB6" s="39" t="str">
        <f aca="true">IF(T6="","",IF(T6&lt;&gt;"Yes","N/A",IF(AA6="","NO EXPIRY SET",IF(TODAY()&gt;AA6,"EXPIRED",IF(AA6-TODAY()&lt;=30,"Expiring Soon","Active")))))</f>
        <v/>
      </c>
      <c r="AC6" s="36"/>
      <c r="AD6" s="36"/>
      <c r="AE6" s="37"/>
      <c r="AF6" s="36"/>
      <c r="AG6" s="37"/>
      <c r="AH6" s="37"/>
      <c r="AI6" s="37"/>
      <c r="AJ6" s="37"/>
      <c r="AK6" s="38"/>
      <c r="AL6" s="37"/>
      <c r="AM6" s="37"/>
      <c r="AN6" s="41" t="str">
        <f aca="false">IF(AK6="","",AK6+90)</f>
        <v/>
      </c>
      <c r="AO6" s="39" t="str">
        <f aca="true">IF(C6="","",IF(AK6="","NOT REVIEWED",IF(TODAY()&gt;AN6,"OVERDUE",IF(AN6-TODAY()&lt;=14,"Due Soon","Current"))))</f>
        <v/>
      </c>
      <c r="AP6" s="36"/>
    </row>
    <row r="7" customFormat="false" ht="15" hidden="false" customHeight="false" outlineLevel="0" collapsed="false">
      <c r="A7" s="36"/>
      <c r="B7" s="36"/>
      <c r="C7" s="36"/>
      <c r="D7" s="37"/>
      <c r="E7" s="38"/>
      <c r="F7" s="38"/>
      <c r="G7" s="36"/>
      <c r="H7" s="37"/>
      <c r="I7" s="39" t="str">
        <f aca="true">IF(F7="","",TODAY()-F7)</f>
        <v/>
      </c>
      <c r="J7" s="40" t="str">
        <f aca="false">IFERROR(INDEX('Azure Resource Map'!$H$2:$H$2001,MATCH($C7,'Azure Resource Map'!$A$2:$A$2001,0)),"")</f>
        <v/>
      </c>
      <c r="K7" s="40" t="str">
        <f aca="false">IFERROR(INDEX('Azure Resource Map'!$I$2:$I$2001,MATCH($C7,'Azure Resource Map'!$A$2:$A$2001,0)),"")</f>
        <v/>
      </c>
      <c r="L7" s="39" t="str">
        <f aca="false">IFERROR(INDEX('Azure Resource Map'!$J$2:$J$2001,MATCH($C7,'Azure Resource Map'!$A$2:$A$2001,0)),"")</f>
        <v/>
      </c>
      <c r="M7" s="40" t="str">
        <f aca="false">IFERROR(INDEX('Azure Resource Map'!$K$2:$K$2001,MATCH($C7,'Azure Resource Map'!$A$2:$A$2001,0)),"")</f>
        <v/>
      </c>
      <c r="N7" s="39" t="str">
        <f aca="false">IFERROR(INDEX('Azure Resource Map'!$L$2:$L$2001,MATCH($C7,'Azure Resource Map'!$A$2:$A$2001,0)),"")</f>
        <v/>
      </c>
      <c r="O7" s="39" t="str">
        <f aca="false">IFERROR(INDEX('Azure Resource Map'!$M$2:$M$2001,MATCH($C7,'Azure Resource Map'!$A$2:$A$2001,0)),"")</f>
        <v/>
      </c>
      <c r="P7" s="40" t="str">
        <f aca="false">IFERROR(INDEX('Azure Resource Map'!$D$2:$D$2001,MATCH($C7,'Azure Resource Map'!$A$2:$A$2001,0)),"")</f>
        <v/>
      </c>
      <c r="Q7" s="39" t="str">
        <f aca="false">IFERROR(INDEX('Azure Resource Map'!$E$2:$E$2001,MATCH($C7,'Azure Resource Map'!$A$2:$A$2001,0)),"")</f>
        <v/>
      </c>
      <c r="R7" s="39" t="str">
        <f aca="false">IFERROR(INDEX('Azure Resource Map'!$F$2:$F$2001,MATCH($C7,'Azure Resource Map'!$A$2:$A$2001,0)),"")</f>
        <v/>
      </c>
      <c r="S7" s="37"/>
      <c r="T7" s="39" t="str">
        <f aca="false">IF($C7="","",IF(ISNUMBER(MATCH($C7,'CA Exclusion Map'!$A$2:$A$2001,0)),"Yes","No"))</f>
        <v/>
      </c>
      <c r="U7" s="39" t="str">
        <f aca="false">IFERROR(INDEX('CA Exclusion Map'!$D$2:$D$2001,MATCH($C7,'CA Exclusion Map'!$A$2:$A$2001,0)),"")</f>
        <v/>
      </c>
      <c r="V7" s="40" t="str">
        <f aca="false">IFERROR(INDEX('CA Exclusion Map'!$E$2:$E$2001,MATCH($C7,'CA Exclusion Map'!$A$2:$A$2001,0)),"")</f>
        <v/>
      </c>
      <c r="W7" s="40" t="str">
        <f aca="false">IFERROR(INDEX('CA Exclusion Map'!$F$2:$F$2001,MATCH($C7,'CA Exclusion Map'!$A$2:$A$2001,0)),"")</f>
        <v/>
      </c>
      <c r="X7" s="36"/>
      <c r="Y7" s="37"/>
      <c r="Z7" s="38"/>
      <c r="AA7" s="38"/>
      <c r="AB7" s="39" t="str">
        <f aca="true">IF(T7="","",IF(T7&lt;&gt;"Yes","N/A",IF(AA7="","NO EXPIRY SET",IF(TODAY()&gt;AA7,"EXPIRED",IF(AA7-TODAY()&lt;=30,"Expiring Soon","Active")))))</f>
        <v/>
      </c>
      <c r="AC7" s="36"/>
      <c r="AD7" s="36"/>
      <c r="AE7" s="37"/>
      <c r="AF7" s="36"/>
      <c r="AG7" s="37"/>
      <c r="AH7" s="37"/>
      <c r="AI7" s="37"/>
      <c r="AJ7" s="37"/>
      <c r="AK7" s="38"/>
      <c r="AL7" s="37"/>
      <c r="AM7" s="37"/>
      <c r="AN7" s="41" t="str">
        <f aca="false">IF(AK7="","",AK7+90)</f>
        <v/>
      </c>
      <c r="AO7" s="39" t="str">
        <f aca="true">IF(C7="","",IF(AK7="","NOT REVIEWED",IF(TODAY()&gt;AN7,"OVERDUE",IF(AN7-TODAY()&lt;=14,"Due Soon","Current"))))</f>
        <v/>
      </c>
      <c r="AP7" s="36"/>
    </row>
    <row r="8" customFormat="false" ht="15" hidden="false" customHeight="false" outlineLevel="0" collapsed="false">
      <c r="A8" s="36"/>
      <c r="B8" s="36"/>
      <c r="C8" s="36"/>
      <c r="D8" s="37"/>
      <c r="E8" s="38"/>
      <c r="F8" s="38"/>
      <c r="G8" s="36"/>
      <c r="H8" s="37"/>
      <c r="I8" s="39" t="str">
        <f aca="true">IF(F8="","",TODAY()-F8)</f>
        <v/>
      </c>
      <c r="J8" s="40" t="str">
        <f aca="false">IFERROR(INDEX('Azure Resource Map'!$H$2:$H$2001,MATCH($C8,'Azure Resource Map'!$A$2:$A$2001,0)),"")</f>
        <v/>
      </c>
      <c r="K8" s="40" t="str">
        <f aca="false">IFERROR(INDEX('Azure Resource Map'!$I$2:$I$2001,MATCH($C8,'Azure Resource Map'!$A$2:$A$2001,0)),"")</f>
        <v/>
      </c>
      <c r="L8" s="39" t="str">
        <f aca="false">IFERROR(INDEX('Azure Resource Map'!$J$2:$J$2001,MATCH($C8,'Azure Resource Map'!$A$2:$A$2001,0)),"")</f>
        <v/>
      </c>
      <c r="M8" s="40" t="str">
        <f aca="false">IFERROR(INDEX('Azure Resource Map'!$K$2:$K$2001,MATCH($C8,'Azure Resource Map'!$A$2:$A$2001,0)),"")</f>
        <v/>
      </c>
      <c r="N8" s="39" t="str">
        <f aca="false">IFERROR(INDEX('Azure Resource Map'!$L$2:$L$2001,MATCH($C8,'Azure Resource Map'!$A$2:$A$2001,0)),"")</f>
        <v/>
      </c>
      <c r="O8" s="39" t="str">
        <f aca="false">IFERROR(INDEX('Azure Resource Map'!$M$2:$M$2001,MATCH($C8,'Azure Resource Map'!$A$2:$A$2001,0)),"")</f>
        <v/>
      </c>
      <c r="P8" s="40" t="str">
        <f aca="false">IFERROR(INDEX('Azure Resource Map'!$D$2:$D$2001,MATCH($C8,'Azure Resource Map'!$A$2:$A$2001,0)),"")</f>
        <v/>
      </c>
      <c r="Q8" s="39" t="str">
        <f aca="false">IFERROR(INDEX('Azure Resource Map'!$E$2:$E$2001,MATCH($C8,'Azure Resource Map'!$A$2:$A$2001,0)),"")</f>
        <v/>
      </c>
      <c r="R8" s="39" t="str">
        <f aca="false">IFERROR(INDEX('Azure Resource Map'!$F$2:$F$2001,MATCH($C8,'Azure Resource Map'!$A$2:$A$2001,0)),"")</f>
        <v/>
      </c>
      <c r="S8" s="37"/>
      <c r="T8" s="39" t="str">
        <f aca="false">IF($C8="","",IF(ISNUMBER(MATCH($C8,'CA Exclusion Map'!$A$2:$A$2001,0)),"Yes","No"))</f>
        <v/>
      </c>
      <c r="U8" s="39" t="str">
        <f aca="false">IFERROR(INDEX('CA Exclusion Map'!$D$2:$D$2001,MATCH($C8,'CA Exclusion Map'!$A$2:$A$2001,0)),"")</f>
        <v/>
      </c>
      <c r="V8" s="40" t="str">
        <f aca="false">IFERROR(INDEX('CA Exclusion Map'!$E$2:$E$2001,MATCH($C8,'CA Exclusion Map'!$A$2:$A$2001,0)),"")</f>
        <v/>
      </c>
      <c r="W8" s="40" t="str">
        <f aca="false">IFERROR(INDEX('CA Exclusion Map'!$F$2:$F$2001,MATCH($C8,'CA Exclusion Map'!$A$2:$A$2001,0)),"")</f>
        <v/>
      </c>
      <c r="X8" s="36"/>
      <c r="Y8" s="37"/>
      <c r="Z8" s="38"/>
      <c r="AA8" s="38"/>
      <c r="AB8" s="39" t="str">
        <f aca="true">IF(T8="","",IF(T8&lt;&gt;"Yes","N/A",IF(AA8="","NO EXPIRY SET",IF(TODAY()&gt;AA8,"EXPIRED",IF(AA8-TODAY()&lt;=30,"Expiring Soon","Active")))))</f>
        <v/>
      </c>
      <c r="AC8" s="36"/>
      <c r="AD8" s="36"/>
      <c r="AE8" s="37"/>
      <c r="AF8" s="36"/>
      <c r="AG8" s="37"/>
      <c r="AH8" s="37"/>
      <c r="AI8" s="37"/>
      <c r="AJ8" s="37"/>
      <c r="AK8" s="38"/>
      <c r="AL8" s="37"/>
      <c r="AM8" s="37"/>
      <c r="AN8" s="41" t="str">
        <f aca="false">IF(AK8="","",AK8+90)</f>
        <v/>
      </c>
      <c r="AO8" s="39" t="str">
        <f aca="true">IF(C8="","",IF(AK8="","NOT REVIEWED",IF(TODAY()&gt;AN8,"OVERDUE",IF(AN8-TODAY()&lt;=14,"Due Soon","Current"))))</f>
        <v/>
      </c>
      <c r="AP8" s="36"/>
    </row>
    <row r="9" customFormat="false" ht="15" hidden="false" customHeight="false" outlineLevel="0" collapsed="false">
      <c r="A9" s="36"/>
      <c r="B9" s="36"/>
      <c r="C9" s="36"/>
      <c r="D9" s="37"/>
      <c r="E9" s="38"/>
      <c r="F9" s="38"/>
      <c r="G9" s="36"/>
      <c r="H9" s="37"/>
      <c r="I9" s="39" t="str">
        <f aca="true">IF(F9="","",TODAY()-F9)</f>
        <v/>
      </c>
      <c r="J9" s="40" t="str">
        <f aca="false">IFERROR(INDEX('Azure Resource Map'!$H$2:$H$2001,MATCH($C9,'Azure Resource Map'!$A$2:$A$2001,0)),"")</f>
        <v/>
      </c>
      <c r="K9" s="40" t="str">
        <f aca="false">IFERROR(INDEX('Azure Resource Map'!$I$2:$I$2001,MATCH($C9,'Azure Resource Map'!$A$2:$A$2001,0)),"")</f>
        <v/>
      </c>
      <c r="L9" s="39" t="str">
        <f aca="false">IFERROR(INDEX('Azure Resource Map'!$J$2:$J$2001,MATCH($C9,'Azure Resource Map'!$A$2:$A$2001,0)),"")</f>
        <v/>
      </c>
      <c r="M9" s="40" t="str">
        <f aca="false">IFERROR(INDEX('Azure Resource Map'!$K$2:$K$2001,MATCH($C9,'Azure Resource Map'!$A$2:$A$2001,0)),"")</f>
        <v/>
      </c>
      <c r="N9" s="39" t="str">
        <f aca="false">IFERROR(INDEX('Azure Resource Map'!$L$2:$L$2001,MATCH($C9,'Azure Resource Map'!$A$2:$A$2001,0)),"")</f>
        <v/>
      </c>
      <c r="O9" s="39" t="str">
        <f aca="false">IFERROR(INDEX('Azure Resource Map'!$M$2:$M$2001,MATCH($C9,'Azure Resource Map'!$A$2:$A$2001,0)),"")</f>
        <v/>
      </c>
      <c r="P9" s="40" t="str">
        <f aca="false">IFERROR(INDEX('Azure Resource Map'!$D$2:$D$2001,MATCH($C9,'Azure Resource Map'!$A$2:$A$2001,0)),"")</f>
        <v/>
      </c>
      <c r="Q9" s="39" t="str">
        <f aca="false">IFERROR(INDEX('Azure Resource Map'!$E$2:$E$2001,MATCH($C9,'Azure Resource Map'!$A$2:$A$2001,0)),"")</f>
        <v/>
      </c>
      <c r="R9" s="39" t="str">
        <f aca="false">IFERROR(INDEX('Azure Resource Map'!$F$2:$F$2001,MATCH($C9,'Azure Resource Map'!$A$2:$A$2001,0)),"")</f>
        <v/>
      </c>
      <c r="S9" s="37"/>
      <c r="T9" s="39" t="str">
        <f aca="false">IF($C9="","",IF(ISNUMBER(MATCH($C9,'CA Exclusion Map'!$A$2:$A$2001,0)),"Yes","No"))</f>
        <v/>
      </c>
      <c r="U9" s="39" t="str">
        <f aca="false">IFERROR(INDEX('CA Exclusion Map'!$D$2:$D$2001,MATCH($C9,'CA Exclusion Map'!$A$2:$A$2001,0)),"")</f>
        <v/>
      </c>
      <c r="V9" s="40" t="str">
        <f aca="false">IFERROR(INDEX('CA Exclusion Map'!$E$2:$E$2001,MATCH($C9,'CA Exclusion Map'!$A$2:$A$2001,0)),"")</f>
        <v/>
      </c>
      <c r="W9" s="40" t="str">
        <f aca="false">IFERROR(INDEX('CA Exclusion Map'!$F$2:$F$2001,MATCH($C9,'CA Exclusion Map'!$A$2:$A$2001,0)),"")</f>
        <v/>
      </c>
      <c r="X9" s="36"/>
      <c r="Y9" s="37"/>
      <c r="Z9" s="38"/>
      <c r="AA9" s="38"/>
      <c r="AB9" s="39" t="str">
        <f aca="true">IF(T9="","",IF(T9&lt;&gt;"Yes","N/A",IF(AA9="","NO EXPIRY SET",IF(TODAY()&gt;AA9,"EXPIRED",IF(AA9-TODAY()&lt;=30,"Expiring Soon","Active")))))</f>
        <v/>
      </c>
      <c r="AC9" s="36"/>
      <c r="AD9" s="36"/>
      <c r="AE9" s="37"/>
      <c r="AF9" s="36"/>
      <c r="AG9" s="37"/>
      <c r="AH9" s="37"/>
      <c r="AI9" s="37"/>
      <c r="AJ9" s="37"/>
      <c r="AK9" s="38"/>
      <c r="AL9" s="37"/>
      <c r="AM9" s="37"/>
      <c r="AN9" s="41" t="str">
        <f aca="false">IF(AK9="","",AK9+90)</f>
        <v/>
      </c>
      <c r="AO9" s="39" t="str">
        <f aca="true">IF(C9="","",IF(AK9="","NOT REVIEWED",IF(TODAY()&gt;AN9,"OVERDUE",IF(AN9-TODAY()&lt;=14,"Due Soon","Current"))))</f>
        <v/>
      </c>
      <c r="AP9" s="36"/>
    </row>
    <row r="10" customFormat="false" ht="15" hidden="false" customHeight="false" outlineLevel="0" collapsed="false">
      <c r="A10" s="36"/>
      <c r="B10" s="36"/>
      <c r="C10" s="36"/>
      <c r="D10" s="37"/>
      <c r="E10" s="38"/>
      <c r="F10" s="38"/>
      <c r="G10" s="36"/>
      <c r="H10" s="37"/>
      <c r="I10" s="39" t="str">
        <f aca="true">IF(F10="","",TODAY()-F10)</f>
        <v/>
      </c>
      <c r="J10" s="40" t="str">
        <f aca="false">IFERROR(INDEX('Azure Resource Map'!$H$2:$H$2001,MATCH($C10,'Azure Resource Map'!$A$2:$A$2001,0)),"")</f>
        <v/>
      </c>
      <c r="K10" s="40" t="str">
        <f aca="false">IFERROR(INDEX('Azure Resource Map'!$I$2:$I$2001,MATCH($C10,'Azure Resource Map'!$A$2:$A$2001,0)),"")</f>
        <v/>
      </c>
      <c r="L10" s="39" t="str">
        <f aca="false">IFERROR(INDEX('Azure Resource Map'!$J$2:$J$2001,MATCH($C10,'Azure Resource Map'!$A$2:$A$2001,0)),"")</f>
        <v/>
      </c>
      <c r="M10" s="40" t="str">
        <f aca="false">IFERROR(INDEX('Azure Resource Map'!$K$2:$K$2001,MATCH($C10,'Azure Resource Map'!$A$2:$A$2001,0)),"")</f>
        <v/>
      </c>
      <c r="N10" s="39" t="str">
        <f aca="false">IFERROR(INDEX('Azure Resource Map'!$L$2:$L$2001,MATCH($C10,'Azure Resource Map'!$A$2:$A$2001,0)),"")</f>
        <v/>
      </c>
      <c r="O10" s="39" t="str">
        <f aca="false">IFERROR(INDEX('Azure Resource Map'!$M$2:$M$2001,MATCH($C10,'Azure Resource Map'!$A$2:$A$2001,0)),"")</f>
        <v/>
      </c>
      <c r="P10" s="40" t="str">
        <f aca="false">IFERROR(INDEX('Azure Resource Map'!$D$2:$D$2001,MATCH($C10,'Azure Resource Map'!$A$2:$A$2001,0)),"")</f>
        <v/>
      </c>
      <c r="Q10" s="39" t="str">
        <f aca="false">IFERROR(INDEX('Azure Resource Map'!$E$2:$E$2001,MATCH($C10,'Azure Resource Map'!$A$2:$A$2001,0)),"")</f>
        <v/>
      </c>
      <c r="R10" s="39" t="str">
        <f aca="false">IFERROR(INDEX('Azure Resource Map'!$F$2:$F$2001,MATCH($C10,'Azure Resource Map'!$A$2:$A$2001,0)),"")</f>
        <v/>
      </c>
      <c r="S10" s="37"/>
      <c r="T10" s="39" t="str">
        <f aca="false">IF($C10="","",IF(ISNUMBER(MATCH($C10,'CA Exclusion Map'!$A$2:$A$2001,0)),"Yes","No"))</f>
        <v/>
      </c>
      <c r="U10" s="39" t="str">
        <f aca="false">IFERROR(INDEX('CA Exclusion Map'!$D$2:$D$2001,MATCH($C10,'CA Exclusion Map'!$A$2:$A$2001,0)),"")</f>
        <v/>
      </c>
      <c r="V10" s="40" t="str">
        <f aca="false">IFERROR(INDEX('CA Exclusion Map'!$E$2:$E$2001,MATCH($C10,'CA Exclusion Map'!$A$2:$A$2001,0)),"")</f>
        <v/>
      </c>
      <c r="W10" s="40" t="str">
        <f aca="false">IFERROR(INDEX('CA Exclusion Map'!$F$2:$F$2001,MATCH($C10,'CA Exclusion Map'!$A$2:$A$2001,0)),"")</f>
        <v/>
      </c>
      <c r="X10" s="36"/>
      <c r="Y10" s="37"/>
      <c r="Z10" s="38"/>
      <c r="AA10" s="38"/>
      <c r="AB10" s="39" t="str">
        <f aca="true">IF(T10="","",IF(T10&lt;&gt;"Yes","N/A",IF(AA10="","NO EXPIRY SET",IF(TODAY()&gt;AA10,"EXPIRED",IF(AA10-TODAY()&lt;=30,"Expiring Soon","Active")))))</f>
        <v/>
      </c>
      <c r="AC10" s="36"/>
      <c r="AD10" s="36"/>
      <c r="AE10" s="37"/>
      <c r="AF10" s="36"/>
      <c r="AG10" s="37"/>
      <c r="AH10" s="37"/>
      <c r="AI10" s="37"/>
      <c r="AJ10" s="37"/>
      <c r="AK10" s="38"/>
      <c r="AL10" s="37"/>
      <c r="AM10" s="37"/>
      <c r="AN10" s="41" t="str">
        <f aca="false">IF(AK10="","",AK10+90)</f>
        <v/>
      </c>
      <c r="AO10" s="39" t="str">
        <f aca="true">IF(C10="","",IF(AK10="","NOT REVIEWED",IF(TODAY()&gt;AN10,"OVERDUE",IF(AN10-TODAY()&lt;=14,"Due Soon","Current"))))</f>
        <v/>
      </c>
      <c r="AP10" s="36"/>
    </row>
    <row r="11" customFormat="false" ht="15" hidden="false" customHeight="false" outlineLevel="0" collapsed="false">
      <c r="A11" s="36"/>
      <c r="B11" s="36"/>
      <c r="C11" s="36"/>
      <c r="D11" s="37"/>
      <c r="E11" s="38"/>
      <c r="F11" s="38"/>
      <c r="G11" s="36"/>
      <c r="H11" s="37"/>
      <c r="I11" s="39" t="str">
        <f aca="true">IF(F11="","",TODAY()-F11)</f>
        <v/>
      </c>
      <c r="J11" s="40" t="str">
        <f aca="false">IFERROR(INDEX('Azure Resource Map'!$H$2:$H$2001,MATCH($C11,'Azure Resource Map'!$A$2:$A$2001,0)),"")</f>
        <v/>
      </c>
      <c r="K11" s="40" t="str">
        <f aca="false">IFERROR(INDEX('Azure Resource Map'!$I$2:$I$2001,MATCH($C11,'Azure Resource Map'!$A$2:$A$2001,0)),"")</f>
        <v/>
      </c>
      <c r="L11" s="39" t="str">
        <f aca="false">IFERROR(INDEX('Azure Resource Map'!$J$2:$J$2001,MATCH($C11,'Azure Resource Map'!$A$2:$A$2001,0)),"")</f>
        <v/>
      </c>
      <c r="M11" s="40" t="str">
        <f aca="false">IFERROR(INDEX('Azure Resource Map'!$K$2:$K$2001,MATCH($C11,'Azure Resource Map'!$A$2:$A$2001,0)),"")</f>
        <v/>
      </c>
      <c r="N11" s="39" t="str">
        <f aca="false">IFERROR(INDEX('Azure Resource Map'!$L$2:$L$2001,MATCH($C11,'Azure Resource Map'!$A$2:$A$2001,0)),"")</f>
        <v/>
      </c>
      <c r="O11" s="39" t="str">
        <f aca="false">IFERROR(INDEX('Azure Resource Map'!$M$2:$M$2001,MATCH($C11,'Azure Resource Map'!$A$2:$A$2001,0)),"")</f>
        <v/>
      </c>
      <c r="P11" s="40" t="str">
        <f aca="false">IFERROR(INDEX('Azure Resource Map'!$D$2:$D$2001,MATCH($C11,'Azure Resource Map'!$A$2:$A$2001,0)),"")</f>
        <v/>
      </c>
      <c r="Q11" s="39" t="str">
        <f aca="false">IFERROR(INDEX('Azure Resource Map'!$E$2:$E$2001,MATCH($C11,'Azure Resource Map'!$A$2:$A$2001,0)),"")</f>
        <v/>
      </c>
      <c r="R11" s="39" t="str">
        <f aca="false">IFERROR(INDEX('Azure Resource Map'!$F$2:$F$2001,MATCH($C11,'Azure Resource Map'!$A$2:$A$2001,0)),"")</f>
        <v/>
      </c>
      <c r="S11" s="37"/>
      <c r="T11" s="39" t="str">
        <f aca="false">IF($C11="","",IF(ISNUMBER(MATCH($C11,'CA Exclusion Map'!$A$2:$A$2001,0)),"Yes","No"))</f>
        <v/>
      </c>
      <c r="U11" s="39" t="str">
        <f aca="false">IFERROR(INDEX('CA Exclusion Map'!$D$2:$D$2001,MATCH($C11,'CA Exclusion Map'!$A$2:$A$2001,0)),"")</f>
        <v/>
      </c>
      <c r="V11" s="40" t="str">
        <f aca="false">IFERROR(INDEX('CA Exclusion Map'!$E$2:$E$2001,MATCH($C11,'CA Exclusion Map'!$A$2:$A$2001,0)),"")</f>
        <v/>
      </c>
      <c r="W11" s="40" t="str">
        <f aca="false">IFERROR(INDEX('CA Exclusion Map'!$F$2:$F$2001,MATCH($C11,'CA Exclusion Map'!$A$2:$A$2001,0)),"")</f>
        <v/>
      </c>
      <c r="X11" s="36"/>
      <c r="Y11" s="37"/>
      <c r="Z11" s="38"/>
      <c r="AA11" s="38"/>
      <c r="AB11" s="39" t="str">
        <f aca="true">IF(T11="","",IF(T11&lt;&gt;"Yes","N/A",IF(AA11="","NO EXPIRY SET",IF(TODAY()&gt;AA11,"EXPIRED",IF(AA11-TODAY()&lt;=30,"Expiring Soon","Active")))))</f>
        <v/>
      </c>
      <c r="AC11" s="36"/>
      <c r="AD11" s="36"/>
      <c r="AE11" s="37"/>
      <c r="AF11" s="36"/>
      <c r="AG11" s="37"/>
      <c r="AH11" s="37"/>
      <c r="AI11" s="37"/>
      <c r="AJ11" s="37"/>
      <c r="AK11" s="38"/>
      <c r="AL11" s="37"/>
      <c r="AM11" s="37"/>
      <c r="AN11" s="41" t="str">
        <f aca="false">IF(AK11="","",AK11+90)</f>
        <v/>
      </c>
      <c r="AO11" s="39" t="str">
        <f aca="true">IF(C11="","",IF(AK11="","NOT REVIEWED",IF(TODAY()&gt;AN11,"OVERDUE",IF(AN11-TODAY()&lt;=14,"Due Soon","Current"))))</f>
        <v/>
      </c>
      <c r="AP11" s="36"/>
    </row>
    <row r="12" customFormat="false" ht="15" hidden="false" customHeight="false" outlineLevel="0" collapsed="false">
      <c r="A12" s="36"/>
      <c r="B12" s="36"/>
      <c r="C12" s="36"/>
      <c r="D12" s="37"/>
      <c r="E12" s="38"/>
      <c r="F12" s="38"/>
      <c r="G12" s="36"/>
      <c r="H12" s="37"/>
      <c r="I12" s="39" t="str">
        <f aca="true">IF(F12="","",TODAY()-F12)</f>
        <v/>
      </c>
      <c r="J12" s="40" t="str">
        <f aca="false">IFERROR(INDEX('Azure Resource Map'!$H$2:$H$2001,MATCH($C12,'Azure Resource Map'!$A$2:$A$2001,0)),"")</f>
        <v/>
      </c>
      <c r="K12" s="40" t="str">
        <f aca="false">IFERROR(INDEX('Azure Resource Map'!$I$2:$I$2001,MATCH($C12,'Azure Resource Map'!$A$2:$A$2001,0)),"")</f>
        <v/>
      </c>
      <c r="L12" s="39" t="str">
        <f aca="false">IFERROR(INDEX('Azure Resource Map'!$J$2:$J$2001,MATCH($C12,'Azure Resource Map'!$A$2:$A$2001,0)),"")</f>
        <v/>
      </c>
      <c r="M12" s="40" t="str">
        <f aca="false">IFERROR(INDEX('Azure Resource Map'!$K$2:$K$2001,MATCH($C12,'Azure Resource Map'!$A$2:$A$2001,0)),"")</f>
        <v/>
      </c>
      <c r="N12" s="39" t="str">
        <f aca="false">IFERROR(INDEX('Azure Resource Map'!$L$2:$L$2001,MATCH($C12,'Azure Resource Map'!$A$2:$A$2001,0)),"")</f>
        <v/>
      </c>
      <c r="O12" s="39" t="str">
        <f aca="false">IFERROR(INDEX('Azure Resource Map'!$M$2:$M$2001,MATCH($C12,'Azure Resource Map'!$A$2:$A$2001,0)),"")</f>
        <v/>
      </c>
      <c r="P12" s="40" t="str">
        <f aca="false">IFERROR(INDEX('Azure Resource Map'!$D$2:$D$2001,MATCH($C12,'Azure Resource Map'!$A$2:$A$2001,0)),"")</f>
        <v/>
      </c>
      <c r="Q12" s="39" t="str">
        <f aca="false">IFERROR(INDEX('Azure Resource Map'!$E$2:$E$2001,MATCH($C12,'Azure Resource Map'!$A$2:$A$2001,0)),"")</f>
        <v/>
      </c>
      <c r="R12" s="39" t="str">
        <f aca="false">IFERROR(INDEX('Azure Resource Map'!$F$2:$F$2001,MATCH($C12,'Azure Resource Map'!$A$2:$A$2001,0)),"")</f>
        <v/>
      </c>
      <c r="S12" s="37"/>
      <c r="T12" s="39" t="str">
        <f aca="false">IF($C12="","",IF(ISNUMBER(MATCH($C12,'CA Exclusion Map'!$A$2:$A$2001,0)),"Yes","No"))</f>
        <v/>
      </c>
      <c r="U12" s="39" t="str">
        <f aca="false">IFERROR(INDEX('CA Exclusion Map'!$D$2:$D$2001,MATCH($C12,'CA Exclusion Map'!$A$2:$A$2001,0)),"")</f>
        <v/>
      </c>
      <c r="V12" s="40" t="str">
        <f aca="false">IFERROR(INDEX('CA Exclusion Map'!$E$2:$E$2001,MATCH($C12,'CA Exclusion Map'!$A$2:$A$2001,0)),"")</f>
        <v/>
      </c>
      <c r="W12" s="40" t="str">
        <f aca="false">IFERROR(INDEX('CA Exclusion Map'!$F$2:$F$2001,MATCH($C12,'CA Exclusion Map'!$A$2:$A$2001,0)),"")</f>
        <v/>
      </c>
      <c r="X12" s="36"/>
      <c r="Y12" s="37"/>
      <c r="Z12" s="38"/>
      <c r="AA12" s="38"/>
      <c r="AB12" s="39" t="str">
        <f aca="true">IF(T12="","",IF(T12&lt;&gt;"Yes","N/A",IF(AA12="","NO EXPIRY SET",IF(TODAY()&gt;AA12,"EXPIRED",IF(AA12-TODAY()&lt;=30,"Expiring Soon","Active")))))</f>
        <v/>
      </c>
      <c r="AC12" s="36"/>
      <c r="AD12" s="36"/>
      <c r="AE12" s="37"/>
      <c r="AF12" s="36"/>
      <c r="AG12" s="37"/>
      <c r="AH12" s="37"/>
      <c r="AI12" s="37"/>
      <c r="AJ12" s="37"/>
      <c r="AK12" s="38"/>
      <c r="AL12" s="37"/>
      <c r="AM12" s="37"/>
      <c r="AN12" s="41" t="str">
        <f aca="false">IF(AK12="","",AK12+90)</f>
        <v/>
      </c>
      <c r="AO12" s="39" t="str">
        <f aca="true">IF(C12="","",IF(AK12="","NOT REVIEWED",IF(TODAY()&gt;AN12,"OVERDUE",IF(AN12-TODAY()&lt;=14,"Due Soon","Current"))))</f>
        <v/>
      </c>
      <c r="AP12" s="36"/>
    </row>
    <row r="13" customFormat="false" ht="15" hidden="false" customHeight="false" outlineLevel="0" collapsed="false">
      <c r="A13" s="36"/>
      <c r="B13" s="36"/>
      <c r="C13" s="36"/>
      <c r="D13" s="37"/>
      <c r="E13" s="38"/>
      <c r="F13" s="38"/>
      <c r="G13" s="36"/>
      <c r="H13" s="37"/>
      <c r="I13" s="39" t="str">
        <f aca="true">IF(F13="","",TODAY()-F13)</f>
        <v/>
      </c>
      <c r="J13" s="40" t="str">
        <f aca="false">IFERROR(INDEX('Azure Resource Map'!$H$2:$H$2001,MATCH($C13,'Azure Resource Map'!$A$2:$A$2001,0)),"")</f>
        <v/>
      </c>
      <c r="K13" s="40" t="str">
        <f aca="false">IFERROR(INDEX('Azure Resource Map'!$I$2:$I$2001,MATCH($C13,'Azure Resource Map'!$A$2:$A$2001,0)),"")</f>
        <v/>
      </c>
      <c r="L13" s="39" t="str">
        <f aca="false">IFERROR(INDEX('Azure Resource Map'!$J$2:$J$2001,MATCH($C13,'Azure Resource Map'!$A$2:$A$2001,0)),"")</f>
        <v/>
      </c>
      <c r="M13" s="40" t="str">
        <f aca="false">IFERROR(INDEX('Azure Resource Map'!$K$2:$K$2001,MATCH($C13,'Azure Resource Map'!$A$2:$A$2001,0)),"")</f>
        <v/>
      </c>
      <c r="N13" s="39" t="str">
        <f aca="false">IFERROR(INDEX('Azure Resource Map'!$L$2:$L$2001,MATCH($C13,'Azure Resource Map'!$A$2:$A$2001,0)),"")</f>
        <v/>
      </c>
      <c r="O13" s="39" t="str">
        <f aca="false">IFERROR(INDEX('Azure Resource Map'!$M$2:$M$2001,MATCH($C13,'Azure Resource Map'!$A$2:$A$2001,0)),"")</f>
        <v/>
      </c>
      <c r="P13" s="40" t="str">
        <f aca="false">IFERROR(INDEX('Azure Resource Map'!$D$2:$D$2001,MATCH($C13,'Azure Resource Map'!$A$2:$A$2001,0)),"")</f>
        <v/>
      </c>
      <c r="Q13" s="39" t="str">
        <f aca="false">IFERROR(INDEX('Azure Resource Map'!$E$2:$E$2001,MATCH($C13,'Azure Resource Map'!$A$2:$A$2001,0)),"")</f>
        <v/>
      </c>
      <c r="R13" s="39" t="str">
        <f aca="false">IFERROR(INDEX('Azure Resource Map'!$F$2:$F$2001,MATCH($C13,'Azure Resource Map'!$A$2:$A$2001,0)),"")</f>
        <v/>
      </c>
      <c r="S13" s="37"/>
      <c r="T13" s="39" t="str">
        <f aca="false">IF($C13="","",IF(ISNUMBER(MATCH($C13,'CA Exclusion Map'!$A$2:$A$2001,0)),"Yes","No"))</f>
        <v/>
      </c>
      <c r="U13" s="39" t="str">
        <f aca="false">IFERROR(INDEX('CA Exclusion Map'!$D$2:$D$2001,MATCH($C13,'CA Exclusion Map'!$A$2:$A$2001,0)),"")</f>
        <v/>
      </c>
      <c r="V13" s="40" t="str">
        <f aca="false">IFERROR(INDEX('CA Exclusion Map'!$E$2:$E$2001,MATCH($C13,'CA Exclusion Map'!$A$2:$A$2001,0)),"")</f>
        <v/>
      </c>
      <c r="W13" s="40" t="str">
        <f aca="false">IFERROR(INDEX('CA Exclusion Map'!$F$2:$F$2001,MATCH($C13,'CA Exclusion Map'!$A$2:$A$2001,0)),"")</f>
        <v/>
      </c>
      <c r="X13" s="36"/>
      <c r="Y13" s="37"/>
      <c r="Z13" s="38"/>
      <c r="AA13" s="38"/>
      <c r="AB13" s="39" t="str">
        <f aca="true">IF(T13="","",IF(T13&lt;&gt;"Yes","N/A",IF(AA13="","NO EXPIRY SET",IF(TODAY()&gt;AA13,"EXPIRED",IF(AA13-TODAY()&lt;=30,"Expiring Soon","Active")))))</f>
        <v/>
      </c>
      <c r="AC13" s="36"/>
      <c r="AD13" s="36"/>
      <c r="AE13" s="37"/>
      <c r="AF13" s="36"/>
      <c r="AG13" s="37"/>
      <c r="AH13" s="37"/>
      <c r="AI13" s="37"/>
      <c r="AJ13" s="37"/>
      <c r="AK13" s="38"/>
      <c r="AL13" s="37"/>
      <c r="AM13" s="37"/>
      <c r="AN13" s="41" t="str">
        <f aca="false">IF(AK13="","",AK13+90)</f>
        <v/>
      </c>
      <c r="AO13" s="39" t="str">
        <f aca="true">IF(C13="","",IF(AK13="","NOT REVIEWED",IF(TODAY()&gt;AN13,"OVERDUE",IF(AN13-TODAY()&lt;=14,"Due Soon","Current"))))</f>
        <v/>
      </c>
      <c r="AP13" s="36"/>
    </row>
    <row r="14" customFormat="false" ht="15" hidden="false" customHeight="false" outlineLevel="0" collapsed="false">
      <c r="A14" s="36"/>
      <c r="B14" s="36"/>
      <c r="C14" s="36"/>
      <c r="D14" s="37"/>
      <c r="E14" s="38"/>
      <c r="F14" s="38"/>
      <c r="G14" s="36"/>
      <c r="H14" s="37"/>
      <c r="I14" s="39" t="str">
        <f aca="true">IF(F14="","",TODAY()-F14)</f>
        <v/>
      </c>
      <c r="J14" s="40" t="str">
        <f aca="false">IFERROR(INDEX('Azure Resource Map'!$H$2:$H$2001,MATCH($C14,'Azure Resource Map'!$A$2:$A$2001,0)),"")</f>
        <v/>
      </c>
      <c r="K14" s="40" t="str">
        <f aca="false">IFERROR(INDEX('Azure Resource Map'!$I$2:$I$2001,MATCH($C14,'Azure Resource Map'!$A$2:$A$2001,0)),"")</f>
        <v/>
      </c>
      <c r="L14" s="39" t="str">
        <f aca="false">IFERROR(INDEX('Azure Resource Map'!$J$2:$J$2001,MATCH($C14,'Azure Resource Map'!$A$2:$A$2001,0)),"")</f>
        <v/>
      </c>
      <c r="M14" s="40" t="str">
        <f aca="false">IFERROR(INDEX('Azure Resource Map'!$K$2:$K$2001,MATCH($C14,'Azure Resource Map'!$A$2:$A$2001,0)),"")</f>
        <v/>
      </c>
      <c r="N14" s="39" t="str">
        <f aca="false">IFERROR(INDEX('Azure Resource Map'!$L$2:$L$2001,MATCH($C14,'Azure Resource Map'!$A$2:$A$2001,0)),"")</f>
        <v/>
      </c>
      <c r="O14" s="39" t="str">
        <f aca="false">IFERROR(INDEX('Azure Resource Map'!$M$2:$M$2001,MATCH($C14,'Azure Resource Map'!$A$2:$A$2001,0)),"")</f>
        <v/>
      </c>
      <c r="P14" s="40" t="str">
        <f aca="false">IFERROR(INDEX('Azure Resource Map'!$D$2:$D$2001,MATCH($C14,'Azure Resource Map'!$A$2:$A$2001,0)),"")</f>
        <v/>
      </c>
      <c r="Q14" s="39" t="str">
        <f aca="false">IFERROR(INDEX('Azure Resource Map'!$E$2:$E$2001,MATCH($C14,'Azure Resource Map'!$A$2:$A$2001,0)),"")</f>
        <v/>
      </c>
      <c r="R14" s="39" t="str">
        <f aca="false">IFERROR(INDEX('Azure Resource Map'!$F$2:$F$2001,MATCH($C14,'Azure Resource Map'!$A$2:$A$2001,0)),"")</f>
        <v/>
      </c>
      <c r="S14" s="37"/>
      <c r="T14" s="39" t="str">
        <f aca="false">IF($C14="","",IF(ISNUMBER(MATCH($C14,'CA Exclusion Map'!$A$2:$A$2001,0)),"Yes","No"))</f>
        <v/>
      </c>
      <c r="U14" s="39" t="str">
        <f aca="false">IFERROR(INDEX('CA Exclusion Map'!$D$2:$D$2001,MATCH($C14,'CA Exclusion Map'!$A$2:$A$2001,0)),"")</f>
        <v/>
      </c>
      <c r="V14" s="40" t="str">
        <f aca="false">IFERROR(INDEX('CA Exclusion Map'!$E$2:$E$2001,MATCH($C14,'CA Exclusion Map'!$A$2:$A$2001,0)),"")</f>
        <v/>
      </c>
      <c r="W14" s="40" t="str">
        <f aca="false">IFERROR(INDEX('CA Exclusion Map'!$F$2:$F$2001,MATCH($C14,'CA Exclusion Map'!$A$2:$A$2001,0)),"")</f>
        <v/>
      </c>
      <c r="X14" s="36"/>
      <c r="Y14" s="37"/>
      <c r="Z14" s="38"/>
      <c r="AA14" s="38"/>
      <c r="AB14" s="39" t="str">
        <f aca="true">IF(T14="","",IF(T14&lt;&gt;"Yes","N/A",IF(AA14="","NO EXPIRY SET",IF(TODAY()&gt;AA14,"EXPIRED",IF(AA14-TODAY()&lt;=30,"Expiring Soon","Active")))))</f>
        <v/>
      </c>
      <c r="AC14" s="36"/>
      <c r="AD14" s="36"/>
      <c r="AE14" s="37"/>
      <c r="AF14" s="36"/>
      <c r="AG14" s="37"/>
      <c r="AH14" s="37"/>
      <c r="AI14" s="37"/>
      <c r="AJ14" s="37"/>
      <c r="AK14" s="38"/>
      <c r="AL14" s="37"/>
      <c r="AM14" s="37"/>
      <c r="AN14" s="41" t="str">
        <f aca="false">IF(AK14="","",AK14+90)</f>
        <v/>
      </c>
      <c r="AO14" s="39" t="str">
        <f aca="true">IF(C14="","",IF(AK14="","NOT REVIEWED",IF(TODAY()&gt;AN14,"OVERDUE",IF(AN14-TODAY()&lt;=14,"Due Soon","Current"))))</f>
        <v/>
      </c>
      <c r="AP14" s="36"/>
    </row>
    <row r="15" customFormat="false" ht="15" hidden="false" customHeight="false" outlineLevel="0" collapsed="false">
      <c r="A15" s="36"/>
      <c r="B15" s="36"/>
      <c r="C15" s="36"/>
      <c r="D15" s="37"/>
      <c r="E15" s="38"/>
      <c r="F15" s="38"/>
      <c r="G15" s="36"/>
      <c r="H15" s="37"/>
      <c r="I15" s="39" t="str">
        <f aca="true">IF(F15="","",TODAY()-F15)</f>
        <v/>
      </c>
      <c r="J15" s="40" t="str">
        <f aca="false">IFERROR(INDEX('Azure Resource Map'!$H$2:$H$2001,MATCH($C15,'Azure Resource Map'!$A$2:$A$2001,0)),"")</f>
        <v/>
      </c>
      <c r="K15" s="40" t="str">
        <f aca="false">IFERROR(INDEX('Azure Resource Map'!$I$2:$I$2001,MATCH($C15,'Azure Resource Map'!$A$2:$A$2001,0)),"")</f>
        <v/>
      </c>
      <c r="L15" s="39" t="str">
        <f aca="false">IFERROR(INDEX('Azure Resource Map'!$J$2:$J$2001,MATCH($C15,'Azure Resource Map'!$A$2:$A$2001,0)),"")</f>
        <v/>
      </c>
      <c r="M15" s="40" t="str">
        <f aca="false">IFERROR(INDEX('Azure Resource Map'!$K$2:$K$2001,MATCH($C15,'Azure Resource Map'!$A$2:$A$2001,0)),"")</f>
        <v/>
      </c>
      <c r="N15" s="39" t="str">
        <f aca="false">IFERROR(INDEX('Azure Resource Map'!$L$2:$L$2001,MATCH($C15,'Azure Resource Map'!$A$2:$A$2001,0)),"")</f>
        <v/>
      </c>
      <c r="O15" s="39" t="str">
        <f aca="false">IFERROR(INDEX('Azure Resource Map'!$M$2:$M$2001,MATCH($C15,'Azure Resource Map'!$A$2:$A$2001,0)),"")</f>
        <v/>
      </c>
      <c r="P15" s="40" t="str">
        <f aca="false">IFERROR(INDEX('Azure Resource Map'!$D$2:$D$2001,MATCH($C15,'Azure Resource Map'!$A$2:$A$2001,0)),"")</f>
        <v/>
      </c>
      <c r="Q15" s="39" t="str">
        <f aca="false">IFERROR(INDEX('Azure Resource Map'!$E$2:$E$2001,MATCH($C15,'Azure Resource Map'!$A$2:$A$2001,0)),"")</f>
        <v/>
      </c>
      <c r="R15" s="39" t="str">
        <f aca="false">IFERROR(INDEX('Azure Resource Map'!$F$2:$F$2001,MATCH($C15,'Azure Resource Map'!$A$2:$A$2001,0)),"")</f>
        <v/>
      </c>
      <c r="S15" s="37"/>
      <c r="T15" s="39" t="str">
        <f aca="false">IF($C15="","",IF(ISNUMBER(MATCH($C15,'CA Exclusion Map'!$A$2:$A$2001,0)),"Yes","No"))</f>
        <v/>
      </c>
      <c r="U15" s="39" t="str">
        <f aca="false">IFERROR(INDEX('CA Exclusion Map'!$D$2:$D$2001,MATCH($C15,'CA Exclusion Map'!$A$2:$A$2001,0)),"")</f>
        <v/>
      </c>
      <c r="V15" s="40" t="str">
        <f aca="false">IFERROR(INDEX('CA Exclusion Map'!$E$2:$E$2001,MATCH($C15,'CA Exclusion Map'!$A$2:$A$2001,0)),"")</f>
        <v/>
      </c>
      <c r="W15" s="40" t="str">
        <f aca="false">IFERROR(INDEX('CA Exclusion Map'!$F$2:$F$2001,MATCH($C15,'CA Exclusion Map'!$A$2:$A$2001,0)),"")</f>
        <v/>
      </c>
      <c r="X15" s="36"/>
      <c r="Y15" s="37"/>
      <c r="Z15" s="38"/>
      <c r="AA15" s="38"/>
      <c r="AB15" s="39" t="str">
        <f aca="true">IF(T15="","",IF(T15&lt;&gt;"Yes","N/A",IF(AA15="","NO EXPIRY SET",IF(TODAY()&gt;AA15,"EXPIRED",IF(AA15-TODAY()&lt;=30,"Expiring Soon","Active")))))</f>
        <v/>
      </c>
      <c r="AC15" s="36"/>
      <c r="AD15" s="36"/>
      <c r="AE15" s="37"/>
      <c r="AF15" s="36"/>
      <c r="AG15" s="37"/>
      <c r="AH15" s="37"/>
      <c r="AI15" s="37"/>
      <c r="AJ15" s="37"/>
      <c r="AK15" s="38"/>
      <c r="AL15" s="37"/>
      <c r="AM15" s="37"/>
      <c r="AN15" s="41" t="str">
        <f aca="false">IF(AK15="","",AK15+90)</f>
        <v/>
      </c>
      <c r="AO15" s="39" t="str">
        <f aca="true">IF(C15="","",IF(AK15="","NOT REVIEWED",IF(TODAY()&gt;AN15,"OVERDUE",IF(AN15-TODAY()&lt;=14,"Due Soon","Current"))))</f>
        <v/>
      </c>
      <c r="AP15" s="36"/>
    </row>
    <row r="16" customFormat="false" ht="15" hidden="false" customHeight="false" outlineLevel="0" collapsed="false">
      <c r="A16" s="36"/>
      <c r="B16" s="36"/>
      <c r="C16" s="36"/>
      <c r="D16" s="37"/>
      <c r="E16" s="38"/>
      <c r="F16" s="38"/>
      <c r="G16" s="36"/>
      <c r="H16" s="37"/>
      <c r="I16" s="39" t="str">
        <f aca="true">IF(F16="","",TODAY()-F16)</f>
        <v/>
      </c>
      <c r="J16" s="40" t="str">
        <f aca="false">IFERROR(INDEX('Azure Resource Map'!$H$2:$H$2001,MATCH($C16,'Azure Resource Map'!$A$2:$A$2001,0)),"")</f>
        <v/>
      </c>
      <c r="K16" s="40" t="str">
        <f aca="false">IFERROR(INDEX('Azure Resource Map'!$I$2:$I$2001,MATCH($C16,'Azure Resource Map'!$A$2:$A$2001,0)),"")</f>
        <v/>
      </c>
      <c r="L16" s="39" t="str">
        <f aca="false">IFERROR(INDEX('Azure Resource Map'!$J$2:$J$2001,MATCH($C16,'Azure Resource Map'!$A$2:$A$2001,0)),"")</f>
        <v/>
      </c>
      <c r="M16" s="40" t="str">
        <f aca="false">IFERROR(INDEX('Azure Resource Map'!$K$2:$K$2001,MATCH($C16,'Azure Resource Map'!$A$2:$A$2001,0)),"")</f>
        <v/>
      </c>
      <c r="N16" s="39" t="str">
        <f aca="false">IFERROR(INDEX('Azure Resource Map'!$L$2:$L$2001,MATCH($C16,'Azure Resource Map'!$A$2:$A$2001,0)),"")</f>
        <v/>
      </c>
      <c r="O16" s="39" t="str">
        <f aca="false">IFERROR(INDEX('Azure Resource Map'!$M$2:$M$2001,MATCH($C16,'Azure Resource Map'!$A$2:$A$2001,0)),"")</f>
        <v/>
      </c>
      <c r="P16" s="40" t="str">
        <f aca="false">IFERROR(INDEX('Azure Resource Map'!$D$2:$D$2001,MATCH($C16,'Azure Resource Map'!$A$2:$A$2001,0)),"")</f>
        <v/>
      </c>
      <c r="Q16" s="39" t="str">
        <f aca="false">IFERROR(INDEX('Azure Resource Map'!$E$2:$E$2001,MATCH($C16,'Azure Resource Map'!$A$2:$A$2001,0)),"")</f>
        <v/>
      </c>
      <c r="R16" s="39" t="str">
        <f aca="false">IFERROR(INDEX('Azure Resource Map'!$F$2:$F$2001,MATCH($C16,'Azure Resource Map'!$A$2:$A$2001,0)),"")</f>
        <v/>
      </c>
      <c r="S16" s="37"/>
      <c r="T16" s="39" t="str">
        <f aca="false">IF($C16="","",IF(ISNUMBER(MATCH($C16,'CA Exclusion Map'!$A$2:$A$2001,0)),"Yes","No"))</f>
        <v/>
      </c>
      <c r="U16" s="39" t="str">
        <f aca="false">IFERROR(INDEX('CA Exclusion Map'!$D$2:$D$2001,MATCH($C16,'CA Exclusion Map'!$A$2:$A$2001,0)),"")</f>
        <v/>
      </c>
      <c r="V16" s="40" t="str">
        <f aca="false">IFERROR(INDEX('CA Exclusion Map'!$E$2:$E$2001,MATCH($C16,'CA Exclusion Map'!$A$2:$A$2001,0)),"")</f>
        <v/>
      </c>
      <c r="W16" s="40" t="str">
        <f aca="false">IFERROR(INDEX('CA Exclusion Map'!$F$2:$F$2001,MATCH($C16,'CA Exclusion Map'!$A$2:$A$2001,0)),"")</f>
        <v/>
      </c>
      <c r="X16" s="36"/>
      <c r="Y16" s="37"/>
      <c r="Z16" s="38"/>
      <c r="AA16" s="38"/>
      <c r="AB16" s="39" t="str">
        <f aca="true">IF(T16="","",IF(T16&lt;&gt;"Yes","N/A",IF(AA16="","NO EXPIRY SET",IF(TODAY()&gt;AA16,"EXPIRED",IF(AA16-TODAY()&lt;=30,"Expiring Soon","Active")))))</f>
        <v/>
      </c>
      <c r="AC16" s="36"/>
      <c r="AD16" s="36"/>
      <c r="AE16" s="37"/>
      <c r="AF16" s="36"/>
      <c r="AG16" s="37"/>
      <c r="AH16" s="37"/>
      <c r="AI16" s="37"/>
      <c r="AJ16" s="37"/>
      <c r="AK16" s="38"/>
      <c r="AL16" s="37"/>
      <c r="AM16" s="37"/>
      <c r="AN16" s="41" t="str">
        <f aca="false">IF(AK16="","",AK16+90)</f>
        <v/>
      </c>
      <c r="AO16" s="39" t="str">
        <f aca="true">IF(C16="","",IF(AK16="","NOT REVIEWED",IF(TODAY()&gt;AN16,"OVERDUE",IF(AN16-TODAY()&lt;=14,"Due Soon","Current"))))</f>
        <v/>
      </c>
      <c r="AP16" s="36"/>
    </row>
    <row r="17" customFormat="false" ht="15" hidden="false" customHeight="false" outlineLevel="0" collapsed="false">
      <c r="A17" s="36"/>
      <c r="B17" s="36"/>
      <c r="C17" s="36"/>
      <c r="D17" s="37"/>
      <c r="E17" s="38"/>
      <c r="F17" s="38"/>
      <c r="G17" s="36"/>
      <c r="H17" s="37"/>
      <c r="I17" s="39" t="str">
        <f aca="true">IF(F17="","",TODAY()-F17)</f>
        <v/>
      </c>
      <c r="J17" s="40" t="str">
        <f aca="false">IFERROR(INDEX('Azure Resource Map'!$H$2:$H$2001,MATCH($C17,'Azure Resource Map'!$A$2:$A$2001,0)),"")</f>
        <v/>
      </c>
      <c r="K17" s="40" t="str">
        <f aca="false">IFERROR(INDEX('Azure Resource Map'!$I$2:$I$2001,MATCH($C17,'Azure Resource Map'!$A$2:$A$2001,0)),"")</f>
        <v/>
      </c>
      <c r="L17" s="39" t="str">
        <f aca="false">IFERROR(INDEX('Azure Resource Map'!$J$2:$J$2001,MATCH($C17,'Azure Resource Map'!$A$2:$A$2001,0)),"")</f>
        <v/>
      </c>
      <c r="M17" s="40" t="str">
        <f aca="false">IFERROR(INDEX('Azure Resource Map'!$K$2:$K$2001,MATCH($C17,'Azure Resource Map'!$A$2:$A$2001,0)),"")</f>
        <v/>
      </c>
      <c r="N17" s="39" t="str">
        <f aca="false">IFERROR(INDEX('Azure Resource Map'!$L$2:$L$2001,MATCH($C17,'Azure Resource Map'!$A$2:$A$2001,0)),"")</f>
        <v/>
      </c>
      <c r="O17" s="39" t="str">
        <f aca="false">IFERROR(INDEX('Azure Resource Map'!$M$2:$M$2001,MATCH($C17,'Azure Resource Map'!$A$2:$A$2001,0)),"")</f>
        <v/>
      </c>
      <c r="P17" s="40" t="str">
        <f aca="false">IFERROR(INDEX('Azure Resource Map'!$D$2:$D$2001,MATCH($C17,'Azure Resource Map'!$A$2:$A$2001,0)),"")</f>
        <v/>
      </c>
      <c r="Q17" s="39" t="str">
        <f aca="false">IFERROR(INDEX('Azure Resource Map'!$E$2:$E$2001,MATCH($C17,'Azure Resource Map'!$A$2:$A$2001,0)),"")</f>
        <v/>
      </c>
      <c r="R17" s="39" t="str">
        <f aca="false">IFERROR(INDEX('Azure Resource Map'!$F$2:$F$2001,MATCH($C17,'Azure Resource Map'!$A$2:$A$2001,0)),"")</f>
        <v/>
      </c>
      <c r="S17" s="37"/>
      <c r="T17" s="39" t="str">
        <f aca="false">IF($C17="","",IF(ISNUMBER(MATCH($C17,'CA Exclusion Map'!$A$2:$A$2001,0)),"Yes","No"))</f>
        <v/>
      </c>
      <c r="U17" s="39" t="str">
        <f aca="false">IFERROR(INDEX('CA Exclusion Map'!$D$2:$D$2001,MATCH($C17,'CA Exclusion Map'!$A$2:$A$2001,0)),"")</f>
        <v/>
      </c>
      <c r="V17" s="40" t="str">
        <f aca="false">IFERROR(INDEX('CA Exclusion Map'!$E$2:$E$2001,MATCH($C17,'CA Exclusion Map'!$A$2:$A$2001,0)),"")</f>
        <v/>
      </c>
      <c r="W17" s="40" t="str">
        <f aca="false">IFERROR(INDEX('CA Exclusion Map'!$F$2:$F$2001,MATCH($C17,'CA Exclusion Map'!$A$2:$A$2001,0)),"")</f>
        <v/>
      </c>
      <c r="X17" s="36"/>
      <c r="Y17" s="37"/>
      <c r="Z17" s="38"/>
      <c r="AA17" s="38"/>
      <c r="AB17" s="39" t="str">
        <f aca="true">IF(T17="","",IF(T17&lt;&gt;"Yes","N/A",IF(AA17="","NO EXPIRY SET",IF(TODAY()&gt;AA17,"EXPIRED",IF(AA17-TODAY()&lt;=30,"Expiring Soon","Active")))))</f>
        <v/>
      </c>
      <c r="AC17" s="36"/>
      <c r="AD17" s="36"/>
      <c r="AE17" s="37"/>
      <c r="AF17" s="36"/>
      <c r="AG17" s="37"/>
      <c r="AH17" s="37"/>
      <c r="AI17" s="37"/>
      <c r="AJ17" s="37"/>
      <c r="AK17" s="38"/>
      <c r="AL17" s="37"/>
      <c r="AM17" s="37"/>
      <c r="AN17" s="41" t="str">
        <f aca="false">IF(AK17="","",AK17+90)</f>
        <v/>
      </c>
      <c r="AO17" s="39" t="str">
        <f aca="true">IF(C17="","",IF(AK17="","NOT REVIEWED",IF(TODAY()&gt;AN17,"OVERDUE",IF(AN17-TODAY()&lt;=14,"Due Soon","Current"))))</f>
        <v/>
      </c>
      <c r="AP17" s="36"/>
    </row>
    <row r="18" customFormat="false" ht="15" hidden="false" customHeight="false" outlineLevel="0" collapsed="false">
      <c r="A18" s="36"/>
      <c r="B18" s="36"/>
      <c r="C18" s="36"/>
      <c r="D18" s="37"/>
      <c r="E18" s="38"/>
      <c r="F18" s="38"/>
      <c r="G18" s="36"/>
      <c r="H18" s="37"/>
      <c r="I18" s="39" t="str">
        <f aca="true">IF(F18="","",TODAY()-F18)</f>
        <v/>
      </c>
      <c r="J18" s="40" t="str">
        <f aca="false">IFERROR(INDEX('Azure Resource Map'!$H$2:$H$2001,MATCH($C18,'Azure Resource Map'!$A$2:$A$2001,0)),"")</f>
        <v/>
      </c>
      <c r="K18" s="40" t="str">
        <f aca="false">IFERROR(INDEX('Azure Resource Map'!$I$2:$I$2001,MATCH($C18,'Azure Resource Map'!$A$2:$A$2001,0)),"")</f>
        <v/>
      </c>
      <c r="L18" s="39" t="str">
        <f aca="false">IFERROR(INDEX('Azure Resource Map'!$J$2:$J$2001,MATCH($C18,'Azure Resource Map'!$A$2:$A$2001,0)),"")</f>
        <v/>
      </c>
      <c r="M18" s="40" t="str">
        <f aca="false">IFERROR(INDEX('Azure Resource Map'!$K$2:$K$2001,MATCH($C18,'Azure Resource Map'!$A$2:$A$2001,0)),"")</f>
        <v/>
      </c>
      <c r="N18" s="39" t="str">
        <f aca="false">IFERROR(INDEX('Azure Resource Map'!$L$2:$L$2001,MATCH($C18,'Azure Resource Map'!$A$2:$A$2001,0)),"")</f>
        <v/>
      </c>
      <c r="O18" s="39" t="str">
        <f aca="false">IFERROR(INDEX('Azure Resource Map'!$M$2:$M$2001,MATCH($C18,'Azure Resource Map'!$A$2:$A$2001,0)),"")</f>
        <v/>
      </c>
      <c r="P18" s="40" t="str">
        <f aca="false">IFERROR(INDEX('Azure Resource Map'!$D$2:$D$2001,MATCH($C18,'Azure Resource Map'!$A$2:$A$2001,0)),"")</f>
        <v/>
      </c>
      <c r="Q18" s="39" t="str">
        <f aca="false">IFERROR(INDEX('Azure Resource Map'!$E$2:$E$2001,MATCH($C18,'Azure Resource Map'!$A$2:$A$2001,0)),"")</f>
        <v/>
      </c>
      <c r="R18" s="39" t="str">
        <f aca="false">IFERROR(INDEX('Azure Resource Map'!$F$2:$F$2001,MATCH($C18,'Azure Resource Map'!$A$2:$A$2001,0)),"")</f>
        <v/>
      </c>
      <c r="S18" s="37"/>
      <c r="T18" s="39" t="str">
        <f aca="false">IF($C18="","",IF(ISNUMBER(MATCH($C18,'CA Exclusion Map'!$A$2:$A$2001,0)),"Yes","No"))</f>
        <v/>
      </c>
      <c r="U18" s="39" t="str">
        <f aca="false">IFERROR(INDEX('CA Exclusion Map'!$D$2:$D$2001,MATCH($C18,'CA Exclusion Map'!$A$2:$A$2001,0)),"")</f>
        <v/>
      </c>
      <c r="V18" s="40" t="str">
        <f aca="false">IFERROR(INDEX('CA Exclusion Map'!$E$2:$E$2001,MATCH($C18,'CA Exclusion Map'!$A$2:$A$2001,0)),"")</f>
        <v/>
      </c>
      <c r="W18" s="40" t="str">
        <f aca="false">IFERROR(INDEX('CA Exclusion Map'!$F$2:$F$2001,MATCH($C18,'CA Exclusion Map'!$A$2:$A$2001,0)),"")</f>
        <v/>
      </c>
      <c r="X18" s="36"/>
      <c r="Y18" s="37"/>
      <c r="Z18" s="38"/>
      <c r="AA18" s="38"/>
      <c r="AB18" s="39" t="str">
        <f aca="true">IF(T18="","",IF(T18&lt;&gt;"Yes","N/A",IF(AA18="","NO EXPIRY SET",IF(TODAY()&gt;AA18,"EXPIRED",IF(AA18-TODAY()&lt;=30,"Expiring Soon","Active")))))</f>
        <v/>
      </c>
      <c r="AC18" s="36"/>
      <c r="AD18" s="36"/>
      <c r="AE18" s="37"/>
      <c r="AF18" s="36"/>
      <c r="AG18" s="37"/>
      <c r="AH18" s="37"/>
      <c r="AI18" s="37"/>
      <c r="AJ18" s="37"/>
      <c r="AK18" s="38"/>
      <c r="AL18" s="37"/>
      <c r="AM18" s="37"/>
      <c r="AN18" s="41" t="str">
        <f aca="false">IF(AK18="","",AK18+90)</f>
        <v/>
      </c>
      <c r="AO18" s="39" t="str">
        <f aca="true">IF(C18="","",IF(AK18="","NOT REVIEWED",IF(TODAY()&gt;AN18,"OVERDUE",IF(AN18-TODAY()&lt;=14,"Due Soon","Current"))))</f>
        <v/>
      </c>
      <c r="AP18" s="36"/>
    </row>
    <row r="19" customFormat="false" ht="15" hidden="false" customHeight="false" outlineLevel="0" collapsed="false">
      <c r="A19" s="36"/>
      <c r="B19" s="36"/>
      <c r="C19" s="36"/>
      <c r="D19" s="37"/>
      <c r="E19" s="38"/>
      <c r="F19" s="38"/>
      <c r="G19" s="36"/>
      <c r="H19" s="37"/>
      <c r="I19" s="39" t="str">
        <f aca="true">IF(F19="","",TODAY()-F19)</f>
        <v/>
      </c>
      <c r="J19" s="40" t="str">
        <f aca="false">IFERROR(INDEX('Azure Resource Map'!$H$2:$H$2001,MATCH($C19,'Azure Resource Map'!$A$2:$A$2001,0)),"")</f>
        <v/>
      </c>
      <c r="K19" s="40" t="str">
        <f aca="false">IFERROR(INDEX('Azure Resource Map'!$I$2:$I$2001,MATCH($C19,'Azure Resource Map'!$A$2:$A$2001,0)),"")</f>
        <v/>
      </c>
      <c r="L19" s="39" t="str">
        <f aca="false">IFERROR(INDEX('Azure Resource Map'!$J$2:$J$2001,MATCH($C19,'Azure Resource Map'!$A$2:$A$2001,0)),"")</f>
        <v/>
      </c>
      <c r="M19" s="40" t="str">
        <f aca="false">IFERROR(INDEX('Azure Resource Map'!$K$2:$K$2001,MATCH($C19,'Azure Resource Map'!$A$2:$A$2001,0)),"")</f>
        <v/>
      </c>
      <c r="N19" s="39" t="str">
        <f aca="false">IFERROR(INDEX('Azure Resource Map'!$L$2:$L$2001,MATCH($C19,'Azure Resource Map'!$A$2:$A$2001,0)),"")</f>
        <v/>
      </c>
      <c r="O19" s="39" t="str">
        <f aca="false">IFERROR(INDEX('Azure Resource Map'!$M$2:$M$2001,MATCH($C19,'Azure Resource Map'!$A$2:$A$2001,0)),"")</f>
        <v/>
      </c>
      <c r="P19" s="40" t="str">
        <f aca="false">IFERROR(INDEX('Azure Resource Map'!$D$2:$D$2001,MATCH($C19,'Azure Resource Map'!$A$2:$A$2001,0)),"")</f>
        <v/>
      </c>
      <c r="Q19" s="39" t="str">
        <f aca="false">IFERROR(INDEX('Azure Resource Map'!$E$2:$E$2001,MATCH($C19,'Azure Resource Map'!$A$2:$A$2001,0)),"")</f>
        <v/>
      </c>
      <c r="R19" s="39" t="str">
        <f aca="false">IFERROR(INDEX('Azure Resource Map'!$F$2:$F$2001,MATCH($C19,'Azure Resource Map'!$A$2:$A$2001,0)),"")</f>
        <v/>
      </c>
      <c r="S19" s="37"/>
      <c r="T19" s="39" t="str">
        <f aca="false">IF($C19="","",IF(ISNUMBER(MATCH($C19,'CA Exclusion Map'!$A$2:$A$2001,0)),"Yes","No"))</f>
        <v/>
      </c>
      <c r="U19" s="39" t="str">
        <f aca="false">IFERROR(INDEX('CA Exclusion Map'!$D$2:$D$2001,MATCH($C19,'CA Exclusion Map'!$A$2:$A$2001,0)),"")</f>
        <v/>
      </c>
      <c r="V19" s="40" t="str">
        <f aca="false">IFERROR(INDEX('CA Exclusion Map'!$E$2:$E$2001,MATCH($C19,'CA Exclusion Map'!$A$2:$A$2001,0)),"")</f>
        <v/>
      </c>
      <c r="W19" s="40" t="str">
        <f aca="false">IFERROR(INDEX('CA Exclusion Map'!$F$2:$F$2001,MATCH($C19,'CA Exclusion Map'!$A$2:$A$2001,0)),"")</f>
        <v/>
      </c>
      <c r="X19" s="36"/>
      <c r="Y19" s="37"/>
      <c r="Z19" s="38"/>
      <c r="AA19" s="38"/>
      <c r="AB19" s="39" t="str">
        <f aca="true">IF(T19="","",IF(T19&lt;&gt;"Yes","N/A",IF(AA19="","NO EXPIRY SET",IF(TODAY()&gt;AA19,"EXPIRED",IF(AA19-TODAY()&lt;=30,"Expiring Soon","Active")))))</f>
        <v/>
      </c>
      <c r="AC19" s="36"/>
      <c r="AD19" s="36"/>
      <c r="AE19" s="37"/>
      <c r="AF19" s="36"/>
      <c r="AG19" s="37"/>
      <c r="AH19" s="37"/>
      <c r="AI19" s="37"/>
      <c r="AJ19" s="37"/>
      <c r="AK19" s="38"/>
      <c r="AL19" s="37"/>
      <c r="AM19" s="37"/>
      <c r="AN19" s="41" t="str">
        <f aca="false">IF(AK19="","",AK19+90)</f>
        <v/>
      </c>
      <c r="AO19" s="39" t="str">
        <f aca="true">IF(C19="","",IF(AK19="","NOT REVIEWED",IF(TODAY()&gt;AN19,"OVERDUE",IF(AN19-TODAY()&lt;=14,"Due Soon","Current"))))</f>
        <v/>
      </c>
      <c r="AP19" s="36"/>
    </row>
    <row r="20" customFormat="false" ht="15" hidden="false" customHeight="false" outlineLevel="0" collapsed="false">
      <c r="A20" s="36"/>
      <c r="B20" s="36"/>
      <c r="C20" s="36"/>
      <c r="D20" s="37"/>
      <c r="E20" s="38"/>
      <c r="F20" s="38"/>
      <c r="G20" s="36"/>
      <c r="H20" s="37"/>
      <c r="I20" s="39" t="str">
        <f aca="true">IF(F20="","",TODAY()-F20)</f>
        <v/>
      </c>
      <c r="J20" s="40" t="str">
        <f aca="false">IFERROR(INDEX('Azure Resource Map'!$H$2:$H$2001,MATCH($C20,'Azure Resource Map'!$A$2:$A$2001,0)),"")</f>
        <v/>
      </c>
      <c r="K20" s="40" t="str">
        <f aca="false">IFERROR(INDEX('Azure Resource Map'!$I$2:$I$2001,MATCH($C20,'Azure Resource Map'!$A$2:$A$2001,0)),"")</f>
        <v/>
      </c>
      <c r="L20" s="39" t="str">
        <f aca="false">IFERROR(INDEX('Azure Resource Map'!$J$2:$J$2001,MATCH($C20,'Azure Resource Map'!$A$2:$A$2001,0)),"")</f>
        <v/>
      </c>
      <c r="M20" s="40" t="str">
        <f aca="false">IFERROR(INDEX('Azure Resource Map'!$K$2:$K$2001,MATCH($C20,'Azure Resource Map'!$A$2:$A$2001,0)),"")</f>
        <v/>
      </c>
      <c r="N20" s="39" t="str">
        <f aca="false">IFERROR(INDEX('Azure Resource Map'!$L$2:$L$2001,MATCH($C20,'Azure Resource Map'!$A$2:$A$2001,0)),"")</f>
        <v/>
      </c>
      <c r="O20" s="39" t="str">
        <f aca="false">IFERROR(INDEX('Azure Resource Map'!$M$2:$M$2001,MATCH($C20,'Azure Resource Map'!$A$2:$A$2001,0)),"")</f>
        <v/>
      </c>
      <c r="P20" s="40" t="str">
        <f aca="false">IFERROR(INDEX('Azure Resource Map'!$D$2:$D$2001,MATCH($C20,'Azure Resource Map'!$A$2:$A$2001,0)),"")</f>
        <v/>
      </c>
      <c r="Q20" s="39" t="str">
        <f aca="false">IFERROR(INDEX('Azure Resource Map'!$E$2:$E$2001,MATCH($C20,'Azure Resource Map'!$A$2:$A$2001,0)),"")</f>
        <v/>
      </c>
      <c r="R20" s="39" t="str">
        <f aca="false">IFERROR(INDEX('Azure Resource Map'!$F$2:$F$2001,MATCH($C20,'Azure Resource Map'!$A$2:$A$2001,0)),"")</f>
        <v/>
      </c>
      <c r="S20" s="37"/>
      <c r="T20" s="39" t="str">
        <f aca="false">IF($C20="","",IF(ISNUMBER(MATCH($C20,'CA Exclusion Map'!$A$2:$A$2001,0)),"Yes","No"))</f>
        <v/>
      </c>
      <c r="U20" s="39" t="str">
        <f aca="false">IFERROR(INDEX('CA Exclusion Map'!$D$2:$D$2001,MATCH($C20,'CA Exclusion Map'!$A$2:$A$2001,0)),"")</f>
        <v/>
      </c>
      <c r="V20" s="40" t="str">
        <f aca="false">IFERROR(INDEX('CA Exclusion Map'!$E$2:$E$2001,MATCH($C20,'CA Exclusion Map'!$A$2:$A$2001,0)),"")</f>
        <v/>
      </c>
      <c r="W20" s="40" t="str">
        <f aca="false">IFERROR(INDEX('CA Exclusion Map'!$F$2:$F$2001,MATCH($C20,'CA Exclusion Map'!$A$2:$A$2001,0)),"")</f>
        <v/>
      </c>
      <c r="X20" s="36"/>
      <c r="Y20" s="37"/>
      <c r="Z20" s="38"/>
      <c r="AA20" s="38"/>
      <c r="AB20" s="39" t="str">
        <f aca="true">IF(T20="","",IF(T20&lt;&gt;"Yes","N/A",IF(AA20="","NO EXPIRY SET",IF(TODAY()&gt;AA20,"EXPIRED",IF(AA20-TODAY()&lt;=30,"Expiring Soon","Active")))))</f>
        <v/>
      </c>
      <c r="AC20" s="36"/>
      <c r="AD20" s="36"/>
      <c r="AE20" s="37"/>
      <c r="AF20" s="36"/>
      <c r="AG20" s="37"/>
      <c r="AH20" s="37"/>
      <c r="AI20" s="37"/>
      <c r="AJ20" s="37"/>
      <c r="AK20" s="38"/>
      <c r="AL20" s="37"/>
      <c r="AM20" s="37"/>
      <c r="AN20" s="41" t="str">
        <f aca="false">IF(AK20="","",AK20+90)</f>
        <v/>
      </c>
      <c r="AO20" s="39" t="str">
        <f aca="true">IF(C20="","",IF(AK20="","NOT REVIEWED",IF(TODAY()&gt;AN20,"OVERDUE",IF(AN20-TODAY()&lt;=14,"Due Soon","Current"))))</f>
        <v/>
      </c>
      <c r="AP20" s="36"/>
    </row>
    <row r="21" customFormat="false" ht="15" hidden="false" customHeight="false" outlineLevel="0" collapsed="false">
      <c r="A21" s="36"/>
      <c r="B21" s="36"/>
      <c r="C21" s="36"/>
      <c r="D21" s="37"/>
      <c r="E21" s="38"/>
      <c r="F21" s="38"/>
      <c r="G21" s="36"/>
      <c r="H21" s="37"/>
      <c r="I21" s="39" t="str">
        <f aca="true">IF(F21="","",TODAY()-F21)</f>
        <v/>
      </c>
      <c r="J21" s="40" t="str">
        <f aca="false">IFERROR(INDEX('Azure Resource Map'!$H$2:$H$2001,MATCH($C21,'Azure Resource Map'!$A$2:$A$2001,0)),"")</f>
        <v/>
      </c>
      <c r="K21" s="40" t="str">
        <f aca="false">IFERROR(INDEX('Azure Resource Map'!$I$2:$I$2001,MATCH($C21,'Azure Resource Map'!$A$2:$A$2001,0)),"")</f>
        <v/>
      </c>
      <c r="L21" s="39" t="str">
        <f aca="false">IFERROR(INDEX('Azure Resource Map'!$J$2:$J$2001,MATCH($C21,'Azure Resource Map'!$A$2:$A$2001,0)),"")</f>
        <v/>
      </c>
      <c r="M21" s="40" t="str">
        <f aca="false">IFERROR(INDEX('Azure Resource Map'!$K$2:$K$2001,MATCH($C21,'Azure Resource Map'!$A$2:$A$2001,0)),"")</f>
        <v/>
      </c>
      <c r="N21" s="39" t="str">
        <f aca="false">IFERROR(INDEX('Azure Resource Map'!$L$2:$L$2001,MATCH($C21,'Azure Resource Map'!$A$2:$A$2001,0)),"")</f>
        <v/>
      </c>
      <c r="O21" s="39" t="str">
        <f aca="false">IFERROR(INDEX('Azure Resource Map'!$M$2:$M$2001,MATCH($C21,'Azure Resource Map'!$A$2:$A$2001,0)),"")</f>
        <v/>
      </c>
      <c r="P21" s="40" t="str">
        <f aca="false">IFERROR(INDEX('Azure Resource Map'!$D$2:$D$2001,MATCH($C21,'Azure Resource Map'!$A$2:$A$2001,0)),"")</f>
        <v/>
      </c>
      <c r="Q21" s="39" t="str">
        <f aca="false">IFERROR(INDEX('Azure Resource Map'!$E$2:$E$2001,MATCH($C21,'Azure Resource Map'!$A$2:$A$2001,0)),"")</f>
        <v/>
      </c>
      <c r="R21" s="39" t="str">
        <f aca="false">IFERROR(INDEX('Azure Resource Map'!$F$2:$F$2001,MATCH($C21,'Azure Resource Map'!$A$2:$A$2001,0)),"")</f>
        <v/>
      </c>
      <c r="S21" s="37"/>
      <c r="T21" s="39" t="str">
        <f aca="false">IF($C21="","",IF(ISNUMBER(MATCH($C21,'CA Exclusion Map'!$A$2:$A$2001,0)),"Yes","No"))</f>
        <v/>
      </c>
      <c r="U21" s="39" t="str">
        <f aca="false">IFERROR(INDEX('CA Exclusion Map'!$D$2:$D$2001,MATCH($C21,'CA Exclusion Map'!$A$2:$A$2001,0)),"")</f>
        <v/>
      </c>
      <c r="V21" s="40" t="str">
        <f aca="false">IFERROR(INDEX('CA Exclusion Map'!$E$2:$E$2001,MATCH($C21,'CA Exclusion Map'!$A$2:$A$2001,0)),"")</f>
        <v/>
      </c>
      <c r="W21" s="40" t="str">
        <f aca="false">IFERROR(INDEX('CA Exclusion Map'!$F$2:$F$2001,MATCH($C21,'CA Exclusion Map'!$A$2:$A$2001,0)),"")</f>
        <v/>
      </c>
      <c r="X21" s="36"/>
      <c r="Y21" s="37"/>
      <c r="Z21" s="38"/>
      <c r="AA21" s="38"/>
      <c r="AB21" s="39" t="str">
        <f aca="true">IF(T21="","",IF(T21&lt;&gt;"Yes","N/A",IF(AA21="","NO EXPIRY SET",IF(TODAY()&gt;AA21,"EXPIRED",IF(AA21-TODAY()&lt;=30,"Expiring Soon","Active")))))</f>
        <v/>
      </c>
      <c r="AC21" s="36"/>
      <c r="AD21" s="36"/>
      <c r="AE21" s="37"/>
      <c r="AF21" s="36"/>
      <c r="AG21" s="37"/>
      <c r="AH21" s="37"/>
      <c r="AI21" s="37"/>
      <c r="AJ21" s="37"/>
      <c r="AK21" s="38"/>
      <c r="AL21" s="37"/>
      <c r="AM21" s="37"/>
      <c r="AN21" s="41" t="str">
        <f aca="false">IF(AK21="","",AK21+90)</f>
        <v/>
      </c>
      <c r="AO21" s="39" t="str">
        <f aca="true">IF(C21="","",IF(AK21="","NOT REVIEWED",IF(TODAY()&gt;AN21,"OVERDUE",IF(AN21-TODAY()&lt;=14,"Due Soon","Current"))))</f>
        <v/>
      </c>
      <c r="AP21" s="36"/>
    </row>
    <row r="22" customFormat="false" ht="15" hidden="false" customHeight="false" outlineLevel="0" collapsed="false">
      <c r="A22" s="36"/>
      <c r="B22" s="36"/>
      <c r="C22" s="36"/>
      <c r="D22" s="37"/>
      <c r="E22" s="38"/>
      <c r="F22" s="38"/>
      <c r="G22" s="36"/>
      <c r="H22" s="37"/>
      <c r="I22" s="39" t="str">
        <f aca="true">IF(F22="","",TODAY()-F22)</f>
        <v/>
      </c>
      <c r="J22" s="40" t="str">
        <f aca="false">IFERROR(INDEX('Azure Resource Map'!$H$2:$H$2001,MATCH($C22,'Azure Resource Map'!$A$2:$A$2001,0)),"")</f>
        <v/>
      </c>
      <c r="K22" s="40" t="str">
        <f aca="false">IFERROR(INDEX('Azure Resource Map'!$I$2:$I$2001,MATCH($C22,'Azure Resource Map'!$A$2:$A$2001,0)),"")</f>
        <v/>
      </c>
      <c r="L22" s="39" t="str">
        <f aca="false">IFERROR(INDEX('Azure Resource Map'!$J$2:$J$2001,MATCH($C22,'Azure Resource Map'!$A$2:$A$2001,0)),"")</f>
        <v/>
      </c>
      <c r="M22" s="40" t="str">
        <f aca="false">IFERROR(INDEX('Azure Resource Map'!$K$2:$K$2001,MATCH($C22,'Azure Resource Map'!$A$2:$A$2001,0)),"")</f>
        <v/>
      </c>
      <c r="N22" s="39" t="str">
        <f aca="false">IFERROR(INDEX('Azure Resource Map'!$L$2:$L$2001,MATCH($C22,'Azure Resource Map'!$A$2:$A$2001,0)),"")</f>
        <v/>
      </c>
      <c r="O22" s="39" t="str">
        <f aca="false">IFERROR(INDEX('Azure Resource Map'!$M$2:$M$2001,MATCH($C22,'Azure Resource Map'!$A$2:$A$2001,0)),"")</f>
        <v/>
      </c>
      <c r="P22" s="40" t="str">
        <f aca="false">IFERROR(INDEX('Azure Resource Map'!$D$2:$D$2001,MATCH($C22,'Azure Resource Map'!$A$2:$A$2001,0)),"")</f>
        <v/>
      </c>
      <c r="Q22" s="39" t="str">
        <f aca="false">IFERROR(INDEX('Azure Resource Map'!$E$2:$E$2001,MATCH($C22,'Azure Resource Map'!$A$2:$A$2001,0)),"")</f>
        <v/>
      </c>
      <c r="R22" s="39" t="str">
        <f aca="false">IFERROR(INDEX('Azure Resource Map'!$F$2:$F$2001,MATCH($C22,'Azure Resource Map'!$A$2:$A$2001,0)),"")</f>
        <v/>
      </c>
      <c r="S22" s="37"/>
      <c r="T22" s="39" t="str">
        <f aca="false">IF($C22="","",IF(ISNUMBER(MATCH($C22,'CA Exclusion Map'!$A$2:$A$2001,0)),"Yes","No"))</f>
        <v/>
      </c>
      <c r="U22" s="39" t="str">
        <f aca="false">IFERROR(INDEX('CA Exclusion Map'!$D$2:$D$2001,MATCH($C22,'CA Exclusion Map'!$A$2:$A$2001,0)),"")</f>
        <v/>
      </c>
      <c r="V22" s="40" t="str">
        <f aca="false">IFERROR(INDEX('CA Exclusion Map'!$E$2:$E$2001,MATCH($C22,'CA Exclusion Map'!$A$2:$A$2001,0)),"")</f>
        <v/>
      </c>
      <c r="W22" s="40" t="str">
        <f aca="false">IFERROR(INDEX('CA Exclusion Map'!$F$2:$F$2001,MATCH($C22,'CA Exclusion Map'!$A$2:$A$2001,0)),"")</f>
        <v/>
      </c>
      <c r="X22" s="36"/>
      <c r="Y22" s="37"/>
      <c r="Z22" s="38"/>
      <c r="AA22" s="38"/>
      <c r="AB22" s="39" t="str">
        <f aca="true">IF(T22="","",IF(T22&lt;&gt;"Yes","N/A",IF(AA22="","NO EXPIRY SET",IF(TODAY()&gt;AA22,"EXPIRED",IF(AA22-TODAY()&lt;=30,"Expiring Soon","Active")))))</f>
        <v/>
      </c>
      <c r="AC22" s="36"/>
      <c r="AD22" s="36"/>
      <c r="AE22" s="37"/>
      <c r="AF22" s="36"/>
      <c r="AG22" s="37"/>
      <c r="AH22" s="37"/>
      <c r="AI22" s="37"/>
      <c r="AJ22" s="37"/>
      <c r="AK22" s="38"/>
      <c r="AL22" s="37"/>
      <c r="AM22" s="37"/>
      <c r="AN22" s="41" t="str">
        <f aca="false">IF(AK22="","",AK22+90)</f>
        <v/>
      </c>
      <c r="AO22" s="39" t="str">
        <f aca="true">IF(C22="","",IF(AK22="","NOT REVIEWED",IF(TODAY()&gt;AN22,"OVERDUE",IF(AN22-TODAY()&lt;=14,"Due Soon","Current"))))</f>
        <v/>
      </c>
      <c r="AP22" s="36"/>
    </row>
    <row r="23" customFormat="false" ht="15" hidden="false" customHeight="false" outlineLevel="0" collapsed="false">
      <c r="A23" s="36"/>
      <c r="B23" s="36"/>
      <c r="C23" s="36"/>
      <c r="D23" s="37"/>
      <c r="E23" s="38"/>
      <c r="F23" s="38"/>
      <c r="G23" s="36"/>
      <c r="H23" s="37"/>
      <c r="I23" s="39" t="str">
        <f aca="true">IF(F23="","",TODAY()-F23)</f>
        <v/>
      </c>
      <c r="J23" s="40" t="str">
        <f aca="false">IFERROR(INDEX('Azure Resource Map'!$H$2:$H$2001,MATCH($C23,'Azure Resource Map'!$A$2:$A$2001,0)),"")</f>
        <v/>
      </c>
      <c r="K23" s="40" t="str">
        <f aca="false">IFERROR(INDEX('Azure Resource Map'!$I$2:$I$2001,MATCH($C23,'Azure Resource Map'!$A$2:$A$2001,0)),"")</f>
        <v/>
      </c>
      <c r="L23" s="39" t="str">
        <f aca="false">IFERROR(INDEX('Azure Resource Map'!$J$2:$J$2001,MATCH($C23,'Azure Resource Map'!$A$2:$A$2001,0)),"")</f>
        <v/>
      </c>
      <c r="M23" s="40" t="str">
        <f aca="false">IFERROR(INDEX('Azure Resource Map'!$K$2:$K$2001,MATCH($C23,'Azure Resource Map'!$A$2:$A$2001,0)),"")</f>
        <v/>
      </c>
      <c r="N23" s="39" t="str">
        <f aca="false">IFERROR(INDEX('Azure Resource Map'!$L$2:$L$2001,MATCH($C23,'Azure Resource Map'!$A$2:$A$2001,0)),"")</f>
        <v/>
      </c>
      <c r="O23" s="39" t="str">
        <f aca="false">IFERROR(INDEX('Azure Resource Map'!$M$2:$M$2001,MATCH($C23,'Azure Resource Map'!$A$2:$A$2001,0)),"")</f>
        <v/>
      </c>
      <c r="P23" s="40" t="str">
        <f aca="false">IFERROR(INDEX('Azure Resource Map'!$D$2:$D$2001,MATCH($C23,'Azure Resource Map'!$A$2:$A$2001,0)),"")</f>
        <v/>
      </c>
      <c r="Q23" s="39" t="str">
        <f aca="false">IFERROR(INDEX('Azure Resource Map'!$E$2:$E$2001,MATCH($C23,'Azure Resource Map'!$A$2:$A$2001,0)),"")</f>
        <v/>
      </c>
      <c r="R23" s="39" t="str">
        <f aca="false">IFERROR(INDEX('Azure Resource Map'!$F$2:$F$2001,MATCH($C23,'Azure Resource Map'!$A$2:$A$2001,0)),"")</f>
        <v/>
      </c>
      <c r="S23" s="37"/>
      <c r="T23" s="39" t="str">
        <f aca="false">IF($C23="","",IF(ISNUMBER(MATCH($C23,'CA Exclusion Map'!$A$2:$A$2001,0)),"Yes","No"))</f>
        <v/>
      </c>
      <c r="U23" s="39" t="str">
        <f aca="false">IFERROR(INDEX('CA Exclusion Map'!$D$2:$D$2001,MATCH($C23,'CA Exclusion Map'!$A$2:$A$2001,0)),"")</f>
        <v/>
      </c>
      <c r="V23" s="40" t="str">
        <f aca="false">IFERROR(INDEX('CA Exclusion Map'!$E$2:$E$2001,MATCH($C23,'CA Exclusion Map'!$A$2:$A$2001,0)),"")</f>
        <v/>
      </c>
      <c r="W23" s="40" t="str">
        <f aca="false">IFERROR(INDEX('CA Exclusion Map'!$F$2:$F$2001,MATCH($C23,'CA Exclusion Map'!$A$2:$A$2001,0)),"")</f>
        <v/>
      </c>
      <c r="X23" s="36"/>
      <c r="Y23" s="37"/>
      <c r="Z23" s="38"/>
      <c r="AA23" s="38"/>
      <c r="AB23" s="39" t="str">
        <f aca="true">IF(T23="","",IF(T23&lt;&gt;"Yes","N/A",IF(AA23="","NO EXPIRY SET",IF(TODAY()&gt;AA23,"EXPIRED",IF(AA23-TODAY()&lt;=30,"Expiring Soon","Active")))))</f>
        <v/>
      </c>
      <c r="AC23" s="36"/>
      <c r="AD23" s="36"/>
      <c r="AE23" s="37"/>
      <c r="AF23" s="36"/>
      <c r="AG23" s="37"/>
      <c r="AH23" s="37"/>
      <c r="AI23" s="37"/>
      <c r="AJ23" s="37"/>
      <c r="AK23" s="38"/>
      <c r="AL23" s="37"/>
      <c r="AM23" s="37"/>
      <c r="AN23" s="41" t="str">
        <f aca="false">IF(AK23="","",AK23+90)</f>
        <v/>
      </c>
      <c r="AO23" s="39" t="str">
        <f aca="true">IF(C23="","",IF(AK23="","NOT REVIEWED",IF(TODAY()&gt;AN23,"OVERDUE",IF(AN23-TODAY()&lt;=14,"Due Soon","Current"))))</f>
        <v/>
      </c>
      <c r="AP23" s="36"/>
    </row>
    <row r="24" customFormat="false" ht="15" hidden="false" customHeight="false" outlineLevel="0" collapsed="false">
      <c r="A24" s="36"/>
      <c r="B24" s="36"/>
      <c r="C24" s="36"/>
      <c r="D24" s="37"/>
      <c r="E24" s="38"/>
      <c r="F24" s="38"/>
      <c r="G24" s="36"/>
      <c r="H24" s="37"/>
      <c r="I24" s="39" t="str">
        <f aca="true">IF(F24="","",TODAY()-F24)</f>
        <v/>
      </c>
      <c r="J24" s="40" t="str">
        <f aca="false">IFERROR(INDEX('Azure Resource Map'!$H$2:$H$2001,MATCH($C24,'Azure Resource Map'!$A$2:$A$2001,0)),"")</f>
        <v/>
      </c>
      <c r="K24" s="40" t="str">
        <f aca="false">IFERROR(INDEX('Azure Resource Map'!$I$2:$I$2001,MATCH($C24,'Azure Resource Map'!$A$2:$A$2001,0)),"")</f>
        <v/>
      </c>
      <c r="L24" s="39" t="str">
        <f aca="false">IFERROR(INDEX('Azure Resource Map'!$J$2:$J$2001,MATCH($C24,'Azure Resource Map'!$A$2:$A$2001,0)),"")</f>
        <v/>
      </c>
      <c r="M24" s="40" t="str">
        <f aca="false">IFERROR(INDEX('Azure Resource Map'!$K$2:$K$2001,MATCH($C24,'Azure Resource Map'!$A$2:$A$2001,0)),"")</f>
        <v/>
      </c>
      <c r="N24" s="39" t="str">
        <f aca="false">IFERROR(INDEX('Azure Resource Map'!$L$2:$L$2001,MATCH($C24,'Azure Resource Map'!$A$2:$A$2001,0)),"")</f>
        <v/>
      </c>
      <c r="O24" s="39" t="str">
        <f aca="false">IFERROR(INDEX('Azure Resource Map'!$M$2:$M$2001,MATCH($C24,'Azure Resource Map'!$A$2:$A$2001,0)),"")</f>
        <v/>
      </c>
      <c r="P24" s="40" t="str">
        <f aca="false">IFERROR(INDEX('Azure Resource Map'!$D$2:$D$2001,MATCH($C24,'Azure Resource Map'!$A$2:$A$2001,0)),"")</f>
        <v/>
      </c>
      <c r="Q24" s="39" t="str">
        <f aca="false">IFERROR(INDEX('Azure Resource Map'!$E$2:$E$2001,MATCH($C24,'Azure Resource Map'!$A$2:$A$2001,0)),"")</f>
        <v/>
      </c>
      <c r="R24" s="39" t="str">
        <f aca="false">IFERROR(INDEX('Azure Resource Map'!$F$2:$F$2001,MATCH($C24,'Azure Resource Map'!$A$2:$A$2001,0)),"")</f>
        <v/>
      </c>
      <c r="S24" s="37"/>
      <c r="T24" s="39" t="str">
        <f aca="false">IF($C24="","",IF(ISNUMBER(MATCH($C24,'CA Exclusion Map'!$A$2:$A$2001,0)),"Yes","No"))</f>
        <v/>
      </c>
      <c r="U24" s="39" t="str">
        <f aca="false">IFERROR(INDEX('CA Exclusion Map'!$D$2:$D$2001,MATCH($C24,'CA Exclusion Map'!$A$2:$A$2001,0)),"")</f>
        <v/>
      </c>
      <c r="V24" s="40" t="str">
        <f aca="false">IFERROR(INDEX('CA Exclusion Map'!$E$2:$E$2001,MATCH($C24,'CA Exclusion Map'!$A$2:$A$2001,0)),"")</f>
        <v/>
      </c>
      <c r="W24" s="40" t="str">
        <f aca="false">IFERROR(INDEX('CA Exclusion Map'!$F$2:$F$2001,MATCH($C24,'CA Exclusion Map'!$A$2:$A$2001,0)),"")</f>
        <v/>
      </c>
      <c r="X24" s="36"/>
      <c r="Y24" s="37"/>
      <c r="Z24" s="38"/>
      <c r="AA24" s="38"/>
      <c r="AB24" s="39" t="str">
        <f aca="true">IF(T24="","",IF(T24&lt;&gt;"Yes","N/A",IF(AA24="","NO EXPIRY SET",IF(TODAY()&gt;AA24,"EXPIRED",IF(AA24-TODAY()&lt;=30,"Expiring Soon","Active")))))</f>
        <v/>
      </c>
      <c r="AC24" s="36"/>
      <c r="AD24" s="36"/>
      <c r="AE24" s="37"/>
      <c r="AF24" s="36"/>
      <c r="AG24" s="37"/>
      <c r="AH24" s="37"/>
      <c r="AI24" s="37"/>
      <c r="AJ24" s="37"/>
      <c r="AK24" s="38"/>
      <c r="AL24" s="37"/>
      <c r="AM24" s="37"/>
      <c r="AN24" s="41" t="str">
        <f aca="false">IF(AK24="","",AK24+90)</f>
        <v/>
      </c>
      <c r="AO24" s="39" t="str">
        <f aca="true">IF(C24="","",IF(AK24="","NOT REVIEWED",IF(TODAY()&gt;AN24,"OVERDUE",IF(AN24-TODAY()&lt;=14,"Due Soon","Current"))))</f>
        <v/>
      </c>
      <c r="AP24" s="36"/>
    </row>
    <row r="25" customFormat="false" ht="15" hidden="false" customHeight="false" outlineLevel="0" collapsed="false">
      <c r="A25" s="36"/>
      <c r="B25" s="36"/>
      <c r="C25" s="36"/>
      <c r="D25" s="37"/>
      <c r="E25" s="38"/>
      <c r="F25" s="38"/>
      <c r="G25" s="36"/>
      <c r="H25" s="37"/>
      <c r="I25" s="39" t="str">
        <f aca="true">IF(F25="","",TODAY()-F25)</f>
        <v/>
      </c>
      <c r="J25" s="40" t="str">
        <f aca="false">IFERROR(INDEX('Azure Resource Map'!$H$2:$H$2001,MATCH($C25,'Azure Resource Map'!$A$2:$A$2001,0)),"")</f>
        <v/>
      </c>
      <c r="K25" s="40" t="str">
        <f aca="false">IFERROR(INDEX('Azure Resource Map'!$I$2:$I$2001,MATCH($C25,'Azure Resource Map'!$A$2:$A$2001,0)),"")</f>
        <v/>
      </c>
      <c r="L25" s="39" t="str">
        <f aca="false">IFERROR(INDEX('Azure Resource Map'!$J$2:$J$2001,MATCH($C25,'Azure Resource Map'!$A$2:$A$2001,0)),"")</f>
        <v/>
      </c>
      <c r="M25" s="40" t="str">
        <f aca="false">IFERROR(INDEX('Azure Resource Map'!$K$2:$K$2001,MATCH($C25,'Azure Resource Map'!$A$2:$A$2001,0)),"")</f>
        <v/>
      </c>
      <c r="N25" s="39" t="str">
        <f aca="false">IFERROR(INDEX('Azure Resource Map'!$L$2:$L$2001,MATCH($C25,'Azure Resource Map'!$A$2:$A$2001,0)),"")</f>
        <v/>
      </c>
      <c r="O25" s="39" t="str">
        <f aca="false">IFERROR(INDEX('Azure Resource Map'!$M$2:$M$2001,MATCH($C25,'Azure Resource Map'!$A$2:$A$2001,0)),"")</f>
        <v/>
      </c>
      <c r="P25" s="40" t="str">
        <f aca="false">IFERROR(INDEX('Azure Resource Map'!$D$2:$D$2001,MATCH($C25,'Azure Resource Map'!$A$2:$A$2001,0)),"")</f>
        <v/>
      </c>
      <c r="Q25" s="39" t="str">
        <f aca="false">IFERROR(INDEX('Azure Resource Map'!$E$2:$E$2001,MATCH($C25,'Azure Resource Map'!$A$2:$A$2001,0)),"")</f>
        <v/>
      </c>
      <c r="R25" s="39" t="str">
        <f aca="false">IFERROR(INDEX('Azure Resource Map'!$F$2:$F$2001,MATCH($C25,'Azure Resource Map'!$A$2:$A$2001,0)),"")</f>
        <v/>
      </c>
      <c r="S25" s="37"/>
      <c r="T25" s="39" t="str">
        <f aca="false">IF($C25="","",IF(ISNUMBER(MATCH($C25,'CA Exclusion Map'!$A$2:$A$2001,0)),"Yes","No"))</f>
        <v/>
      </c>
      <c r="U25" s="39" t="str">
        <f aca="false">IFERROR(INDEX('CA Exclusion Map'!$D$2:$D$2001,MATCH($C25,'CA Exclusion Map'!$A$2:$A$2001,0)),"")</f>
        <v/>
      </c>
      <c r="V25" s="40" t="str">
        <f aca="false">IFERROR(INDEX('CA Exclusion Map'!$E$2:$E$2001,MATCH($C25,'CA Exclusion Map'!$A$2:$A$2001,0)),"")</f>
        <v/>
      </c>
      <c r="W25" s="40" t="str">
        <f aca="false">IFERROR(INDEX('CA Exclusion Map'!$F$2:$F$2001,MATCH($C25,'CA Exclusion Map'!$A$2:$A$2001,0)),"")</f>
        <v/>
      </c>
      <c r="X25" s="36"/>
      <c r="Y25" s="37"/>
      <c r="Z25" s="38"/>
      <c r="AA25" s="38"/>
      <c r="AB25" s="39" t="str">
        <f aca="true">IF(T25="","",IF(T25&lt;&gt;"Yes","N/A",IF(AA25="","NO EXPIRY SET",IF(TODAY()&gt;AA25,"EXPIRED",IF(AA25-TODAY()&lt;=30,"Expiring Soon","Active")))))</f>
        <v/>
      </c>
      <c r="AC25" s="36"/>
      <c r="AD25" s="36"/>
      <c r="AE25" s="37"/>
      <c r="AF25" s="36"/>
      <c r="AG25" s="37"/>
      <c r="AH25" s="37"/>
      <c r="AI25" s="37"/>
      <c r="AJ25" s="37"/>
      <c r="AK25" s="38"/>
      <c r="AL25" s="37"/>
      <c r="AM25" s="37"/>
      <c r="AN25" s="41" t="str">
        <f aca="false">IF(AK25="","",AK25+90)</f>
        <v/>
      </c>
      <c r="AO25" s="39" t="str">
        <f aca="true">IF(C25="","",IF(AK25="","NOT REVIEWED",IF(TODAY()&gt;AN25,"OVERDUE",IF(AN25-TODAY()&lt;=14,"Due Soon","Current"))))</f>
        <v/>
      </c>
      <c r="AP25" s="36"/>
    </row>
    <row r="26" customFormat="false" ht="15" hidden="false" customHeight="false" outlineLevel="0" collapsed="false">
      <c r="A26" s="36"/>
      <c r="B26" s="36"/>
      <c r="C26" s="36"/>
      <c r="D26" s="37"/>
      <c r="E26" s="38"/>
      <c r="F26" s="38"/>
      <c r="G26" s="36"/>
      <c r="H26" s="37"/>
      <c r="I26" s="39" t="str">
        <f aca="true">IF(F26="","",TODAY()-F26)</f>
        <v/>
      </c>
      <c r="J26" s="40" t="str">
        <f aca="false">IFERROR(INDEX('Azure Resource Map'!$H$2:$H$2001,MATCH($C26,'Azure Resource Map'!$A$2:$A$2001,0)),"")</f>
        <v/>
      </c>
      <c r="K26" s="40" t="str">
        <f aca="false">IFERROR(INDEX('Azure Resource Map'!$I$2:$I$2001,MATCH($C26,'Azure Resource Map'!$A$2:$A$2001,0)),"")</f>
        <v/>
      </c>
      <c r="L26" s="39" t="str">
        <f aca="false">IFERROR(INDEX('Azure Resource Map'!$J$2:$J$2001,MATCH($C26,'Azure Resource Map'!$A$2:$A$2001,0)),"")</f>
        <v/>
      </c>
      <c r="M26" s="40" t="str">
        <f aca="false">IFERROR(INDEX('Azure Resource Map'!$K$2:$K$2001,MATCH($C26,'Azure Resource Map'!$A$2:$A$2001,0)),"")</f>
        <v/>
      </c>
      <c r="N26" s="39" t="str">
        <f aca="false">IFERROR(INDEX('Azure Resource Map'!$L$2:$L$2001,MATCH($C26,'Azure Resource Map'!$A$2:$A$2001,0)),"")</f>
        <v/>
      </c>
      <c r="O26" s="39" t="str">
        <f aca="false">IFERROR(INDEX('Azure Resource Map'!$M$2:$M$2001,MATCH($C26,'Azure Resource Map'!$A$2:$A$2001,0)),"")</f>
        <v/>
      </c>
      <c r="P26" s="40" t="str">
        <f aca="false">IFERROR(INDEX('Azure Resource Map'!$D$2:$D$2001,MATCH($C26,'Azure Resource Map'!$A$2:$A$2001,0)),"")</f>
        <v/>
      </c>
      <c r="Q26" s="39" t="str">
        <f aca="false">IFERROR(INDEX('Azure Resource Map'!$E$2:$E$2001,MATCH($C26,'Azure Resource Map'!$A$2:$A$2001,0)),"")</f>
        <v/>
      </c>
      <c r="R26" s="39" t="str">
        <f aca="false">IFERROR(INDEX('Azure Resource Map'!$F$2:$F$2001,MATCH($C26,'Azure Resource Map'!$A$2:$A$2001,0)),"")</f>
        <v/>
      </c>
      <c r="S26" s="37"/>
      <c r="T26" s="39" t="str">
        <f aca="false">IF($C26="","",IF(ISNUMBER(MATCH($C26,'CA Exclusion Map'!$A$2:$A$2001,0)),"Yes","No"))</f>
        <v/>
      </c>
      <c r="U26" s="39" t="str">
        <f aca="false">IFERROR(INDEX('CA Exclusion Map'!$D$2:$D$2001,MATCH($C26,'CA Exclusion Map'!$A$2:$A$2001,0)),"")</f>
        <v/>
      </c>
      <c r="V26" s="40" t="str">
        <f aca="false">IFERROR(INDEX('CA Exclusion Map'!$E$2:$E$2001,MATCH($C26,'CA Exclusion Map'!$A$2:$A$2001,0)),"")</f>
        <v/>
      </c>
      <c r="W26" s="40" t="str">
        <f aca="false">IFERROR(INDEX('CA Exclusion Map'!$F$2:$F$2001,MATCH($C26,'CA Exclusion Map'!$A$2:$A$2001,0)),"")</f>
        <v/>
      </c>
      <c r="X26" s="36"/>
      <c r="Y26" s="37"/>
      <c r="Z26" s="38"/>
      <c r="AA26" s="38"/>
      <c r="AB26" s="39" t="str">
        <f aca="true">IF(T26="","",IF(T26&lt;&gt;"Yes","N/A",IF(AA26="","NO EXPIRY SET",IF(TODAY()&gt;AA26,"EXPIRED",IF(AA26-TODAY()&lt;=30,"Expiring Soon","Active")))))</f>
        <v/>
      </c>
      <c r="AC26" s="36"/>
      <c r="AD26" s="36"/>
      <c r="AE26" s="37"/>
      <c r="AF26" s="36"/>
      <c r="AG26" s="37"/>
      <c r="AH26" s="37"/>
      <c r="AI26" s="37"/>
      <c r="AJ26" s="37"/>
      <c r="AK26" s="38"/>
      <c r="AL26" s="37"/>
      <c r="AM26" s="37"/>
      <c r="AN26" s="41" t="str">
        <f aca="false">IF(AK26="","",AK26+90)</f>
        <v/>
      </c>
      <c r="AO26" s="39" t="str">
        <f aca="true">IF(C26="","",IF(AK26="","NOT REVIEWED",IF(TODAY()&gt;AN26,"OVERDUE",IF(AN26-TODAY()&lt;=14,"Due Soon","Current"))))</f>
        <v/>
      </c>
      <c r="AP26" s="36"/>
    </row>
    <row r="27" customFormat="false" ht="15" hidden="false" customHeight="false" outlineLevel="0" collapsed="false">
      <c r="A27" s="36"/>
      <c r="B27" s="36"/>
      <c r="C27" s="36"/>
      <c r="D27" s="37"/>
      <c r="E27" s="38"/>
      <c r="F27" s="38"/>
      <c r="G27" s="36"/>
      <c r="H27" s="37"/>
      <c r="I27" s="39" t="str">
        <f aca="true">IF(F27="","",TODAY()-F27)</f>
        <v/>
      </c>
      <c r="J27" s="40" t="str">
        <f aca="false">IFERROR(INDEX('Azure Resource Map'!$H$2:$H$2001,MATCH($C27,'Azure Resource Map'!$A$2:$A$2001,0)),"")</f>
        <v/>
      </c>
      <c r="K27" s="40" t="str">
        <f aca="false">IFERROR(INDEX('Azure Resource Map'!$I$2:$I$2001,MATCH($C27,'Azure Resource Map'!$A$2:$A$2001,0)),"")</f>
        <v/>
      </c>
      <c r="L27" s="39" t="str">
        <f aca="false">IFERROR(INDEX('Azure Resource Map'!$J$2:$J$2001,MATCH($C27,'Azure Resource Map'!$A$2:$A$2001,0)),"")</f>
        <v/>
      </c>
      <c r="M27" s="40" t="str">
        <f aca="false">IFERROR(INDEX('Azure Resource Map'!$K$2:$K$2001,MATCH($C27,'Azure Resource Map'!$A$2:$A$2001,0)),"")</f>
        <v/>
      </c>
      <c r="N27" s="39" t="str">
        <f aca="false">IFERROR(INDEX('Azure Resource Map'!$L$2:$L$2001,MATCH($C27,'Azure Resource Map'!$A$2:$A$2001,0)),"")</f>
        <v/>
      </c>
      <c r="O27" s="39" t="str">
        <f aca="false">IFERROR(INDEX('Azure Resource Map'!$M$2:$M$2001,MATCH($C27,'Azure Resource Map'!$A$2:$A$2001,0)),"")</f>
        <v/>
      </c>
      <c r="P27" s="40" t="str">
        <f aca="false">IFERROR(INDEX('Azure Resource Map'!$D$2:$D$2001,MATCH($C27,'Azure Resource Map'!$A$2:$A$2001,0)),"")</f>
        <v/>
      </c>
      <c r="Q27" s="39" t="str">
        <f aca="false">IFERROR(INDEX('Azure Resource Map'!$E$2:$E$2001,MATCH($C27,'Azure Resource Map'!$A$2:$A$2001,0)),"")</f>
        <v/>
      </c>
      <c r="R27" s="39" t="str">
        <f aca="false">IFERROR(INDEX('Azure Resource Map'!$F$2:$F$2001,MATCH($C27,'Azure Resource Map'!$A$2:$A$2001,0)),"")</f>
        <v/>
      </c>
      <c r="S27" s="37"/>
      <c r="T27" s="39" t="str">
        <f aca="false">IF($C27="","",IF(ISNUMBER(MATCH($C27,'CA Exclusion Map'!$A$2:$A$2001,0)),"Yes","No"))</f>
        <v/>
      </c>
      <c r="U27" s="39" t="str">
        <f aca="false">IFERROR(INDEX('CA Exclusion Map'!$D$2:$D$2001,MATCH($C27,'CA Exclusion Map'!$A$2:$A$2001,0)),"")</f>
        <v/>
      </c>
      <c r="V27" s="40" t="str">
        <f aca="false">IFERROR(INDEX('CA Exclusion Map'!$E$2:$E$2001,MATCH($C27,'CA Exclusion Map'!$A$2:$A$2001,0)),"")</f>
        <v/>
      </c>
      <c r="W27" s="40" t="str">
        <f aca="false">IFERROR(INDEX('CA Exclusion Map'!$F$2:$F$2001,MATCH($C27,'CA Exclusion Map'!$A$2:$A$2001,0)),"")</f>
        <v/>
      </c>
      <c r="X27" s="36"/>
      <c r="Y27" s="37"/>
      <c r="Z27" s="38"/>
      <c r="AA27" s="38"/>
      <c r="AB27" s="39" t="str">
        <f aca="true">IF(T27="","",IF(T27&lt;&gt;"Yes","N/A",IF(AA27="","NO EXPIRY SET",IF(TODAY()&gt;AA27,"EXPIRED",IF(AA27-TODAY()&lt;=30,"Expiring Soon","Active")))))</f>
        <v/>
      </c>
      <c r="AC27" s="36"/>
      <c r="AD27" s="36"/>
      <c r="AE27" s="37"/>
      <c r="AF27" s="36"/>
      <c r="AG27" s="37"/>
      <c r="AH27" s="37"/>
      <c r="AI27" s="37"/>
      <c r="AJ27" s="37"/>
      <c r="AK27" s="38"/>
      <c r="AL27" s="37"/>
      <c r="AM27" s="37"/>
      <c r="AN27" s="41" t="str">
        <f aca="false">IF(AK27="","",AK27+90)</f>
        <v/>
      </c>
      <c r="AO27" s="39" t="str">
        <f aca="true">IF(C27="","",IF(AK27="","NOT REVIEWED",IF(TODAY()&gt;AN27,"OVERDUE",IF(AN27-TODAY()&lt;=14,"Due Soon","Current"))))</f>
        <v/>
      </c>
      <c r="AP27" s="36"/>
    </row>
    <row r="28" customFormat="false" ht="15" hidden="false" customHeight="false" outlineLevel="0" collapsed="false">
      <c r="A28" s="36"/>
      <c r="B28" s="36"/>
      <c r="C28" s="36"/>
      <c r="D28" s="37"/>
      <c r="E28" s="38"/>
      <c r="F28" s="38"/>
      <c r="G28" s="36"/>
      <c r="H28" s="37"/>
      <c r="I28" s="39" t="str">
        <f aca="true">IF(F28="","",TODAY()-F28)</f>
        <v/>
      </c>
      <c r="J28" s="40" t="str">
        <f aca="false">IFERROR(INDEX('Azure Resource Map'!$H$2:$H$2001,MATCH($C28,'Azure Resource Map'!$A$2:$A$2001,0)),"")</f>
        <v/>
      </c>
      <c r="K28" s="40" t="str">
        <f aca="false">IFERROR(INDEX('Azure Resource Map'!$I$2:$I$2001,MATCH($C28,'Azure Resource Map'!$A$2:$A$2001,0)),"")</f>
        <v/>
      </c>
      <c r="L28" s="39" t="str">
        <f aca="false">IFERROR(INDEX('Azure Resource Map'!$J$2:$J$2001,MATCH($C28,'Azure Resource Map'!$A$2:$A$2001,0)),"")</f>
        <v/>
      </c>
      <c r="M28" s="40" t="str">
        <f aca="false">IFERROR(INDEX('Azure Resource Map'!$K$2:$K$2001,MATCH($C28,'Azure Resource Map'!$A$2:$A$2001,0)),"")</f>
        <v/>
      </c>
      <c r="N28" s="39" t="str">
        <f aca="false">IFERROR(INDEX('Azure Resource Map'!$L$2:$L$2001,MATCH($C28,'Azure Resource Map'!$A$2:$A$2001,0)),"")</f>
        <v/>
      </c>
      <c r="O28" s="39" t="str">
        <f aca="false">IFERROR(INDEX('Azure Resource Map'!$M$2:$M$2001,MATCH($C28,'Azure Resource Map'!$A$2:$A$2001,0)),"")</f>
        <v/>
      </c>
      <c r="P28" s="40" t="str">
        <f aca="false">IFERROR(INDEX('Azure Resource Map'!$D$2:$D$2001,MATCH($C28,'Azure Resource Map'!$A$2:$A$2001,0)),"")</f>
        <v/>
      </c>
      <c r="Q28" s="39" t="str">
        <f aca="false">IFERROR(INDEX('Azure Resource Map'!$E$2:$E$2001,MATCH($C28,'Azure Resource Map'!$A$2:$A$2001,0)),"")</f>
        <v/>
      </c>
      <c r="R28" s="39" t="str">
        <f aca="false">IFERROR(INDEX('Azure Resource Map'!$F$2:$F$2001,MATCH($C28,'Azure Resource Map'!$A$2:$A$2001,0)),"")</f>
        <v/>
      </c>
      <c r="S28" s="37"/>
      <c r="T28" s="39" t="str">
        <f aca="false">IF($C28="","",IF(ISNUMBER(MATCH($C28,'CA Exclusion Map'!$A$2:$A$2001,0)),"Yes","No"))</f>
        <v/>
      </c>
      <c r="U28" s="39" t="str">
        <f aca="false">IFERROR(INDEX('CA Exclusion Map'!$D$2:$D$2001,MATCH($C28,'CA Exclusion Map'!$A$2:$A$2001,0)),"")</f>
        <v/>
      </c>
      <c r="V28" s="40" t="str">
        <f aca="false">IFERROR(INDEX('CA Exclusion Map'!$E$2:$E$2001,MATCH($C28,'CA Exclusion Map'!$A$2:$A$2001,0)),"")</f>
        <v/>
      </c>
      <c r="W28" s="40" t="str">
        <f aca="false">IFERROR(INDEX('CA Exclusion Map'!$F$2:$F$2001,MATCH($C28,'CA Exclusion Map'!$A$2:$A$2001,0)),"")</f>
        <v/>
      </c>
      <c r="X28" s="36"/>
      <c r="Y28" s="37"/>
      <c r="Z28" s="38"/>
      <c r="AA28" s="38"/>
      <c r="AB28" s="39" t="str">
        <f aca="true">IF(T28="","",IF(T28&lt;&gt;"Yes","N/A",IF(AA28="","NO EXPIRY SET",IF(TODAY()&gt;AA28,"EXPIRED",IF(AA28-TODAY()&lt;=30,"Expiring Soon","Active")))))</f>
        <v/>
      </c>
      <c r="AC28" s="36"/>
      <c r="AD28" s="36"/>
      <c r="AE28" s="37"/>
      <c r="AF28" s="36"/>
      <c r="AG28" s="37"/>
      <c r="AH28" s="37"/>
      <c r="AI28" s="37"/>
      <c r="AJ28" s="37"/>
      <c r="AK28" s="38"/>
      <c r="AL28" s="37"/>
      <c r="AM28" s="37"/>
      <c r="AN28" s="41" t="str">
        <f aca="false">IF(AK28="","",AK28+90)</f>
        <v/>
      </c>
      <c r="AO28" s="39" t="str">
        <f aca="true">IF(C28="","",IF(AK28="","NOT REVIEWED",IF(TODAY()&gt;AN28,"OVERDUE",IF(AN28-TODAY()&lt;=14,"Due Soon","Current"))))</f>
        <v/>
      </c>
      <c r="AP28" s="36"/>
    </row>
    <row r="29" customFormat="false" ht="15" hidden="false" customHeight="false" outlineLevel="0" collapsed="false">
      <c r="A29" s="36"/>
      <c r="B29" s="36"/>
      <c r="C29" s="36"/>
      <c r="D29" s="37"/>
      <c r="E29" s="38"/>
      <c r="F29" s="38"/>
      <c r="G29" s="36"/>
      <c r="H29" s="37"/>
      <c r="I29" s="39" t="str">
        <f aca="true">IF(F29="","",TODAY()-F29)</f>
        <v/>
      </c>
      <c r="J29" s="40" t="str">
        <f aca="false">IFERROR(INDEX('Azure Resource Map'!$H$2:$H$2001,MATCH($C29,'Azure Resource Map'!$A$2:$A$2001,0)),"")</f>
        <v/>
      </c>
      <c r="K29" s="40" t="str">
        <f aca="false">IFERROR(INDEX('Azure Resource Map'!$I$2:$I$2001,MATCH($C29,'Azure Resource Map'!$A$2:$A$2001,0)),"")</f>
        <v/>
      </c>
      <c r="L29" s="39" t="str">
        <f aca="false">IFERROR(INDEX('Azure Resource Map'!$J$2:$J$2001,MATCH($C29,'Azure Resource Map'!$A$2:$A$2001,0)),"")</f>
        <v/>
      </c>
      <c r="M29" s="40" t="str">
        <f aca="false">IFERROR(INDEX('Azure Resource Map'!$K$2:$K$2001,MATCH($C29,'Azure Resource Map'!$A$2:$A$2001,0)),"")</f>
        <v/>
      </c>
      <c r="N29" s="39" t="str">
        <f aca="false">IFERROR(INDEX('Azure Resource Map'!$L$2:$L$2001,MATCH($C29,'Azure Resource Map'!$A$2:$A$2001,0)),"")</f>
        <v/>
      </c>
      <c r="O29" s="39" t="str">
        <f aca="false">IFERROR(INDEX('Azure Resource Map'!$M$2:$M$2001,MATCH($C29,'Azure Resource Map'!$A$2:$A$2001,0)),"")</f>
        <v/>
      </c>
      <c r="P29" s="40" t="str">
        <f aca="false">IFERROR(INDEX('Azure Resource Map'!$D$2:$D$2001,MATCH($C29,'Azure Resource Map'!$A$2:$A$2001,0)),"")</f>
        <v/>
      </c>
      <c r="Q29" s="39" t="str">
        <f aca="false">IFERROR(INDEX('Azure Resource Map'!$E$2:$E$2001,MATCH($C29,'Azure Resource Map'!$A$2:$A$2001,0)),"")</f>
        <v/>
      </c>
      <c r="R29" s="39" t="str">
        <f aca="false">IFERROR(INDEX('Azure Resource Map'!$F$2:$F$2001,MATCH($C29,'Azure Resource Map'!$A$2:$A$2001,0)),"")</f>
        <v/>
      </c>
      <c r="S29" s="37"/>
      <c r="T29" s="39" t="str">
        <f aca="false">IF($C29="","",IF(ISNUMBER(MATCH($C29,'CA Exclusion Map'!$A$2:$A$2001,0)),"Yes","No"))</f>
        <v/>
      </c>
      <c r="U29" s="39" t="str">
        <f aca="false">IFERROR(INDEX('CA Exclusion Map'!$D$2:$D$2001,MATCH($C29,'CA Exclusion Map'!$A$2:$A$2001,0)),"")</f>
        <v/>
      </c>
      <c r="V29" s="40" t="str">
        <f aca="false">IFERROR(INDEX('CA Exclusion Map'!$E$2:$E$2001,MATCH($C29,'CA Exclusion Map'!$A$2:$A$2001,0)),"")</f>
        <v/>
      </c>
      <c r="W29" s="40" t="str">
        <f aca="false">IFERROR(INDEX('CA Exclusion Map'!$F$2:$F$2001,MATCH($C29,'CA Exclusion Map'!$A$2:$A$2001,0)),"")</f>
        <v/>
      </c>
      <c r="X29" s="36"/>
      <c r="Y29" s="37"/>
      <c r="Z29" s="38"/>
      <c r="AA29" s="38"/>
      <c r="AB29" s="39" t="str">
        <f aca="true">IF(T29="","",IF(T29&lt;&gt;"Yes","N/A",IF(AA29="","NO EXPIRY SET",IF(TODAY()&gt;AA29,"EXPIRED",IF(AA29-TODAY()&lt;=30,"Expiring Soon","Active")))))</f>
        <v/>
      </c>
      <c r="AC29" s="36"/>
      <c r="AD29" s="36"/>
      <c r="AE29" s="37"/>
      <c r="AF29" s="36"/>
      <c r="AG29" s="37"/>
      <c r="AH29" s="37"/>
      <c r="AI29" s="37"/>
      <c r="AJ29" s="37"/>
      <c r="AK29" s="38"/>
      <c r="AL29" s="37"/>
      <c r="AM29" s="37"/>
      <c r="AN29" s="41" t="str">
        <f aca="false">IF(AK29="","",AK29+90)</f>
        <v/>
      </c>
      <c r="AO29" s="39" t="str">
        <f aca="true">IF(C29="","",IF(AK29="","NOT REVIEWED",IF(TODAY()&gt;AN29,"OVERDUE",IF(AN29-TODAY()&lt;=14,"Due Soon","Current"))))</f>
        <v/>
      </c>
      <c r="AP29" s="36"/>
    </row>
    <row r="30" customFormat="false" ht="15" hidden="false" customHeight="false" outlineLevel="0" collapsed="false">
      <c r="A30" s="36"/>
      <c r="B30" s="36"/>
      <c r="C30" s="36"/>
      <c r="D30" s="37"/>
      <c r="E30" s="38"/>
      <c r="F30" s="38"/>
      <c r="G30" s="36"/>
      <c r="H30" s="37"/>
      <c r="I30" s="39" t="str">
        <f aca="true">IF(F30="","",TODAY()-F30)</f>
        <v/>
      </c>
      <c r="J30" s="40" t="str">
        <f aca="false">IFERROR(INDEX('Azure Resource Map'!$H$2:$H$2001,MATCH($C30,'Azure Resource Map'!$A$2:$A$2001,0)),"")</f>
        <v/>
      </c>
      <c r="K30" s="40" t="str">
        <f aca="false">IFERROR(INDEX('Azure Resource Map'!$I$2:$I$2001,MATCH($C30,'Azure Resource Map'!$A$2:$A$2001,0)),"")</f>
        <v/>
      </c>
      <c r="L30" s="39" t="str">
        <f aca="false">IFERROR(INDEX('Azure Resource Map'!$J$2:$J$2001,MATCH($C30,'Azure Resource Map'!$A$2:$A$2001,0)),"")</f>
        <v/>
      </c>
      <c r="M30" s="40" t="str">
        <f aca="false">IFERROR(INDEX('Azure Resource Map'!$K$2:$K$2001,MATCH($C30,'Azure Resource Map'!$A$2:$A$2001,0)),"")</f>
        <v/>
      </c>
      <c r="N30" s="39" t="str">
        <f aca="false">IFERROR(INDEX('Azure Resource Map'!$L$2:$L$2001,MATCH($C30,'Azure Resource Map'!$A$2:$A$2001,0)),"")</f>
        <v/>
      </c>
      <c r="O30" s="39" t="str">
        <f aca="false">IFERROR(INDEX('Azure Resource Map'!$M$2:$M$2001,MATCH($C30,'Azure Resource Map'!$A$2:$A$2001,0)),"")</f>
        <v/>
      </c>
      <c r="P30" s="40" t="str">
        <f aca="false">IFERROR(INDEX('Azure Resource Map'!$D$2:$D$2001,MATCH($C30,'Azure Resource Map'!$A$2:$A$2001,0)),"")</f>
        <v/>
      </c>
      <c r="Q30" s="39" t="str">
        <f aca="false">IFERROR(INDEX('Azure Resource Map'!$E$2:$E$2001,MATCH($C30,'Azure Resource Map'!$A$2:$A$2001,0)),"")</f>
        <v/>
      </c>
      <c r="R30" s="39" t="str">
        <f aca="false">IFERROR(INDEX('Azure Resource Map'!$F$2:$F$2001,MATCH($C30,'Azure Resource Map'!$A$2:$A$2001,0)),"")</f>
        <v/>
      </c>
      <c r="S30" s="37"/>
      <c r="T30" s="39" t="str">
        <f aca="false">IF($C30="","",IF(ISNUMBER(MATCH($C30,'CA Exclusion Map'!$A$2:$A$2001,0)),"Yes","No"))</f>
        <v/>
      </c>
      <c r="U30" s="39" t="str">
        <f aca="false">IFERROR(INDEX('CA Exclusion Map'!$D$2:$D$2001,MATCH($C30,'CA Exclusion Map'!$A$2:$A$2001,0)),"")</f>
        <v/>
      </c>
      <c r="V30" s="40" t="str">
        <f aca="false">IFERROR(INDEX('CA Exclusion Map'!$E$2:$E$2001,MATCH($C30,'CA Exclusion Map'!$A$2:$A$2001,0)),"")</f>
        <v/>
      </c>
      <c r="W30" s="40" t="str">
        <f aca="false">IFERROR(INDEX('CA Exclusion Map'!$F$2:$F$2001,MATCH($C30,'CA Exclusion Map'!$A$2:$A$2001,0)),"")</f>
        <v/>
      </c>
      <c r="X30" s="36"/>
      <c r="Y30" s="37"/>
      <c r="Z30" s="38"/>
      <c r="AA30" s="38"/>
      <c r="AB30" s="39" t="str">
        <f aca="true">IF(T30="","",IF(T30&lt;&gt;"Yes","N/A",IF(AA30="","NO EXPIRY SET",IF(TODAY()&gt;AA30,"EXPIRED",IF(AA30-TODAY()&lt;=30,"Expiring Soon","Active")))))</f>
        <v/>
      </c>
      <c r="AC30" s="36"/>
      <c r="AD30" s="36"/>
      <c r="AE30" s="37"/>
      <c r="AF30" s="36"/>
      <c r="AG30" s="37"/>
      <c r="AH30" s="37"/>
      <c r="AI30" s="37"/>
      <c r="AJ30" s="37"/>
      <c r="AK30" s="38"/>
      <c r="AL30" s="37"/>
      <c r="AM30" s="37"/>
      <c r="AN30" s="41" t="str">
        <f aca="false">IF(AK30="","",AK30+90)</f>
        <v/>
      </c>
      <c r="AO30" s="39" t="str">
        <f aca="true">IF(C30="","",IF(AK30="","NOT REVIEWED",IF(TODAY()&gt;AN30,"OVERDUE",IF(AN30-TODAY()&lt;=14,"Due Soon","Current"))))</f>
        <v/>
      </c>
      <c r="AP30" s="36"/>
    </row>
    <row r="31" customFormat="false" ht="15" hidden="false" customHeight="false" outlineLevel="0" collapsed="false">
      <c r="A31" s="36"/>
      <c r="B31" s="36"/>
      <c r="C31" s="36"/>
      <c r="D31" s="37"/>
      <c r="E31" s="38"/>
      <c r="F31" s="38"/>
      <c r="G31" s="36"/>
      <c r="H31" s="37"/>
      <c r="I31" s="39" t="str">
        <f aca="true">IF(F31="","",TODAY()-F31)</f>
        <v/>
      </c>
      <c r="J31" s="40" t="str">
        <f aca="false">IFERROR(INDEX('Azure Resource Map'!$H$2:$H$2001,MATCH($C31,'Azure Resource Map'!$A$2:$A$2001,0)),"")</f>
        <v/>
      </c>
      <c r="K31" s="40" t="str">
        <f aca="false">IFERROR(INDEX('Azure Resource Map'!$I$2:$I$2001,MATCH($C31,'Azure Resource Map'!$A$2:$A$2001,0)),"")</f>
        <v/>
      </c>
      <c r="L31" s="39" t="str">
        <f aca="false">IFERROR(INDEX('Azure Resource Map'!$J$2:$J$2001,MATCH($C31,'Azure Resource Map'!$A$2:$A$2001,0)),"")</f>
        <v/>
      </c>
      <c r="M31" s="40" t="str">
        <f aca="false">IFERROR(INDEX('Azure Resource Map'!$K$2:$K$2001,MATCH($C31,'Azure Resource Map'!$A$2:$A$2001,0)),"")</f>
        <v/>
      </c>
      <c r="N31" s="39" t="str">
        <f aca="false">IFERROR(INDEX('Azure Resource Map'!$L$2:$L$2001,MATCH($C31,'Azure Resource Map'!$A$2:$A$2001,0)),"")</f>
        <v/>
      </c>
      <c r="O31" s="39" t="str">
        <f aca="false">IFERROR(INDEX('Azure Resource Map'!$M$2:$M$2001,MATCH($C31,'Azure Resource Map'!$A$2:$A$2001,0)),"")</f>
        <v/>
      </c>
      <c r="P31" s="40" t="str">
        <f aca="false">IFERROR(INDEX('Azure Resource Map'!$D$2:$D$2001,MATCH($C31,'Azure Resource Map'!$A$2:$A$2001,0)),"")</f>
        <v/>
      </c>
      <c r="Q31" s="39" t="str">
        <f aca="false">IFERROR(INDEX('Azure Resource Map'!$E$2:$E$2001,MATCH($C31,'Azure Resource Map'!$A$2:$A$2001,0)),"")</f>
        <v/>
      </c>
      <c r="R31" s="39" t="str">
        <f aca="false">IFERROR(INDEX('Azure Resource Map'!$F$2:$F$2001,MATCH($C31,'Azure Resource Map'!$A$2:$A$2001,0)),"")</f>
        <v/>
      </c>
      <c r="S31" s="37"/>
      <c r="T31" s="39" t="str">
        <f aca="false">IF($C31="","",IF(ISNUMBER(MATCH($C31,'CA Exclusion Map'!$A$2:$A$2001,0)),"Yes","No"))</f>
        <v/>
      </c>
      <c r="U31" s="39" t="str">
        <f aca="false">IFERROR(INDEX('CA Exclusion Map'!$D$2:$D$2001,MATCH($C31,'CA Exclusion Map'!$A$2:$A$2001,0)),"")</f>
        <v/>
      </c>
      <c r="V31" s="40" t="str">
        <f aca="false">IFERROR(INDEX('CA Exclusion Map'!$E$2:$E$2001,MATCH($C31,'CA Exclusion Map'!$A$2:$A$2001,0)),"")</f>
        <v/>
      </c>
      <c r="W31" s="40" t="str">
        <f aca="false">IFERROR(INDEX('CA Exclusion Map'!$F$2:$F$2001,MATCH($C31,'CA Exclusion Map'!$A$2:$A$2001,0)),"")</f>
        <v/>
      </c>
      <c r="X31" s="36"/>
      <c r="Y31" s="37"/>
      <c r="Z31" s="38"/>
      <c r="AA31" s="38"/>
      <c r="AB31" s="39" t="str">
        <f aca="true">IF(T31="","",IF(T31&lt;&gt;"Yes","N/A",IF(AA31="","NO EXPIRY SET",IF(TODAY()&gt;AA31,"EXPIRED",IF(AA31-TODAY()&lt;=30,"Expiring Soon","Active")))))</f>
        <v/>
      </c>
      <c r="AC31" s="36"/>
      <c r="AD31" s="36"/>
      <c r="AE31" s="37"/>
      <c r="AF31" s="36"/>
      <c r="AG31" s="37"/>
      <c r="AH31" s="37"/>
      <c r="AI31" s="37"/>
      <c r="AJ31" s="37"/>
      <c r="AK31" s="38"/>
      <c r="AL31" s="37"/>
      <c r="AM31" s="37"/>
      <c r="AN31" s="41" t="str">
        <f aca="false">IF(AK31="","",AK31+90)</f>
        <v/>
      </c>
      <c r="AO31" s="39" t="str">
        <f aca="true">IF(C31="","",IF(AK31="","NOT REVIEWED",IF(TODAY()&gt;AN31,"OVERDUE",IF(AN31-TODAY()&lt;=14,"Due Soon","Current"))))</f>
        <v/>
      </c>
      <c r="AP31" s="36"/>
    </row>
    <row r="32" customFormat="false" ht="15" hidden="false" customHeight="false" outlineLevel="0" collapsed="false">
      <c r="A32" s="36"/>
      <c r="B32" s="36"/>
      <c r="C32" s="36"/>
      <c r="D32" s="37"/>
      <c r="E32" s="38"/>
      <c r="F32" s="38"/>
      <c r="G32" s="36"/>
      <c r="H32" s="37"/>
      <c r="I32" s="39" t="str">
        <f aca="true">IF(F32="","",TODAY()-F32)</f>
        <v/>
      </c>
      <c r="J32" s="40" t="str">
        <f aca="false">IFERROR(INDEX('Azure Resource Map'!$H$2:$H$2001,MATCH($C32,'Azure Resource Map'!$A$2:$A$2001,0)),"")</f>
        <v/>
      </c>
      <c r="K32" s="40" t="str">
        <f aca="false">IFERROR(INDEX('Azure Resource Map'!$I$2:$I$2001,MATCH($C32,'Azure Resource Map'!$A$2:$A$2001,0)),"")</f>
        <v/>
      </c>
      <c r="L32" s="39" t="str">
        <f aca="false">IFERROR(INDEX('Azure Resource Map'!$J$2:$J$2001,MATCH($C32,'Azure Resource Map'!$A$2:$A$2001,0)),"")</f>
        <v/>
      </c>
      <c r="M32" s="40" t="str">
        <f aca="false">IFERROR(INDEX('Azure Resource Map'!$K$2:$K$2001,MATCH($C32,'Azure Resource Map'!$A$2:$A$2001,0)),"")</f>
        <v/>
      </c>
      <c r="N32" s="39" t="str">
        <f aca="false">IFERROR(INDEX('Azure Resource Map'!$L$2:$L$2001,MATCH($C32,'Azure Resource Map'!$A$2:$A$2001,0)),"")</f>
        <v/>
      </c>
      <c r="O32" s="39" t="str">
        <f aca="false">IFERROR(INDEX('Azure Resource Map'!$M$2:$M$2001,MATCH($C32,'Azure Resource Map'!$A$2:$A$2001,0)),"")</f>
        <v/>
      </c>
      <c r="P32" s="40" t="str">
        <f aca="false">IFERROR(INDEX('Azure Resource Map'!$D$2:$D$2001,MATCH($C32,'Azure Resource Map'!$A$2:$A$2001,0)),"")</f>
        <v/>
      </c>
      <c r="Q32" s="39" t="str">
        <f aca="false">IFERROR(INDEX('Azure Resource Map'!$E$2:$E$2001,MATCH($C32,'Azure Resource Map'!$A$2:$A$2001,0)),"")</f>
        <v/>
      </c>
      <c r="R32" s="39" t="str">
        <f aca="false">IFERROR(INDEX('Azure Resource Map'!$F$2:$F$2001,MATCH($C32,'Azure Resource Map'!$A$2:$A$2001,0)),"")</f>
        <v/>
      </c>
      <c r="S32" s="37"/>
      <c r="T32" s="39" t="str">
        <f aca="false">IF($C32="","",IF(ISNUMBER(MATCH($C32,'CA Exclusion Map'!$A$2:$A$2001,0)),"Yes","No"))</f>
        <v/>
      </c>
      <c r="U32" s="39" t="str">
        <f aca="false">IFERROR(INDEX('CA Exclusion Map'!$D$2:$D$2001,MATCH($C32,'CA Exclusion Map'!$A$2:$A$2001,0)),"")</f>
        <v/>
      </c>
      <c r="V32" s="40" t="str">
        <f aca="false">IFERROR(INDEX('CA Exclusion Map'!$E$2:$E$2001,MATCH($C32,'CA Exclusion Map'!$A$2:$A$2001,0)),"")</f>
        <v/>
      </c>
      <c r="W32" s="40" t="str">
        <f aca="false">IFERROR(INDEX('CA Exclusion Map'!$F$2:$F$2001,MATCH($C32,'CA Exclusion Map'!$A$2:$A$2001,0)),"")</f>
        <v/>
      </c>
      <c r="X32" s="36"/>
      <c r="Y32" s="37"/>
      <c r="Z32" s="38"/>
      <c r="AA32" s="38"/>
      <c r="AB32" s="39" t="str">
        <f aca="true">IF(T32="","",IF(T32&lt;&gt;"Yes","N/A",IF(AA32="","NO EXPIRY SET",IF(TODAY()&gt;AA32,"EXPIRED",IF(AA32-TODAY()&lt;=30,"Expiring Soon","Active")))))</f>
        <v/>
      </c>
      <c r="AC32" s="36"/>
      <c r="AD32" s="36"/>
      <c r="AE32" s="37"/>
      <c r="AF32" s="36"/>
      <c r="AG32" s="37"/>
      <c r="AH32" s="37"/>
      <c r="AI32" s="37"/>
      <c r="AJ32" s="37"/>
      <c r="AK32" s="38"/>
      <c r="AL32" s="37"/>
      <c r="AM32" s="37"/>
      <c r="AN32" s="41" t="str">
        <f aca="false">IF(AK32="","",AK32+90)</f>
        <v/>
      </c>
      <c r="AO32" s="39" t="str">
        <f aca="true">IF(C32="","",IF(AK32="","NOT REVIEWED",IF(TODAY()&gt;AN32,"OVERDUE",IF(AN32-TODAY()&lt;=14,"Due Soon","Current"))))</f>
        <v/>
      </c>
      <c r="AP32" s="36"/>
    </row>
    <row r="33" customFormat="false" ht="15" hidden="false" customHeight="false" outlineLevel="0" collapsed="false">
      <c r="A33" s="36"/>
      <c r="B33" s="36"/>
      <c r="C33" s="36"/>
      <c r="D33" s="37"/>
      <c r="E33" s="38"/>
      <c r="F33" s="38"/>
      <c r="G33" s="36"/>
      <c r="H33" s="37"/>
      <c r="I33" s="39" t="str">
        <f aca="true">IF(F33="","",TODAY()-F33)</f>
        <v/>
      </c>
      <c r="J33" s="40" t="str">
        <f aca="false">IFERROR(INDEX('Azure Resource Map'!$H$2:$H$2001,MATCH($C33,'Azure Resource Map'!$A$2:$A$2001,0)),"")</f>
        <v/>
      </c>
      <c r="K33" s="40" t="str">
        <f aca="false">IFERROR(INDEX('Azure Resource Map'!$I$2:$I$2001,MATCH($C33,'Azure Resource Map'!$A$2:$A$2001,0)),"")</f>
        <v/>
      </c>
      <c r="L33" s="39" t="str">
        <f aca="false">IFERROR(INDEX('Azure Resource Map'!$J$2:$J$2001,MATCH($C33,'Azure Resource Map'!$A$2:$A$2001,0)),"")</f>
        <v/>
      </c>
      <c r="M33" s="40" t="str">
        <f aca="false">IFERROR(INDEX('Azure Resource Map'!$K$2:$K$2001,MATCH($C33,'Azure Resource Map'!$A$2:$A$2001,0)),"")</f>
        <v/>
      </c>
      <c r="N33" s="39" t="str">
        <f aca="false">IFERROR(INDEX('Azure Resource Map'!$L$2:$L$2001,MATCH($C33,'Azure Resource Map'!$A$2:$A$2001,0)),"")</f>
        <v/>
      </c>
      <c r="O33" s="39" t="str">
        <f aca="false">IFERROR(INDEX('Azure Resource Map'!$M$2:$M$2001,MATCH($C33,'Azure Resource Map'!$A$2:$A$2001,0)),"")</f>
        <v/>
      </c>
      <c r="P33" s="40" t="str">
        <f aca="false">IFERROR(INDEX('Azure Resource Map'!$D$2:$D$2001,MATCH($C33,'Azure Resource Map'!$A$2:$A$2001,0)),"")</f>
        <v/>
      </c>
      <c r="Q33" s="39" t="str">
        <f aca="false">IFERROR(INDEX('Azure Resource Map'!$E$2:$E$2001,MATCH($C33,'Azure Resource Map'!$A$2:$A$2001,0)),"")</f>
        <v/>
      </c>
      <c r="R33" s="39" t="str">
        <f aca="false">IFERROR(INDEX('Azure Resource Map'!$F$2:$F$2001,MATCH($C33,'Azure Resource Map'!$A$2:$A$2001,0)),"")</f>
        <v/>
      </c>
      <c r="S33" s="37"/>
      <c r="T33" s="39" t="str">
        <f aca="false">IF($C33="","",IF(ISNUMBER(MATCH($C33,'CA Exclusion Map'!$A$2:$A$2001,0)),"Yes","No"))</f>
        <v/>
      </c>
      <c r="U33" s="39" t="str">
        <f aca="false">IFERROR(INDEX('CA Exclusion Map'!$D$2:$D$2001,MATCH($C33,'CA Exclusion Map'!$A$2:$A$2001,0)),"")</f>
        <v/>
      </c>
      <c r="V33" s="40" t="str">
        <f aca="false">IFERROR(INDEX('CA Exclusion Map'!$E$2:$E$2001,MATCH($C33,'CA Exclusion Map'!$A$2:$A$2001,0)),"")</f>
        <v/>
      </c>
      <c r="W33" s="40" t="str">
        <f aca="false">IFERROR(INDEX('CA Exclusion Map'!$F$2:$F$2001,MATCH($C33,'CA Exclusion Map'!$A$2:$A$2001,0)),"")</f>
        <v/>
      </c>
      <c r="X33" s="36"/>
      <c r="Y33" s="37"/>
      <c r="Z33" s="38"/>
      <c r="AA33" s="38"/>
      <c r="AB33" s="39" t="str">
        <f aca="true">IF(T33="","",IF(T33&lt;&gt;"Yes","N/A",IF(AA33="","NO EXPIRY SET",IF(TODAY()&gt;AA33,"EXPIRED",IF(AA33-TODAY()&lt;=30,"Expiring Soon","Active")))))</f>
        <v/>
      </c>
      <c r="AC33" s="36"/>
      <c r="AD33" s="36"/>
      <c r="AE33" s="37"/>
      <c r="AF33" s="36"/>
      <c r="AG33" s="37"/>
      <c r="AH33" s="37"/>
      <c r="AI33" s="37"/>
      <c r="AJ33" s="37"/>
      <c r="AK33" s="38"/>
      <c r="AL33" s="37"/>
      <c r="AM33" s="37"/>
      <c r="AN33" s="41" t="str">
        <f aca="false">IF(AK33="","",AK33+90)</f>
        <v/>
      </c>
      <c r="AO33" s="39" t="str">
        <f aca="true">IF(C33="","",IF(AK33="","NOT REVIEWED",IF(TODAY()&gt;AN33,"OVERDUE",IF(AN33-TODAY()&lt;=14,"Due Soon","Current"))))</f>
        <v/>
      </c>
      <c r="AP33" s="36"/>
    </row>
    <row r="34" customFormat="false" ht="15" hidden="false" customHeight="false" outlineLevel="0" collapsed="false">
      <c r="A34" s="36"/>
      <c r="B34" s="36"/>
      <c r="C34" s="36"/>
      <c r="D34" s="37"/>
      <c r="E34" s="38"/>
      <c r="F34" s="38"/>
      <c r="G34" s="36"/>
      <c r="H34" s="37"/>
      <c r="I34" s="39" t="str">
        <f aca="true">IF(F34="","",TODAY()-F34)</f>
        <v/>
      </c>
      <c r="J34" s="40" t="str">
        <f aca="false">IFERROR(INDEX('Azure Resource Map'!$H$2:$H$2001,MATCH($C34,'Azure Resource Map'!$A$2:$A$2001,0)),"")</f>
        <v/>
      </c>
      <c r="K34" s="40" t="str">
        <f aca="false">IFERROR(INDEX('Azure Resource Map'!$I$2:$I$2001,MATCH($C34,'Azure Resource Map'!$A$2:$A$2001,0)),"")</f>
        <v/>
      </c>
      <c r="L34" s="39" t="str">
        <f aca="false">IFERROR(INDEX('Azure Resource Map'!$J$2:$J$2001,MATCH($C34,'Azure Resource Map'!$A$2:$A$2001,0)),"")</f>
        <v/>
      </c>
      <c r="M34" s="40" t="str">
        <f aca="false">IFERROR(INDEX('Azure Resource Map'!$K$2:$K$2001,MATCH($C34,'Azure Resource Map'!$A$2:$A$2001,0)),"")</f>
        <v/>
      </c>
      <c r="N34" s="39" t="str">
        <f aca="false">IFERROR(INDEX('Azure Resource Map'!$L$2:$L$2001,MATCH($C34,'Azure Resource Map'!$A$2:$A$2001,0)),"")</f>
        <v/>
      </c>
      <c r="O34" s="39" t="str">
        <f aca="false">IFERROR(INDEX('Azure Resource Map'!$M$2:$M$2001,MATCH($C34,'Azure Resource Map'!$A$2:$A$2001,0)),"")</f>
        <v/>
      </c>
      <c r="P34" s="40" t="str">
        <f aca="false">IFERROR(INDEX('Azure Resource Map'!$D$2:$D$2001,MATCH($C34,'Azure Resource Map'!$A$2:$A$2001,0)),"")</f>
        <v/>
      </c>
      <c r="Q34" s="39" t="str">
        <f aca="false">IFERROR(INDEX('Azure Resource Map'!$E$2:$E$2001,MATCH($C34,'Azure Resource Map'!$A$2:$A$2001,0)),"")</f>
        <v/>
      </c>
      <c r="R34" s="39" t="str">
        <f aca="false">IFERROR(INDEX('Azure Resource Map'!$F$2:$F$2001,MATCH($C34,'Azure Resource Map'!$A$2:$A$2001,0)),"")</f>
        <v/>
      </c>
      <c r="S34" s="37"/>
      <c r="T34" s="39" t="str">
        <f aca="false">IF($C34="","",IF(ISNUMBER(MATCH($C34,'CA Exclusion Map'!$A$2:$A$2001,0)),"Yes","No"))</f>
        <v/>
      </c>
      <c r="U34" s="39" t="str">
        <f aca="false">IFERROR(INDEX('CA Exclusion Map'!$D$2:$D$2001,MATCH($C34,'CA Exclusion Map'!$A$2:$A$2001,0)),"")</f>
        <v/>
      </c>
      <c r="V34" s="40" t="str">
        <f aca="false">IFERROR(INDEX('CA Exclusion Map'!$E$2:$E$2001,MATCH($C34,'CA Exclusion Map'!$A$2:$A$2001,0)),"")</f>
        <v/>
      </c>
      <c r="W34" s="40" t="str">
        <f aca="false">IFERROR(INDEX('CA Exclusion Map'!$F$2:$F$2001,MATCH($C34,'CA Exclusion Map'!$A$2:$A$2001,0)),"")</f>
        <v/>
      </c>
      <c r="X34" s="36"/>
      <c r="Y34" s="37"/>
      <c r="Z34" s="38"/>
      <c r="AA34" s="38"/>
      <c r="AB34" s="39" t="str">
        <f aca="true">IF(T34="","",IF(T34&lt;&gt;"Yes","N/A",IF(AA34="","NO EXPIRY SET",IF(TODAY()&gt;AA34,"EXPIRED",IF(AA34-TODAY()&lt;=30,"Expiring Soon","Active")))))</f>
        <v/>
      </c>
      <c r="AC34" s="36"/>
      <c r="AD34" s="36"/>
      <c r="AE34" s="37"/>
      <c r="AF34" s="36"/>
      <c r="AG34" s="37"/>
      <c r="AH34" s="37"/>
      <c r="AI34" s="37"/>
      <c r="AJ34" s="37"/>
      <c r="AK34" s="38"/>
      <c r="AL34" s="37"/>
      <c r="AM34" s="37"/>
      <c r="AN34" s="41" t="str">
        <f aca="false">IF(AK34="","",AK34+90)</f>
        <v/>
      </c>
      <c r="AO34" s="39" t="str">
        <f aca="true">IF(C34="","",IF(AK34="","NOT REVIEWED",IF(TODAY()&gt;AN34,"OVERDUE",IF(AN34-TODAY()&lt;=14,"Due Soon","Current"))))</f>
        <v/>
      </c>
      <c r="AP34" s="36"/>
    </row>
    <row r="35" customFormat="false" ht="15" hidden="false" customHeight="false" outlineLevel="0" collapsed="false">
      <c r="A35" s="36"/>
      <c r="B35" s="36"/>
      <c r="C35" s="36"/>
      <c r="D35" s="37"/>
      <c r="E35" s="38"/>
      <c r="F35" s="38"/>
      <c r="G35" s="36"/>
      <c r="H35" s="37"/>
      <c r="I35" s="39" t="str">
        <f aca="true">IF(F35="","",TODAY()-F35)</f>
        <v/>
      </c>
      <c r="J35" s="40" t="str">
        <f aca="false">IFERROR(INDEX('Azure Resource Map'!$H$2:$H$2001,MATCH($C35,'Azure Resource Map'!$A$2:$A$2001,0)),"")</f>
        <v/>
      </c>
      <c r="K35" s="40" t="str">
        <f aca="false">IFERROR(INDEX('Azure Resource Map'!$I$2:$I$2001,MATCH($C35,'Azure Resource Map'!$A$2:$A$2001,0)),"")</f>
        <v/>
      </c>
      <c r="L35" s="39" t="str">
        <f aca="false">IFERROR(INDEX('Azure Resource Map'!$J$2:$J$2001,MATCH($C35,'Azure Resource Map'!$A$2:$A$2001,0)),"")</f>
        <v/>
      </c>
      <c r="M35" s="40" t="str">
        <f aca="false">IFERROR(INDEX('Azure Resource Map'!$K$2:$K$2001,MATCH($C35,'Azure Resource Map'!$A$2:$A$2001,0)),"")</f>
        <v/>
      </c>
      <c r="N35" s="39" t="str">
        <f aca="false">IFERROR(INDEX('Azure Resource Map'!$L$2:$L$2001,MATCH($C35,'Azure Resource Map'!$A$2:$A$2001,0)),"")</f>
        <v/>
      </c>
      <c r="O35" s="39" t="str">
        <f aca="false">IFERROR(INDEX('Azure Resource Map'!$M$2:$M$2001,MATCH($C35,'Azure Resource Map'!$A$2:$A$2001,0)),"")</f>
        <v/>
      </c>
      <c r="P35" s="40" t="str">
        <f aca="false">IFERROR(INDEX('Azure Resource Map'!$D$2:$D$2001,MATCH($C35,'Azure Resource Map'!$A$2:$A$2001,0)),"")</f>
        <v/>
      </c>
      <c r="Q35" s="39" t="str">
        <f aca="false">IFERROR(INDEX('Azure Resource Map'!$E$2:$E$2001,MATCH($C35,'Azure Resource Map'!$A$2:$A$2001,0)),"")</f>
        <v/>
      </c>
      <c r="R35" s="39" t="str">
        <f aca="false">IFERROR(INDEX('Azure Resource Map'!$F$2:$F$2001,MATCH($C35,'Azure Resource Map'!$A$2:$A$2001,0)),"")</f>
        <v/>
      </c>
      <c r="S35" s="37"/>
      <c r="T35" s="39" t="str">
        <f aca="false">IF($C35="","",IF(ISNUMBER(MATCH($C35,'CA Exclusion Map'!$A$2:$A$2001,0)),"Yes","No"))</f>
        <v/>
      </c>
      <c r="U35" s="39" t="str">
        <f aca="false">IFERROR(INDEX('CA Exclusion Map'!$D$2:$D$2001,MATCH($C35,'CA Exclusion Map'!$A$2:$A$2001,0)),"")</f>
        <v/>
      </c>
      <c r="V35" s="40" t="str">
        <f aca="false">IFERROR(INDEX('CA Exclusion Map'!$E$2:$E$2001,MATCH($C35,'CA Exclusion Map'!$A$2:$A$2001,0)),"")</f>
        <v/>
      </c>
      <c r="W35" s="40" t="str">
        <f aca="false">IFERROR(INDEX('CA Exclusion Map'!$F$2:$F$2001,MATCH($C35,'CA Exclusion Map'!$A$2:$A$2001,0)),"")</f>
        <v/>
      </c>
      <c r="X35" s="36"/>
      <c r="Y35" s="37"/>
      <c r="Z35" s="38"/>
      <c r="AA35" s="38"/>
      <c r="AB35" s="39" t="str">
        <f aca="true">IF(T35="","",IF(T35&lt;&gt;"Yes","N/A",IF(AA35="","NO EXPIRY SET",IF(TODAY()&gt;AA35,"EXPIRED",IF(AA35-TODAY()&lt;=30,"Expiring Soon","Active")))))</f>
        <v/>
      </c>
      <c r="AC35" s="36"/>
      <c r="AD35" s="36"/>
      <c r="AE35" s="37"/>
      <c r="AF35" s="36"/>
      <c r="AG35" s="37"/>
      <c r="AH35" s="37"/>
      <c r="AI35" s="37"/>
      <c r="AJ35" s="37"/>
      <c r="AK35" s="38"/>
      <c r="AL35" s="37"/>
      <c r="AM35" s="37"/>
      <c r="AN35" s="41" t="str">
        <f aca="false">IF(AK35="","",AK35+90)</f>
        <v/>
      </c>
      <c r="AO35" s="39" t="str">
        <f aca="true">IF(C35="","",IF(AK35="","NOT REVIEWED",IF(TODAY()&gt;AN35,"OVERDUE",IF(AN35-TODAY()&lt;=14,"Due Soon","Current"))))</f>
        <v/>
      </c>
      <c r="AP35" s="36"/>
    </row>
    <row r="36" customFormat="false" ht="15" hidden="false" customHeight="false" outlineLevel="0" collapsed="false">
      <c r="A36" s="36"/>
      <c r="B36" s="36"/>
      <c r="C36" s="36"/>
      <c r="D36" s="37"/>
      <c r="E36" s="38"/>
      <c r="F36" s="38"/>
      <c r="G36" s="36"/>
      <c r="H36" s="37"/>
      <c r="I36" s="39" t="str">
        <f aca="true">IF(F36="","",TODAY()-F36)</f>
        <v/>
      </c>
      <c r="J36" s="40" t="str">
        <f aca="false">IFERROR(INDEX('Azure Resource Map'!$H$2:$H$2001,MATCH($C36,'Azure Resource Map'!$A$2:$A$2001,0)),"")</f>
        <v/>
      </c>
      <c r="K36" s="40" t="str">
        <f aca="false">IFERROR(INDEX('Azure Resource Map'!$I$2:$I$2001,MATCH($C36,'Azure Resource Map'!$A$2:$A$2001,0)),"")</f>
        <v/>
      </c>
      <c r="L36" s="39" t="str">
        <f aca="false">IFERROR(INDEX('Azure Resource Map'!$J$2:$J$2001,MATCH($C36,'Azure Resource Map'!$A$2:$A$2001,0)),"")</f>
        <v/>
      </c>
      <c r="M36" s="40" t="str">
        <f aca="false">IFERROR(INDEX('Azure Resource Map'!$K$2:$K$2001,MATCH($C36,'Azure Resource Map'!$A$2:$A$2001,0)),"")</f>
        <v/>
      </c>
      <c r="N36" s="39" t="str">
        <f aca="false">IFERROR(INDEX('Azure Resource Map'!$L$2:$L$2001,MATCH($C36,'Azure Resource Map'!$A$2:$A$2001,0)),"")</f>
        <v/>
      </c>
      <c r="O36" s="39" t="str">
        <f aca="false">IFERROR(INDEX('Azure Resource Map'!$M$2:$M$2001,MATCH($C36,'Azure Resource Map'!$A$2:$A$2001,0)),"")</f>
        <v/>
      </c>
      <c r="P36" s="40" t="str">
        <f aca="false">IFERROR(INDEX('Azure Resource Map'!$D$2:$D$2001,MATCH($C36,'Azure Resource Map'!$A$2:$A$2001,0)),"")</f>
        <v/>
      </c>
      <c r="Q36" s="39" t="str">
        <f aca="false">IFERROR(INDEX('Azure Resource Map'!$E$2:$E$2001,MATCH($C36,'Azure Resource Map'!$A$2:$A$2001,0)),"")</f>
        <v/>
      </c>
      <c r="R36" s="39" t="str">
        <f aca="false">IFERROR(INDEX('Azure Resource Map'!$F$2:$F$2001,MATCH($C36,'Azure Resource Map'!$A$2:$A$2001,0)),"")</f>
        <v/>
      </c>
      <c r="S36" s="37"/>
      <c r="T36" s="39" t="str">
        <f aca="false">IF($C36="","",IF(ISNUMBER(MATCH($C36,'CA Exclusion Map'!$A$2:$A$2001,0)),"Yes","No"))</f>
        <v/>
      </c>
      <c r="U36" s="39" t="str">
        <f aca="false">IFERROR(INDEX('CA Exclusion Map'!$D$2:$D$2001,MATCH($C36,'CA Exclusion Map'!$A$2:$A$2001,0)),"")</f>
        <v/>
      </c>
      <c r="V36" s="40" t="str">
        <f aca="false">IFERROR(INDEX('CA Exclusion Map'!$E$2:$E$2001,MATCH($C36,'CA Exclusion Map'!$A$2:$A$2001,0)),"")</f>
        <v/>
      </c>
      <c r="W36" s="40" t="str">
        <f aca="false">IFERROR(INDEX('CA Exclusion Map'!$F$2:$F$2001,MATCH($C36,'CA Exclusion Map'!$A$2:$A$2001,0)),"")</f>
        <v/>
      </c>
      <c r="X36" s="36"/>
      <c r="Y36" s="37"/>
      <c r="Z36" s="38"/>
      <c r="AA36" s="38"/>
      <c r="AB36" s="39" t="str">
        <f aca="true">IF(T36="","",IF(T36&lt;&gt;"Yes","N/A",IF(AA36="","NO EXPIRY SET",IF(TODAY()&gt;AA36,"EXPIRED",IF(AA36-TODAY()&lt;=30,"Expiring Soon","Active")))))</f>
        <v/>
      </c>
      <c r="AC36" s="36"/>
      <c r="AD36" s="36"/>
      <c r="AE36" s="37"/>
      <c r="AF36" s="36"/>
      <c r="AG36" s="37"/>
      <c r="AH36" s="37"/>
      <c r="AI36" s="37"/>
      <c r="AJ36" s="37"/>
      <c r="AK36" s="38"/>
      <c r="AL36" s="37"/>
      <c r="AM36" s="37"/>
      <c r="AN36" s="41" t="str">
        <f aca="false">IF(AK36="","",AK36+90)</f>
        <v/>
      </c>
      <c r="AO36" s="39" t="str">
        <f aca="true">IF(C36="","",IF(AK36="","NOT REVIEWED",IF(TODAY()&gt;AN36,"OVERDUE",IF(AN36-TODAY()&lt;=14,"Due Soon","Current"))))</f>
        <v/>
      </c>
      <c r="AP36" s="36"/>
    </row>
    <row r="37" customFormat="false" ht="15" hidden="false" customHeight="false" outlineLevel="0" collapsed="false">
      <c r="A37" s="36"/>
      <c r="B37" s="36"/>
      <c r="C37" s="36"/>
      <c r="D37" s="37"/>
      <c r="E37" s="38"/>
      <c r="F37" s="38"/>
      <c r="G37" s="36"/>
      <c r="H37" s="37"/>
      <c r="I37" s="39" t="str">
        <f aca="true">IF(F37="","",TODAY()-F37)</f>
        <v/>
      </c>
      <c r="J37" s="40" t="str">
        <f aca="false">IFERROR(INDEX('Azure Resource Map'!$H$2:$H$2001,MATCH($C37,'Azure Resource Map'!$A$2:$A$2001,0)),"")</f>
        <v/>
      </c>
      <c r="K37" s="40" t="str">
        <f aca="false">IFERROR(INDEX('Azure Resource Map'!$I$2:$I$2001,MATCH($C37,'Azure Resource Map'!$A$2:$A$2001,0)),"")</f>
        <v/>
      </c>
      <c r="L37" s="39" t="str">
        <f aca="false">IFERROR(INDEX('Azure Resource Map'!$J$2:$J$2001,MATCH($C37,'Azure Resource Map'!$A$2:$A$2001,0)),"")</f>
        <v/>
      </c>
      <c r="M37" s="40" t="str">
        <f aca="false">IFERROR(INDEX('Azure Resource Map'!$K$2:$K$2001,MATCH($C37,'Azure Resource Map'!$A$2:$A$2001,0)),"")</f>
        <v/>
      </c>
      <c r="N37" s="39" t="str">
        <f aca="false">IFERROR(INDEX('Azure Resource Map'!$L$2:$L$2001,MATCH($C37,'Azure Resource Map'!$A$2:$A$2001,0)),"")</f>
        <v/>
      </c>
      <c r="O37" s="39" t="str">
        <f aca="false">IFERROR(INDEX('Azure Resource Map'!$M$2:$M$2001,MATCH($C37,'Azure Resource Map'!$A$2:$A$2001,0)),"")</f>
        <v/>
      </c>
      <c r="P37" s="40" t="str">
        <f aca="false">IFERROR(INDEX('Azure Resource Map'!$D$2:$D$2001,MATCH($C37,'Azure Resource Map'!$A$2:$A$2001,0)),"")</f>
        <v/>
      </c>
      <c r="Q37" s="39" t="str">
        <f aca="false">IFERROR(INDEX('Azure Resource Map'!$E$2:$E$2001,MATCH($C37,'Azure Resource Map'!$A$2:$A$2001,0)),"")</f>
        <v/>
      </c>
      <c r="R37" s="39" t="str">
        <f aca="false">IFERROR(INDEX('Azure Resource Map'!$F$2:$F$2001,MATCH($C37,'Azure Resource Map'!$A$2:$A$2001,0)),"")</f>
        <v/>
      </c>
      <c r="S37" s="37"/>
      <c r="T37" s="39" t="str">
        <f aca="false">IF($C37="","",IF(ISNUMBER(MATCH($C37,'CA Exclusion Map'!$A$2:$A$2001,0)),"Yes","No"))</f>
        <v/>
      </c>
      <c r="U37" s="39" t="str">
        <f aca="false">IFERROR(INDEX('CA Exclusion Map'!$D$2:$D$2001,MATCH($C37,'CA Exclusion Map'!$A$2:$A$2001,0)),"")</f>
        <v/>
      </c>
      <c r="V37" s="40" t="str">
        <f aca="false">IFERROR(INDEX('CA Exclusion Map'!$E$2:$E$2001,MATCH($C37,'CA Exclusion Map'!$A$2:$A$2001,0)),"")</f>
        <v/>
      </c>
      <c r="W37" s="40" t="str">
        <f aca="false">IFERROR(INDEX('CA Exclusion Map'!$F$2:$F$2001,MATCH($C37,'CA Exclusion Map'!$A$2:$A$2001,0)),"")</f>
        <v/>
      </c>
      <c r="X37" s="36"/>
      <c r="Y37" s="37"/>
      <c r="Z37" s="38"/>
      <c r="AA37" s="38"/>
      <c r="AB37" s="39" t="str">
        <f aca="true">IF(T37="","",IF(T37&lt;&gt;"Yes","N/A",IF(AA37="","NO EXPIRY SET",IF(TODAY()&gt;AA37,"EXPIRED",IF(AA37-TODAY()&lt;=30,"Expiring Soon","Active")))))</f>
        <v/>
      </c>
      <c r="AC37" s="36"/>
      <c r="AD37" s="36"/>
      <c r="AE37" s="37"/>
      <c r="AF37" s="36"/>
      <c r="AG37" s="37"/>
      <c r="AH37" s="37"/>
      <c r="AI37" s="37"/>
      <c r="AJ37" s="37"/>
      <c r="AK37" s="38"/>
      <c r="AL37" s="37"/>
      <c r="AM37" s="37"/>
      <c r="AN37" s="41" t="str">
        <f aca="false">IF(AK37="","",AK37+90)</f>
        <v/>
      </c>
      <c r="AO37" s="39" t="str">
        <f aca="true">IF(C37="","",IF(AK37="","NOT REVIEWED",IF(TODAY()&gt;AN37,"OVERDUE",IF(AN37-TODAY()&lt;=14,"Due Soon","Current"))))</f>
        <v/>
      </c>
      <c r="AP37" s="36"/>
    </row>
    <row r="38" customFormat="false" ht="15" hidden="false" customHeight="false" outlineLevel="0" collapsed="false">
      <c r="A38" s="36"/>
      <c r="B38" s="36"/>
      <c r="C38" s="36"/>
      <c r="D38" s="37"/>
      <c r="E38" s="38"/>
      <c r="F38" s="38"/>
      <c r="G38" s="36"/>
      <c r="H38" s="37"/>
      <c r="I38" s="39" t="str">
        <f aca="true">IF(F38="","",TODAY()-F38)</f>
        <v/>
      </c>
      <c r="J38" s="40" t="str">
        <f aca="false">IFERROR(INDEX('Azure Resource Map'!$H$2:$H$2001,MATCH($C38,'Azure Resource Map'!$A$2:$A$2001,0)),"")</f>
        <v/>
      </c>
      <c r="K38" s="40" t="str">
        <f aca="false">IFERROR(INDEX('Azure Resource Map'!$I$2:$I$2001,MATCH($C38,'Azure Resource Map'!$A$2:$A$2001,0)),"")</f>
        <v/>
      </c>
      <c r="L38" s="39" t="str">
        <f aca="false">IFERROR(INDEX('Azure Resource Map'!$J$2:$J$2001,MATCH($C38,'Azure Resource Map'!$A$2:$A$2001,0)),"")</f>
        <v/>
      </c>
      <c r="M38" s="40" t="str">
        <f aca="false">IFERROR(INDEX('Azure Resource Map'!$K$2:$K$2001,MATCH($C38,'Azure Resource Map'!$A$2:$A$2001,0)),"")</f>
        <v/>
      </c>
      <c r="N38" s="39" t="str">
        <f aca="false">IFERROR(INDEX('Azure Resource Map'!$L$2:$L$2001,MATCH($C38,'Azure Resource Map'!$A$2:$A$2001,0)),"")</f>
        <v/>
      </c>
      <c r="O38" s="39" t="str">
        <f aca="false">IFERROR(INDEX('Azure Resource Map'!$M$2:$M$2001,MATCH($C38,'Azure Resource Map'!$A$2:$A$2001,0)),"")</f>
        <v/>
      </c>
      <c r="P38" s="40" t="str">
        <f aca="false">IFERROR(INDEX('Azure Resource Map'!$D$2:$D$2001,MATCH($C38,'Azure Resource Map'!$A$2:$A$2001,0)),"")</f>
        <v/>
      </c>
      <c r="Q38" s="39" t="str">
        <f aca="false">IFERROR(INDEX('Azure Resource Map'!$E$2:$E$2001,MATCH($C38,'Azure Resource Map'!$A$2:$A$2001,0)),"")</f>
        <v/>
      </c>
      <c r="R38" s="39" t="str">
        <f aca="false">IFERROR(INDEX('Azure Resource Map'!$F$2:$F$2001,MATCH($C38,'Azure Resource Map'!$A$2:$A$2001,0)),"")</f>
        <v/>
      </c>
      <c r="S38" s="37"/>
      <c r="T38" s="39" t="str">
        <f aca="false">IF($C38="","",IF(ISNUMBER(MATCH($C38,'CA Exclusion Map'!$A$2:$A$2001,0)),"Yes","No"))</f>
        <v/>
      </c>
      <c r="U38" s="39" t="str">
        <f aca="false">IFERROR(INDEX('CA Exclusion Map'!$D$2:$D$2001,MATCH($C38,'CA Exclusion Map'!$A$2:$A$2001,0)),"")</f>
        <v/>
      </c>
      <c r="V38" s="40" t="str">
        <f aca="false">IFERROR(INDEX('CA Exclusion Map'!$E$2:$E$2001,MATCH($C38,'CA Exclusion Map'!$A$2:$A$2001,0)),"")</f>
        <v/>
      </c>
      <c r="W38" s="40" t="str">
        <f aca="false">IFERROR(INDEX('CA Exclusion Map'!$F$2:$F$2001,MATCH($C38,'CA Exclusion Map'!$A$2:$A$2001,0)),"")</f>
        <v/>
      </c>
      <c r="X38" s="36"/>
      <c r="Y38" s="37"/>
      <c r="Z38" s="38"/>
      <c r="AA38" s="38"/>
      <c r="AB38" s="39" t="str">
        <f aca="true">IF(T38="","",IF(T38&lt;&gt;"Yes","N/A",IF(AA38="","NO EXPIRY SET",IF(TODAY()&gt;AA38,"EXPIRED",IF(AA38-TODAY()&lt;=30,"Expiring Soon","Active")))))</f>
        <v/>
      </c>
      <c r="AC38" s="36"/>
      <c r="AD38" s="36"/>
      <c r="AE38" s="37"/>
      <c r="AF38" s="36"/>
      <c r="AG38" s="37"/>
      <c r="AH38" s="37"/>
      <c r="AI38" s="37"/>
      <c r="AJ38" s="37"/>
      <c r="AK38" s="38"/>
      <c r="AL38" s="37"/>
      <c r="AM38" s="37"/>
      <c r="AN38" s="41" t="str">
        <f aca="false">IF(AK38="","",AK38+90)</f>
        <v/>
      </c>
      <c r="AO38" s="39" t="str">
        <f aca="true">IF(C38="","",IF(AK38="","NOT REVIEWED",IF(TODAY()&gt;AN38,"OVERDUE",IF(AN38-TODAY()&lt;=14,"Due Soon","Current"))))</f>
        <v/>
      </c>
      <c r="AP38" s="36"/>
    </row>
    <row r="39" customFormat="false" ht="15" hidden="false" customHeight="false" outlineLevel="0" collapsed="false">
      <c r="A39" s="36"/>
      <c r="B39" s="36"/>
      <c r="C39" s="36"/>
      <c r="D39" s="37"/>
      <c r="E39" s="38"/>
      <c r="F39" s="38"/>
      <c r="G39" s="36"/>
      <c r="H39" s="37"/>
      <c r="I39" s="39" t="str">
        <f aca="true">IF(F39="","",TODAY()-F39)</f>
        <v/>
      </c>
      <c r="J39" s="40" t="str">
        <f aca="false">IFERROR(INDEX('Azure Resource Map'!$H$2:$H$2001,MATCH($C39,'Azure Resource Map'!$A$2:$A$2001,0)),"")</f>
        <v/>
      </c>
      <c r="K39" s="40" t="str">
        <f aca="false">IFERROR(INDEX('Azure Resource Map'!$I$2:$I$2001,MATCH($C39,'Azure Resource Map'!$A$2:$A$2001,0)),"")</f>
        <v/>
      </c>
      <c r="L39" s="39" t="str">
        <f aca="false">IFERROR(INDEX('Azure Resource Map'!$J$2:$J$2001,MATCH($C39,'Azure Resource Map'!$A$2:$A$2001,0)),"")</f>
        <v/>
      </c>
      <c r="M39" s="40" t="str">
        <f aca="false">IFERROR(INDEX('Azure Resource Map'!$K$2:$K$2001,MATCH($C39,'Azure Resource Map'!$A$2:$A$2001,0)),"")</f>
        <v/>
      </c>
      <c r="N39" s="39" t="str">
        <f aca="false">IFERROR(INDEX('Azure Resource Map'!$L$2:$L$2001,MATCH($C39,'Azure Resource Map'!$A$2:$A$2001,0)),"")</f>
        <v/>
      </c>
      <c r="O39" s="39" t="str">
        <f aca="false">IFERROR(INDEX('Azure Resource Map'!$M$2:$M$2001,MATCH($C39,'Azure Resource Map'!$A$2:$A$2001,0)),"")</f>
        <v/>
      </c>
      <c r="P39" s="40" t="str">
        <f aca="false">IFERROR(INDEX('Azure Resource Map'!$D$2:$D$2001,MATCH($C39,'Azure Resource Map'!$A$2:$A$2001,0)),"")</f>
        <v/>
      </c>
      <c r="Q39" s="39" t="str">
        <f aca="false">IFERROR(INDEX('Azure Resource Map'!$E$2:$E$2001,MATCH($C39,'Azure Resource Map'!$A$2:$A$2001,0)),"")</f>
        <v/>
      </c>
      <c r="R39" s="39" t="str">
        <f aca="false">IFERROR(INDEX('Azure Resource Map'!$F$2:$F$2001,MATCH($C39,'Azure Resource Map'!$A$2:$A$2001,0)),"")</f>
        <v/>
      </c>
      <c r="S39" s="37"/>
      <c r="T39" s="39" t="str">
        <f aca="false">IF($C39="","",IF(ISNUMBER(MATCH($C39,'CA Exclusion Map'!$A$2:$A$2001,0)),"Yes","No"))</f>
        <v/>
      </c>
      <c r="U39" s="39" t="str">
        <f aca="false">IFERROR(INDEX('CA Exclusion Map'!$D$2:$D$2001,MATCH($C39,'CA Exclusion Map'!$A$2:$A$2001,0)),"")</f>
        <v/>
      </c>
      <c r="V39" s="40" t="str">
        <f aca="false">IFERROR(INDEX('CA Exclusion Map'!$E$2:$E$2001,MATCH($C39,'CA Exclusion Map'!$A$2:$A$2001,0)),"")</f>
        <v/>
      </c>
      <c r="W39" s="40" t="str">
        <f aca="false">IFERROR(INDEX('CA Exclusion Map'!$F$2:$F$2001,MATCH($C39,'CA Exclusion Map'!$A$2:$A$2001,0)),"")</f>
        <v/>
      </c>
      <c r="X39" s="36"/>
      <c r="Y39" s="37"/>
      <c r="Z39" s="38"/>
      <c r="AA39" s="38"/>
      <c r="AB39" s="39" t="str">
        <f aca="true">IF(T39="","",IF(T39&lt;&gt;"Yes","N/A",IF(AA39="","NO EXPIRY SET",IF(TODAY()&gt;AA39,"EXPIRED",IF(AA39-TODAY()&lt;=30,"Expiring Soon","Active")))))</f>
        <v/>
      </c>
      <c r="AC39" s="36"/>
      <c r="AD39" s="36"/>
      <c r="AE39" s="37"/>
      <c r="AF39" s="36"/>
      <c r="AG39" s="37"/>
      <c r="AH39" s="37"/>
      <c r="AI39" s="37"/>
      <c r="AJ39" s="37"/>
      <c r="AK39" s="38"/>
      <c r="AL39" s="37"/>
      <c r="AM39" s="37"/>
      <c r="AN39" s="41" t="str">
        <f aca="false">IF(AK39="","",AK39+90)</f>
        <v/>
      </c>
      <c r="AO39" s="39" t="str">
        <f aca="true">IF(C39="","",IF(AK39="","NOT REVIEWED",IF(TODAY()&gt;AN39,"OVERDUE",IF(AN39-TODAY()&lt;=14,"Due Soon","Current"))))</f>
        <v/>
      </c>
      <c r="AP39" s="36"/>
    </row>
    <row r="40" customFormat="false" ht="15" hidden="false" customHeight="false" outlineLevel="0" collapsed="false">
      <c r="A40" s="36"/>
      <c r="B40" s="36"/>
      <c r="C40" s="36"/>
      <c r="D40" s="37"/>
      <c r="E40" s="38"/>
      <c r="F40" s="38"/>
      <c r="G40" s="36"/>
      <c r="H40" s="37"/>
      <c r="I40" s="39" t="str">
        <f aca="true">IF(F40="","",TODAY()-F40)</f>
        <v/>
      </c>
      <c r="J40" s="40" t="str">
        <f aca="false">IFERROR(INDEX('Azure Resource Map'!$H$2:$H$2001,MATCH($C40,'Azure Resource Map'!$A$2:$A$2001,0)),"")</f>
        <v/>
      </c>
      <c r="K40" s="40" t="str">
        <f aca="false">IFERROR(INDEX('Azure Resource Map'!$I$2:$I$2001,MATCH($C40,'Azure Resource Map'!$A$2:$A$2001,0)),"")</f>
        <v/>
      </c>
      <c r="L40" s="39" t="str">
        <f aca="false">IFERROR(INDEX('Azure Resource Map'!$J$2:$J$2001,MATCH($C40,'Azure Resource Map'!$A$2:$A$2001,0)),"")</f>
        <v/>
      </c>
      <c r="M40" s="40" t="str">
        <f aca="false">IFERROR(INDEX('Azure Resource Map'!$K$2:$K$2001,MATCH($C40,'Azure Resource Map'!$A$2:$A$2001,0)),"")</f>
        <v/>
      </c>
      <c r="N40" s="39" t="str">
        <f aca="false">IFERROR(INDEX('Azure Resource Map'!$L$2:$L$2001,MATCH($C40,'Azure Resource Map'!$A$2:$A$2001,0)),"")</f>
        <v/>
      </c>
      <c r="O40" s="39" t="str">
        <f aca="false">IFERROR(INDEX('Azure Resource Map'!$M$2:$M$2001,MATCH($C40,'Azure Resource Map'!$A$2:$A$2001,0)),"")</f>
        <v/>
      </c>
      <c r="P40" s="40" t="str">
        <f aca="false">IFERROR(INDEX('Azure Resource Map'!$D$2:$D$2001,MATCH($C40,'Azure Resource Map'!$A$2:$A$2001,0)),"")</f>
        <v/>
      </c>
      <c r="Q40" s="39" t="str">
        <f aca="false">IFERROR(INDEX('Azure Resource Map'!$E$2:$E$2001,MATCH($C40,'Azure Resource Map'!$A$2:$A$2001,0)),"")</f>
        <v/>
      </c>
      <c r="R40" s="39" t="str">
        <f aca="false">IFERROR(INDEX('Azure Resource Map'!$F$2:$F$2001,MATCH($C40,'Azure Resource Map'!$A$2:$A$2001,0)),"")</f>
        <v/>
      </c>
      <c r="S40" s="37"/>
      <c r="T40" s="39" t="str">
        <f aca="false">IF($C40="","",IF(ISNUMBER(MATCH($C40,'CA Exclusion Map'!$A$2:$A$2001,0)),"Yes","No"))</f>
        <v/>
      </c>
      <c r="U40" s="39" t="str">
        <f aca="false">IFERROR(INDEX('CA Exclusion Map'!$D$2:$D$2001,MATCH($C40,'CA Exclusion Map'!$A$2:$A$2001,0)),"")</f>
        <v/>
      </c>
      <c r="V40" s="40" t="str">
        <f aca="false">IFERROR(INDEX('CA Exclusion Map'!$E$2:$E$2001,MATCH($C40,'CA Exclusion Map'!$A$2:$A$2001,0)),"")</f>
        <v/>
      </c>
      <c r="W40" s="40" t="str">
        <f aca="false">IFERROR(INDEX('CA Exclusion Map'!$F$2:$F$2001,MATCH($C40,'CA Exclusion Map'!$A$2:$A$2001,0)),"")</f>
        <v/>
      </c>
      <c r="X40" s="36"/>
      <c r="Y40" s="37"/>
      <c r="Z40" s="38"/>
      <c r="AA40" s="38"/>
      <c r="AB40" s="39" t="str">
        <f aca="true">IF(T40="","",IF(T40&lt;&gt;"Yes","N/A",IF(AA40="","NO EXPIRY SET",IF(TODAY()&gt;AA40,"EXPIRED",IF(AA40-TODAY()&lt;=30,"Expiring Soon","Active")))))</f>
        <v/>
      </c>
      <c r="AC40" s="36"/>
      <c r="AD40" s="36"/>
      <c r="AE40" s="37"/>
      <c r="AF40" s="36"/>
      <c r="AG40" s="37"/>
      <c r="AH40" s="37"/>
      <c r="AI40" s="37"/>
      <c r="AJ40" s="37"/>
      <c r="AK40" s="38"/>
      <c r="AL40" s="37"/>
      <c r="AM40" s="37"/>
      <c r="AN40" s="41" t="str">
        <f aca="false">IF(AK40="","",AK40+90)</f>
        <v/>
      </c>
      <c r="AO40" s="39" t="str">
        <f aca="true">IF(C40="","",IF(AK40="","NOT REVIEWED",IF(TODAY()&gt;AN40,"OVERDUE",IF(AN40-TODAY()&lt;=14,"Due Soon","Current"))))</f>
        <v/>
      </c>
      <c r="AP40" s="36"/>
    </row>
    <row r="41" customFormat="false" ht="15" hidden="false" customHeight="false" outlineLevel="0" collapsed="false">
      <c r="A41" s="36"/>
      <c r="B41" s="36"/>
      <c r="C41" s="36"/>
      <c r="D41" s="37"/>
      <c r="E41" s="38"/>
      <c r="F41" s="38"/>
      <c r="G41" s="36"/>
      <c r="H41" s="37"/>
      <c r="I41" s="39" t="str">
        <f aca="true">IF(F41="","",TODAY()-F41)</f>
        <v/>
      </c>
      <c r="J41" s="40" t="str">
        <f aca="false">IFERROR(INDEX('Azure Resource Map'!$H$2:$H$2001,MATCH($C41,'Azure Resource Map'!$A$2:$A$2001,0)),"")</f>
        <v/>
      </c>
      <c r="K41" s="40" t="str">
        <f aca="false">IFERROR(INDEX('Azure Resource Map'!$I$2:$I$2001,MATCH($C41,'Azure Resource Map'!$A$2:$A$2001,0)),"")</f>
        <v/>
      </c>
      <c r="L41" s="39" t="str">
        <f aca="false">IFERROR(INDEX('Azure Resource Map'!$J$2:$J$2001,MATCH($C41,'Azure Resource Map'!$A$2:$A$2001,0)),"")</f>
        <v/>
      </c>
      <c r="M41" s="40" t="str">
        <f aca="false">IFERROR(INDEX('Azure Resource Map'!$K$2:$K$2001,MATCH($C41,'Azure Resource Map'!$A$2:$A$2001,0)),"")</f>
        <v/>
      </c>
      <c r="N41" s="39" t="str">
        <f aca="false">IFERROR(INDEX('Azure Resource Map'!$L$2:$L$2001,MATCH($C41,'Azure Resource Map'!$A$2:$A$2001,0)),"")</f>
        <v/>
      </c>
      <c r="O41" s="39" t="str">
        <f aca="false">IFERROR(INDEX('Azure Resource Map'!$M$2:$M$2001,MATCH($C41,'Azure Resource Map'!$A$2:$A$2001,0)),"")</f>
        <v/>
      </c>
      <c r="P41" s="40" t="str">
        <f aca="false">IFERROR(INDEX('Azure Resource Map'!$D$2:$D$2001,MATCH($C41,'Azure Resource Map'!$A$2:$A$2001,0)),"")</f>
        <v/>
      </c>
      <c r="Q41" s="39" t="str">
        <f aca="false">IFERROR(INDEX('Azure Resource Map'!$E$2:$E$2001,MATCH($C41,'Azure Resource Map'!$A$2:$A$2001,0)),"")</f>
        <v/>
      </c>
      <c r="R41" s="39" t="str">
        <f aca="false">IFERROR(INDEX('Azure Resource Map'!$F$2:$F$2001,MATCH($C41,'Azure Resource Map'!$A$2:$A$2001,0)),"")</f>
        <v/>
      </c>
      <c r="S41" s="37"/>
      <c r="T41" s="39" t="str">
        <f aca="false">IF($C41="","",IF(ISNUMBER(MATCH($C41,'CA Exclusion Map'!$A$2:$A$2001,0)),"Yes","No"))</f>
        <v/>
      </c>
      <c r="U41" s="39" t="str">
        <f aca="false">IFERROR(INDEX('CA Exclusion Map'!$D$2:$D$2001,MATCH($C41,'CA Exclusion Map'!$A$2:$A$2001,0)),"")</f>
        <v/>
      </c>
      <c r="V41" s="40" t="str">
        <f aca="false">IFERROR(INDEX('CA Exclusion Map'!$E$2:$E$2001,MATCH($C41,'CA Exclusion Map'!$A$2:$A$2001,0)),"")</f>
        <v/>
      </c>
      <c r="W41" s="40" t="str">
        <f aca="false">IFERROR(INDEX('CA Exclusion Map'!$F$2:$F$2001,MATCH($C41,'CA Exclusion Map'!$A$2:$A$2001,0)),"")</f>
        <v/>
      </c>
      <c r="X41" s="36"/>
      <c r="Y41" s="37"/>
      <c r="Z41" s="38"/>
      <c r="AA41" s="38"/>
      <c r="AB41" s="39" t="str">
        <f aca="true">IF(T41="","",IF(T41&lt;&gt;"Yes","N/A",IF(AA41="","NO EXPIRY SET",IF(TODAY()&gt;AA41,"EXPIRED",IF(AA41-TODAY()&lt;=30,"Expiring Soon","Active")))))</f>
        <v/>
      </c>
      <c r="AC41" s="36"/>
      <c r="AD41" s="36"/>
      <c r="AE41" s="37"/>
      <c r="AF41" s="36"/>
      <c r="AG41" s="37"/>
      <c r="AH41" s="37"/>
      <c r="AI41" s="37"/>
      <c r="AJ41" s="37"/>
      <c r="AK41" s="38"/>
      <c r="AL41" s="37"/>
      <c r="AM41" s="37"/>
      <c r="AN41" s="41" t="str">
        <f aca="false">IF(AK41="","",AK41+90)</f>
        <v/>
      </c>
      <c r="AO41" s="39" t="str">
        <f aca="true">IF(C41="","",IF(AK41="","NOT REVIEWED",IF(TODAY()&gt;AN41,"OVERDUE",IF(AN41-TODAY()&lt;=14,"Due Soon","Current"))))</f>
        <v/>
      </c>
      <c r="AP41" s="36"/>
    </row>
    <row r="42" customFormat="false" ht="15" hidden="false" customHeight="false" outlineLevel="0" collapsed="false">
      <c r="A42" s="36"/>
      <c r="B42" s="36"/>
      <c r="C42" s="36"/>
      <c r="D42" s="37"/>
      <c r="E42" s="38"/>
      <c r="F42" s="38"/>
      <c r="G42" s="36"/>
      <c r="H42" s="37"/>
      <c r="I42" s="39" t="str">
        <f aca="true">IF(F42="","",TODAY()-F42)</f>
        <v/>
      </c>
      <c r="J42" s="40" t="str">
        <f aca="false">IFERROR(INDEX('Azure Resource Map'!$H$2:$H$2001,MATCH($C42,'Azure Resource Map'!$A$2:$A$2001,0)),"")</f>
        <v/>
      </c>
      <c r="K42" s="40" t="str">
        <f aca="false">IFERROR(INDEX('Azure Resource Map'!$I$2:$I$2001,MATCH($C42,'Azure Resource Map'!$A$2:$A$2001,0)),"")</f>
        <v/>
      </c>
      <c r="L42" s="39" t="str">
        <f aca="false">IFERROR(INDEX('Azure Resource Map'!$J$2:$J$2001,MATCH($C42,'Azure Resource Map'!$A$2:$A$2001,0)),"")</f>
        <v/>
      </c>
      <c r="M42" s="40" t="str">
        <f aca="false">IFERROR(INDEX('Azure Resource Map'!$K$2:$K$2001,MATCH($C42,'Azure Resource Map'!$A$2:$A$2001,0)),"")</f>
        <v/>
      </c>
      <c r="N42" s="39" t="str">
        <f aca="false">IFERROR(INDEX('Azure Resource Map'!$L$2:$L$2001,MATCH($C42,'Azure Resource Map'!$A$2:$A$2001,0)),"")</f>
        <v/>
      </c>
      <c r="O42" s="39" t="str">
        <f aca="false">IFERROR(INDEX('Azure Resource Map'!$M$2:$M$2001,MATCH($C42,'Azure Resource Map'!$A$2:$A$2001,0)),"")</f>
        <v/>
      </c>
      <c r="P42" s="40" t="str">
        <f aca="false">IFERROR(INDEX('Azure Resource Map'!$D$2:$D$2001,MATCH($C42,'Azure Resource Map'!$A$2:$A$2001,0)),"")</f>
        <v/>
      </c>
      <c r="Q42" s="39" t="str">
        <f aca="false">IFERROR(INDEX('Azure Resource Map'!$E$2:$E$2001,MATCH($C42,'Azure Resource Map'!$A$2:$A$2001,0)),"")</f>
        <v/>
      </c>
      <c r="R42" s="39" t="str">
        <f aca="false">IFERROR(INDEX('Azure Resource Map'!$F$2:$F$2001,MATCH($C42,'Azure Resource Map'!$A$2:$A$2001,0)),"")</f>
        <v/>
      </c>
      <c r="S42" s="37"/>
      <c r="T42" s="39" t="str">
        <f aca="false">IF($C42="","",IF(ISNUMBER(MATCH($C42,'CA Exclusion Map'!$A$2:$A$2001,0)),"Yes","No"))</f>
        <v/>
      </c>
      <c r="U42" s="39" t="str">
        <f aca="false">IFERROR(INDEX('CA Exclusion Map'!$D$2:$D$2001,MATCH($C42,'CA Exclusion Map'!$A$2:$A$2001,0)),"")</f>
        <v/>
      </c>
      <c r="V42" s="40" t="str">
        <f aca="false">IFERROR(INDEX('CA Exclusion Map'!$E$2:$E$2001,MATCH($C42,'CA Exclusion Map'!$A$2:$A$2001,0)),"")</f>
        <v/>
      </c>
      <c r="W42" s="40" t="str">
        <f aca="false">IFERROR(INDEX('CA Exclusion Map'!$F$2:$F$2001,MATCH($C42,'CA Exclusion Map'!$A$2:$A$2001,0)),"")</f>
        <v/>
      </c>
      <c r="X42" s="36"/>
      <c r="Y42" s="37"/>
      <c r="Z42" s="38"/>
      <c r="AA42" s="38"/>
      <c r="AB42" s="39" t="str">
        <f aca="true">IF(T42="","",IF(T42&lt;&gt;"Yes","N/A",IF(AA42="","NO EXPIRY SET",IF(TODAY()&gt;AA42,"EXPIRED",IF(AA42-TODAY()&lt;=30,"Expiring Soon","Active")))))</f>
        <v/>
      </c>
      <c r="AC42" s="36"/>
      <c r="AD42" s="36"/>
      <c r="AE42" s="37"/>
      <c r="AF42" s="36"/>
      <c r="AG42" s="37"/>
      <c r="AH42" s="37"/>
      <c r="AI42" s="37"/>
      <c r="AJ42" s="37"/>
      <c r="AK42" s="38"/>
      <c r="AL42" s="37"/>
      <c r="AM42" s="37"/>
      <c r="AN42" s="41" t="str">
        <f aca="false">IF(AK42="","",AK42+90)</f>
        <v/>
      </c>
      <c r="AO42" s="39" t="str">
        <f aca="true">IF(C42="","",IF(AK42="","NOT REVIEWED",IF(TODAY()&gt;AN42,"OVERDUE",IF(AN42-TODAY()&lt;=14,"Due Soon","Current"))))</f>
        <v/>
      </c>
      <c r="AP42" s="36"/>
    </row>
    <row r="43" customFormat="false" ht="15" hidden="false" customHeight="false" outlineLevel="0" collapsed="false">
      <c r="A43" s="36"/>
      <c r="B43" s="36"/>
      <c r="C43" s="36"/>
      <c r="D43" s="37"/>
      <c r="E43" s="38"/>
      <c r="F43" s="38"/>
      <c r="G43" s="36"/>
      <c r="H43" s="37"/>
      <c r="I43" s="39" t="str">
        <f aca="true">IF(F43="","",TODAY()-F43)</f>
        <v/>
      </c>
      <c r="J43" s="40" t="str">
        <f aca="false">IFERROR(INDEX('Azure Resource Map'!$H$2:$H$2001,MATCH($C43,'Azure Resource Map'!$A$2:$A$2001,0)),"")</f>
        <v/>
      </c>
      <c r="K43" s="40" t="str">
        <f aca="false">IFERROR(INDEX('Azure Resource Map'!$I$2:$I$2001,MATCH($C43,'Azure Resource Map'!$A$2:$A$2001,0)),"")</f>
        <v/>
      </c>
      <c r="L43" s="39" t="str">
        <f aca="false">IFERROR(INDEX('Azure Resource Map'!$J$2:$J$2001,MATCH($C43,'Azure Resource Map'!$A$2:$A$2001,0)),"")</f>
        <v/>
      </c>
      <c r="M43" s="40" t="str">
        <f aca="false">IFERROR(INDEX('Azure Resource Map'!$K$2:$K$2001,MATCH($C43,'Azure Resource Map'!$A$2:$A$2001,0)),"")</f>
        <v/>
      </c>
      <c r="N43" s="39" t="str">
        <f aca="false">IFERROR(INDEX('Azure Resource Map'!$L$2:$L$2001,MATCH($C43,'Azure Resource Map'!$A$2:$A$2001,0)),"")</f>
        <v/>
      </c>
      <c r="O43" s="39" t="str">
        <f aca="false">IFERROR(INDEX('Azure Resource Map'!$M$2:$M$2001,MATCH($C43,'Azure Resource Map'!$A$2:$A$2001,0)),"")</f>
        <v/>
      </c>
      <c r="P43" s="40" t="str">
        <f aca="false">IFERROR(INDEX('Azure Resource Map'!$D$2:$D$2001,MATCH($C43,'Azure Resource Map'!$A$2:$A$2001,0)),"")</f>
        <v/>
      </c>
      <c r="Q43" s="39" t="str">
        <f aca="false">IFERROR(INDEX('Azure Resource Map'!$E$2:$E$2001,MATCH($C43,'Azure Resource Map'!$A$2:$A$2001,0)),"")</f>
        <v/>
      </c>
      <c r="R43" s="39" t="str">
        <f aca="false">IFERROR(INDEX('Azure Resource Map'!$F$2:$F$2001,MATCH($C43,'Azure Resource Map'!$A$2:$A$2001,0)),"")</f>
        <v/>
      </c>
      <c r="S43" s="37"/>
      <c r="T43" s="39" t="str">
        <f aca="false">IF($C43="","",IF(ISNUMBER(MATCH($C43,'CA Exclusion Map'!$A$2:$A$2001,0)),"Yes","No"))</f>
        <v/>
      </c>
      <c r="U43" s="39" t="str">
        <f aca="false">IFERROR(INDEX('CA Exclusion Map'!$D$2:$D$2001,MATCH($C43,'CA Exclusion Map'!$A$2:$A$2001,0)),"")</f>
        <v/>
      </c>
      <c r="V43" s="40" t="str">
        <f aca="false">IFERROR(INDEX('CA Exclusion Map'!$E$2:$E$2001,MATCH($C43,'CA Exclusion Map'!$A$2:$A$2001,0)),"")</f>
        <v/>
      </c>
      <c r="W43" s="40" t="str">
        <f aca="false">IFERROR(INDEX('CA Exclusion Map'!$F$2:$F$2001,MATCH($C43,'CA Exclusion Map'!$A$2:$A$2001,0)),"")</f>
        <v/>
      </c>
      <c r="X43" s="36"/>
      <c r="Y43" s="37"/>
      <c r="Z43" s="38"/>
      <c r="AA43" s="38"/>
      <c r="AB43" s="39" t="str">
        <f aca="true">IF(T43="","",IF(T43&lt;&gt;"Yes","N/A",IF(AA43="","NO EXPIRY SET",IF(TODAY()&gt;AA43,"EXPIRED",IF(AA43-TODAY()&lt;=30,"Expiring Soon","Active")))))</f>
        <v/>
      </c>
      <c r="AC43" s="36"/>
      <c r="AD43" s="36"/>
      <c r="AE43" s="37"/>
      <c r="AF43" s="36"/>
      <c r="AG43" s="37"/>
      <c r="AH43" s="37"/>
      <c r="AI43" s="37"/>
      <c r="AJ43" s="37"/>
      <c r="AK43" s="38"/>
      <c r="AL43" s="37"/>
      <c r="AM43" s="37"/>
      <c r="AN43" s="41" t="str">
        <f aca="false">IF(AK43="","",AK43+90)</f>
        <v/>
      </c>
      <c r="AO43" s="39" t="str">
        <f aca="true">IF(C43="","",IF(AK43="","NOT REVIEWED",IF(TODAY()&gt;AN43,"OVERDUE",IF(AN43-TODAY()&lt;=14,"Due Soon","Current"))))</f>
        <v/>
      </c>
      <c r="AP43" s="36"/>
    </row>
    <row r="44" customFormat="false" ht="15" hidden="false" customHeight="false" outlineLevel="0" collapsed="false">
      <c r="A44" s="36"/>
      <c r="B44" s="36"/>
      <c r="C44" s="36"/>
      <c r="D44" s="37"/>
      <c r="E44" s="38"/>
      <c r="F44" s="38"/>
      <c r="G44" s="36"/>
      <c r="H44" s="37"/>
      <c r="I44" s="39" t="str">
        <f aca="true">IF(F44="","",TODAY()-F44)</f>
        <v/>
      </c>
      <c r="J44" s="40" t="str">
        <f aca="false">IFERROR(INDEX('Azure Resource Map'!$H$2:$H$2001,MATCH($C44,'Azure Resource Map'!$A$2:$A$2001,0)),"")</f>
        <v/>
      </c>
      <c r="K44" s="40" t="str">
        <f aca="false">IFERROR(INDEX('Azure Resource Map'!$I$2:$I$2001,MATCH($C44,'Azure Resource Map'!$A$2:$A$2001,0)),"")</f>
        <v/>
      </c>
      <c r="L44" s="39" t="str">
        <f aca="false">IFERROR(INDEX('Azure Resource Map'!$J$2:$J$2001,MATCH($C44,'Azure Resource Map'!$A$2:$A$2001,0)),"")</f>
        <v/>
      </c>
      <c r="M44" s="40" t="str">
        <f aca="false">IFERROR(INDEX('Azure Resource Map'!$K$2:$K$2001,MATCH($C44,'Azure Resource Map'!$A$2:$A$2001,0)),"")</f>
        <v/>
      </c>
      <c r="N44" s="39" t="str">
        <f aca="false">IFERROR(INDEX('Azure Resource Map'!$L$2:$L$2001,MATCH($C44,'Azure Resource Map'!$A$2:$A$2001,0)),"")</f>
        <v/>
      </c>
      <c r="O44" s="39" t="str">
        <f aca="false">IFERROR(INDEX('Azure Resource Map'!$M$2:$M$2001,MATCH($C44,'Azure Resource Map'!$A$2:$A$2001,0)),"")</f>
        <v/>
      </c>
      <c r="P44" s="40" t="str">
        <f aca="false">IFERROR(INDEX('Azure Resource Map'!$D$2:$D$2001,MATCH($C44,'Azure Resource Map'!$A$2:$A$2001,0)),"")</f>
        <v/>
      </c>
      <c r="Q44" s="39" t="str">
        <f aca="false">IFERROR(INDEX('Azure Resource Map'!$E$2:$E$2001,MATCH($C44,'Azure Resource Map'!$A$2:$A$2001,0)),"")</f>
        <v/>
      </c>
      <c r="R44" s="39" t="str">
        <f aca="false">IFERROR(INDEX('Azure Resource Map'!$F$2:$F$2001,MATCH($C44,'Azure Resource Map'!$A$2:$A$2001,0)),"")</f>
        <v/>
      </c>
      <c r="S44" s="37"/>
      <c r="T44" s="39" t="str">
        <f aca="false">IF($C44="","",IF(ISNUMBER(MATCH($C44,'CA Exclusion Map'!$A$2:$A$2001,0)),"Yes","No"))</f>
        <v/>
      </c>
      <c r="U44" s="39" t="str">
        <f aca="false">IFERROR(INDEX('CA Exclusion Map'!$D$2:$D$2001,MATCH($C44,'CA Exclusion Map'!$A$2:$A$2001,0)),"")</f>
        <v/>
      </c>
      <c r="V44" s="40" t="str">
        <f aca="false">IFERROR(INDEX('CA Exclusion Map'!$E$2:$E$2001,MATCH($C44,'CA Exclusion Map'!$A$2:$A$2001,0)),"")</f>
        <v/>
      </c>
      <c r="W44" s="40" t="str">
        <f aca="false">IFERROR(INDEX('CA Exclusion Map'!$F$2:$F$2001,MATCH($C44,'CA Exclusion Map'!$A$2:$A$2001,0)),"")</f>
        <v/>
      </c>
      <c r="X44" s="36"/>
      <c r="Y44" s="37"/>
      <c r="Z44" s="38"/>
      <c r="AA44" s="38"/>
      <c r="AB44" s="39" t="str">
        <f aca="true">IF(T44="","",IF(T44&lt;&gt;"Yes","N/A",IF(AA44="","NO EXPIRY SET",IF(TODAY()&gt;AA44,"EXPIRED",IF(AA44-TODAY()&lt;=30,"Expiring Soon","Active")))))</f>
        <v/>
      </c>
      <c r="AC44" s="36"/>
      <c r="AD44" s="36"/>
      <c r="AE44" s="37"/>
      <c r="AF44" s="36"/>
      <c r="AG44" s="37"/>
      <c r="AH44" s="37"/>
      <c r="AI44" s="37"/>
      <c r="AJ44" s="37"/>
      <c r="AK44" s="38"/>
      <c r="AL44" s="37"/>
      <c r="AM44" s="37"/>
      <c r="AN44" s="41" t="str">
        <f aca="false">IF(AK44="","",AK44+90)</f>
        <v/>
      </c>
      <c r="AO44" s="39" t="str">
        <f aca="true">IF(C44="","",IF(AK44="","NOT REVIEWED",IF(TODAY()&gt;AN44,"OVERDUE",IF(AN44-TODAY()&lt;=14,"Due Soon","Current"))))</f>
        <v/>
      </c>
      <c r="AP44" s="36"/>
    </row>
    <row r="45" customFormat="false" ht="15" hidden="false" customHeight="false" outlineLevel="0" collapsed="false">
      <c r="A45" s="36"/>
      <c r="B45" s="36"/>
      <c r="C45" s="36"/>
      <c r="D45" s="37"/>
      <c r="E45" s="38"/>
      <c r="F45" s="38"/>
      <c r="G45" s="36"/>
      <c r="H45" s="37"/>
      <c r="I45" s="39" t="str">
        <f aca="true">IF(F45="","",TODAY()-F45)</f>
        <v/>
      </c>
      <c r="J45" s="40" t="str">
        <f aca="false">IFERROR(INDEX('Azure Resource Map'!$H$2:$H$2001,MATCH($C45,'Azure Resource Map'!$A$2:$A$2001,0)),"")</f>
        <v/>
      </c>
      <c r="K45" s="40" t="str">
        <f aca="false">IFERROR(INDEX('Azure Resource Map'!$I$2:$I$2001,MATCH($C45,'Azure Resource Map'!$A$2:$A$2001,0)),"")</f>
        <v/>
      </c>
      <c r="L45" s="39" t="str">
        <f aca="false">IFERROR(INDEX('Azure Resource Map'!$J$2:$J$2001,MATCH($C45,'Azure Resource Map'!$A$2:$A$2001,0)),"")</f>
        <v/>
      </c>
      <c r="M45" s="40" t="str">
        <f aca="false">IFERROR(INDEX('Azure Resource Map'!$K$2:$K$2001,MATCH($C45,'Azure Resource Map'!$A$2:$A$2001,0)),"")</f>
        <v/>
      </c>
      <c r="N45" s="39" t="str">
        <f aca="false">IFERROR(INDEX('Azure Resource Map'!$L$2:$L$2001,MATCH($C45,'Azure Resource Map'!$A$2:$A$2001,0)),"")</f>
        <v/>
      </c>
      <c r="O45" s="39" t="str">
        <f aca="false">IFERROR(INDEX('Azure Resource Map'!$M$2:$M$2001,MATCH($C45,'Azure Resource Map'!$A$2:$A$2001,0)),"")</f>
        <v/>
      </c>
      <c r="P45" s="40" t="str">
        <f aca="false">IFERROR(INDEX('Azure Resource Map'!$D$2:$D$2001,MATCH($C45,'Azure Resource Map'!$A$2:$A$2001,0)),"")</f>
        <v/>
      </c>
      <c r="Q45" s="39" t="str">
        <f aca="false">IFERROR(INDEX('Azure Resource Map'!$E$2:$E$2001,MATCH($C45,'Azure Resource Map'!$A$2:$A$2001,0)),"")</f>
        <v/>
      </c>
      <c r="R45" s="39" t="str">
        <f aca="false">IFERROR(INDEX('Azure Resource Map'!$F$2:$F$2001,MATCH($C45,'Azure Resource Map'!$A$2:$A$2001,0)),"")</f>
        <v/>
      </c>
      <c r="S45" s="37"/>
      <c r="T45" s="39" t="str">
        <f aca="false">IF($C45="","",IF(ISNUMBER(MATCH($C45,'CA Exclusion Map'!$A$2:$A$2001,0)),"Yes","No"))</f>
        <v/>
      </c>
      <c r="U45" s="39" t="str">
        <f aca="false">IFERROR(INDEX('CA Exclusion Map'!$D$2:$D$2001,MATCH($C45,'CA Exclusion Map'!$A$2:$A$2001,0)),"")</f>
        <v/>
      </c>
      <c r="V45" s="40" t="str">
        <f aca="false">IFERROR(INDEX('CA Exclusion Map'!$E$2:$E$2001,MATCH($C45,'CA Exclusion Map'!$A$2:$A$2001,0)),"")</f>
        <v/>
      </c>
      <c r="W45" s="40" t="str">
        <f aca="false">IFERROR(INDEX('CA Exclusion Map'!$F$2:$F$2001,MATCH($C45,'CA Exclusion Map'!$A$2:$A$2001,0)),"")</f>
        <v/>
      </c>
      <c r="X45" s="36"/>
      <c r="Y45" s="37"/>
      <c r="Z45" s="38"/>
      <c r="AA45" s="38"/>
      <c r="AB45" s="39" t="str">
        <f aca="true">IF(T45="","",IF(T45&lt;&gt;"Yes","N/A",IF(AA45="","NO EXPIRY SET",IF(TODAY()&gt;AA45,"EXPIRED",IF(AA45-TODAY()&lt;=30,"Expiring Soon","Active")))))</f>
        <v/>
      </c>
      <c r="AC45" s="36"/>
      <c r="AD45" s="36"/>
      <c r="AE45" s="37"/>
      <c r="AF45" s="36"/>
      <c r="AG45" s="37"/>
      <c r="AH45" s="37"/>
      <c r="AI45" s="37"/>
      <c r="AJ45" s="37"/>
      <c r="AK45" s="38"/>
      <c r="AL45" s="37"/>
      <c r="AM45" s="37"/>
      <c r="AN45" s="41" t="str">
        <f aca="false">IF(AK45="","",AK45+90)</f>
        <v/>
      </c>
      <c r="AO45" s="39" t="str">
        <f aca="true">IF(C45="","",IF(AK45="","NOT REVIEWED",IF(TODAY()&gt;AN45,"OVERDUE",IF(AN45-TODAY()&lt;=14,"Due Soon","Current"))))</f>
        <v/>
      </c>
      <c r="AP45" s="36"/>
    </row>
    <row r="46" customFormat="false" ht="15" hidden="false" customHeight="false" outlineLevel="0" collapsed="false">
      <c r="A46" s="36"/>
      <c r="B46" s="36"/>
      <c r="C46" s="36"/>
      <c r="D46" s="37"/>
      <c r="E46" s="38"/>
      <c r="F46" s="38"/>
      <c r="G46" s="36"/>
      <c r="H46" s="37"/>
      <c r="I46" s="39" t="str">
        <f aca="true">IF(F46="","",TODAY()-F46)</f>
        <v/>
      </c>
      <c r="J46" s="40" t="str">
        <f aca="false">IFERROR(INDEX('Azure Resource Map'!$H$2:$H$2001,MATCH($C46,'Azure Resource Map'!$A$2:$A$2001,0)),"")</f>
        <v/>
      </c>
      <c r="K46" s="40" t="str">
        <f aca="false">IFERROR(INDEX('Azure Resource Map'!$I$2:$I$2001,MATCH($C46,'Azure Resource Map'!$A$2:$A$2001,0)),"")</f>
        <v/>
      </c>
      <c r="L46" s="39" t="str">
        <f aca="false">IFERROR(INDEX('Azure Resource Map'!$J$2:$J$2001,MATCH($C46,'Azure Resource Map'!$A$2:$A$2001,0)),"")</f>
        <v/>
      </c>
      <c r="M46" s="40" t="str">
        <f aca="false">IFERROR(INDEX('Azure Resource Map'!$K$2:$K$2001,MATCH($C46,'Azure Resource Map'!$A$2:$A$2001,0)),"")</f>
        <v/>
      </c>
      <c r="N46" s="39" t="str">
        <f aca="false">IFERROR(INDEX('Azure Resource Map'!$L$2:$L$2001,MATCH($C46,'Azure Resource Map'!$A$2:$A$2001,0)),"")</f>
        <v/>
      </c>
      <c r="O46" s="39" t="str">
        <f aca="false">IFERROR(INDEX('Azure Resource Map'!$M$2:$M$2001,MATCH($C46,'Azure Resource Map'!$A$2:$A$2001,0)),"")</f>
        <v/>
      </c>
      <c r="P46" s="40" t="str">
        <f aca="false">IFERROR(INDEX('Azure Resource Map'!$D$2:$D$2001,MATCH($C46,'Azure Resource Map'!$A$2:$A$2001,0)),"")</f>
        <v/>
      </c>
      <c r="Q46" s="39" t="str">
        <f aca="false">IFERROR(INDEX('Azure Resource Map'!$E$2:$E$2001,MATCH($C46,'Azure Resource Map'!$A$2:$A$2001,0)),"")</f>
        <v/>
      </c>
      <c r="R46" s="39" t="str">
        <f aca="false">IFERROR(INDEX('Azure Resource Map'!$F$2:$F$2001,MATCH($C46,'Azure Resource Map'!$A$2:$A$2001,0)),"")</f>
        <v/>
      </c>
      <c r="S46" s="37"/>
      <c r="T46" s="39" t="str">
        <f aca="false">IF($C46="","",IF(ISNUMBER(MATCH($C46,'CA Exclusion Map'!$A$2:$A$2001,0)),"Yes","No"))</f>
        <v/>
      </c>
      <c r="U46" s="39" t="str">
        <f aca="false">IFERROR(INDEX('CA Exclusion Map'!$D$2:$D$2001,MATCH($C46,'CA Exclusion Map'!$A$2:$A$2001,0)),"")</f>
        <v/>
      </c>
      <c r="V46" s="40" t="str">
        <f aca="false">IFERROR(INDEX('CA Exclusion Map'!$E$2:$E$2001,MATCH($C46,'CA Exclusion Map'!$A$2:$A$2001,0)),"")</f>
        <v/>
      </c>
      <c r="W46" s="40" t="str">
        <f aca="false">IFERROR(INDEX('CA Exclusion Map'!$F$2:$F$2001,MATCH($C46,'CA Exclusion Map'!$A$2:$A$2001,0)),"")</f>
        <v/>
      </c>
      <c r="X46" s="36"/>
      <c r="Y46" s="37"/>
      <c r="Z46" s="38"/>
      <c r="AA46" s="38"/>
      <c r="AB46" s="39" t="str">
        <f aca="true">IF(T46="","",IF(T46&lt;&gt;"Yes","N/A",IF(AA46="","NO EXPIRY SET",IF(TODAY()&gt;AA46,"EXPIRED",IF(AA46-TODAY()&lt;=30,"Expiring Soon","Active")))))</f>
        <v/>
      </c>
      <c r="AC46" s="36"/>
      <c r="AD46" s="36"/>
      <c r="AE46" s="37"/>
      <c r="AF46" s="36"/>
      <c r="AG46" s="37"/>
      <c r="AH46" s="37"/>
      <c r="AI46" s="37"/>
      <c r="AJ46" s="37"/>
      <c r="AK46" s="38"/>
      <c r="AL46" s="37"/>
      <c r="AM46" s="37"/>
      <c r="AN46" s="41" t="str">
        <f aca="false">IF(AK46="","",AK46+90)</f>
        <v/>
      </c>
      <c r="AO46" s="39" t="str">
        <f aca="true">IF(C46="","",IF(AK46="","NOT REVIEWED",IF(TODAY()&gt;AN46,"OVERDUE",IF(AN46-TODAY()&lt;=14,"Due Soon","Current"))))</f>
        <v/>
      </c>
      <c r="AP46" s="36"/>
    </row>
    <row r="47" customFormat="false" ht="15" hidden="false" customHeight="false" outlineLevel="0" collapsed="false">
      <c r="A47" s="36"/>
      <c r="B47" s="36"/>
      <c r="C47" s="36"/>
      <c r="D47" s="37"/>
      <c r="E47" s="38"/>
      <c r="F47" s="38"/>
      <c r="G47" s="36"/>
      <c r="H47" s="37"/>
      <c r="I47" s="39" t="str">
        <f aca="true">IF(F47="","",TODAY()-F47)</f>
        <v/>
      </c>
      <c r="J47" s="40" t="str">
        <f aca="false">IFERROR(INDEX('Azure Resource Map'!$H$2:$H$2001,MATCH($C47,'Azure Resource Map'!$A$2:$A$2001,0)),"")</f>
        <v/>
      </c>
      <c r="K47" s="40" t="str">
        <f aca="false">IFERROR(INDEX('Azure Resource Map'!$I$2:$I$2001,MATCH($C47,'Azure Resource Map'!$A$2:$A$2001,0)),"")</f>
        <v/>
      </c>
      <c r="L47" s="39" t="str">
        <f aca="false">IFERROR(INDEX('Azure Resource Map'!$J$2:$J$2001,MATCH($C47,'Azure Resource Map'!$A$2:$A$2001,0)),"")</f>
        <v/>
      </c>
      <c r="M47" s="40" t="str">
        <f aca="false">IFERROR(INDEX('Azure Resource Map'!$K$2:$K$2001,MATCH($C47,'Azure Resource Map'!$A$2:$A$2001,0)),"")</f>
        <v/>
      </c>
      <c r="N47" s="39" t="str">
        <f aca="false">IFERROR(INDEX('Azure Resource Map'!$L$2:$L$2001,MATCH($C47,'Azure Resource Map'!$A$2:$A$2001,0)),"")</f>
        <v/>
      </c>
      <c r="O47" s="39" t="str">
        <f aca="false">IFERROR(INDEX('Azure Resource Map'!$M$2:$M$2001,MATCH($C47,'Azure Resource Map'!$A$2:$A$2001,0)),"")</f>
        <v/>
      </c>
      <c r="P47" s="40" t="str">
        <f aca="false">IFERROR(INDEX('Azure Resource Map'!$D$2:$D$2001,MATCH($C47,'Azure Resource Map'!$A$2:$A$2001,0)),"")</f>
        <v/>
      </c>
      <c r="Q47" s="39" t="str">
        <f aca="false">IFERROR(INDEX('Azure Resource Map'!$E$2:$E$2001,MATCH($C47,'Azure Resource Map'!$A$2:$A$2001,0)),"")</f>
        <v/>
      </c>
      <c r="R47" s="39" t="str">
        <f aca="false">IFERROR(INDEX('Azure Resource Map'!$F$2:$F$2001,MATCH($C47,'Azure Resource Map'!$A$2:$A$2001,0)),"")</f>
        <v/>
      </c>
      <c r="S47" s="37"/>
      <c r="T47" s="39" t="str">
        <f aca="false">IF($C47="","",IF(ISNUMBER(MATCH($C47,'CA Exclusion Map'!$A$2:$A$2001,0)),"Yes","No"))</f>
        <v/>
      </c>
      <c r="U47" s="39" t="str">
        <f aca="false">IFERROR(INDEX('CA Exclusion Map'!$D$2:$D$2001,MATCH($C47,'CA Exclusion Map'!$A$2:$A$2001,0)),"")</f>
        <v/>
      </c>
      <c r="V47" s="40" t="str">
        <f aca="false">IFERROR(INDEX('CA Exclusion Map'!$E$2:$E$2001,MATCH($C47,'CA Exclusion Map'!$A$2:$A$2001,0)),"")</f>
        <v/>
      </c>
      <c r="W47" s="40" t="str">
        <f aca="false">IFERROR(INDEX('CA Exclusion Map'!$F$2:$F$2001,MATCH($C47,'CA Exclusion Map'!$A$2:$A$2001,0)),"")</f>
        <v/>
      </c>
      <c r="X47" s="36"/>
      <c r="Y47" s="37"/>
      <c r="Z47" s="38"/>
      <c r="AA47" s="38"/>
      <c r="AB47" s="39" t="str">
        <f aca="true">IF(T47="","",IF(T47&lt;&gt;"Yes","N/A",IF(AA47="","NO EXPIRY SET",IF(TODAY()&gt;AA47,"EXPIRED",IF(AA47-TODAY()&lt;=30,"Expiring Soon","Active")))))</f>
        <v/>
      </c>
      <c r="AC47" s="36"/>
      <c r="AD47" s="36"/>
      <c r="AE47" s="37"/>
      <c r="AF47" s="36"/>
      <c r="AG47" s="37"/>
      <c r="AH47" s="37"/>
      <c r="AI47" s="37"/>
      <c r="AJ47" s="37"/>
      <c r="AK47" s="38"/>
      <c r="AL47" s="37"/>
      <c r="AM47" s="37"/>
      <c r="AN47" s="41" t="str">
        <f aca="false">IF(AK47="","",AK47+90)</f>
        <v/>
      </c>
      <c r="AO47" s="39" t="str">
        <f aca="true">IF(C47="","",IF(AK47="","NOT REVIEWED",IF(TODAY()&gt;AN47,"OVERDUE",IF(AN47-TODAY()&lt;=14,"Due Soon","Current"))))</f>
        <v/>
      </c>
      <c r="AP47" s="36"/>
    </row>
    <row r="48" customFormat="false" ht="15" hidden="false" customHeight="false" outlineLevel="0" collapsed="false">
      <c r="A48" s="36"/>
      <c r="B48" s="36"/>
      <c r="C48" s="36"/>
      <c r="D48" s="37"/>
      <c r="E48" s="38"/>
      <c r="F48" s="38"/>
      <c r="G48" s="36"/>
      <c r="H48" s="37"/>
      <c r="I48" s="39" t="str">
        <f aca="true">IF(F48="","",TODAY()-F48)</f>
        <v/>
      </c>
      <c r="J48" s="40" t="str">
        <f aca="false">IFERROR(INDEX('Azure Resource Map'!$H$2:$H$2001,MATCH($C48,'Azure Resource Map'!$A$2:$A$2001,0)),"")</f>
        <v/>
      </c>
      <c r="K48" s="40" t="str">
        <f aca="false">IFERROR(INDEX('Azure Resource Map'!$I$2:$I$2001,MATCH($C48,'Azure Resource Map'!$A$2:$A$2001,0)),"")</f>
        <v/>
      </c>
      <c r="L48" s="39" t="str">
        <f aca="false">IFERROR(INDEX('Azure Resource Map'!$J$2:$J$2001,MATCH($C48,'Azure Resource Map'!$A$2:$A$2001,0)),"")</f>
        <v/>
      </c>
      <c r="M48" s="40" t="str">
        <f aca="false">IFERROR(INDEX('Azure Resource Map'!$K$2:$K$2001,MATCH($C48,'Azure Resource Map'!$A$2:$A$2001,0)),"")</f>
        <v/>
      </c>
      <c r="N48" s="39" t="str">
        <f aca="false">IFERROR(INDEX('Azure Resource Map'!$L$2:$L$2001,MATCH($C48,'Azure Resource Map'!$A$2:$A$2001,0)),"")</f>
        <v/>
      </c>
      <c r="O48" s="39" t="str">
        <f aca="false">IFERROR(INDEX('Azure Resource Map'!$M$2:$M$2001,MATCH($C48,'Azure Resource Map'!$A$2:$A$2001,0)),"")</f>
        <v/>
      </c>
      <c r="P48" s="40" t="str">
        <f aca="false">IFERROR(INDEX('Azure Resource Map'!$D$2:$D$2001,MATCH($C48,'Azure Resource Map'!$A$2:$A$2001,0)),"")</f>
        <v/>
      </c>
      <c r="Q48" s="39" t="str">
        <f aca="false">IFERROR(INDEX('Azure Resource Map'!$E$2:$E$2001,MATCH($C48,'Azure Resource Map'!$A$2:$A$2001,0)),"")</f>
        <v/>
      </c>
      <c r="R48" s="39" t="str">
        <f aca="false">IFERROR(INDEX('Azure Resource Map'!$F$2:$F$2001,MATCH($C48,'Azure Resource Map'!$A$2:$A$2001,0)),"")</f>
        <v/>
      </c>
      <c r="S48" s="37"/>
      <c r="T48" s="39" t="str">
        <f aca="false">IF($C48="","",IF(ISNUMBER(MATCH($C48,'CA Exclusion Map'!$A$2:$A$2001,0)),"Yes","No"))</f>
        <v/>
      </c>
      <c r="U48" s="39" t="str">
        <f aca="false">IFERROR(INDEX('CA Exclusion Map'!$D$2:$D$2001,MATCH($C48,'CA Exclusion Map'!$A$2:$A$2001,0)),"")</f>
        <v/>
      </c>
      <c r="V48" s="40" t="str">
        <f aca="false">IFERROR(INDEX('CA Exclusion Map'!$E$2:$E$2001,MATCH($C48,'CA Exclusion Map'!$A$2:$A$2001,0)),"")</f>
        <v/>
      </c>
      <c r="W48" s="40" t="str">
        <f aca="false">IFERROR(INDEX('CA Exclusion Map'!$F$2:$F$2001,MATCH($C48,'CA Exclusion Map'!$A$2:$A$2001,0)),"")</f>
        <v/>
      </c>
      <c r="X48" s="36"/>
      <c r="Y48" s="37"/>
      <c r="Z48" s="38"/>
      <c r="AA48" s="38"/>
      <c r="AB48" s="39" t="str">
        <f aca="true">IF(T48="","",IF(T48&lt;&gt;"Yes","N/A",IF(AA48="","NO EXPIRY SET",IF(TODAY()&gt;AA48,"EXPIRED",IF(AA48-TODAY()&lt;=30,"Expiring Soon","Active")))))</f>
        <v/>
      </c>
      <c r="AC48" s="36"/>
      <c r="AD48" s="36"/>
      <c r="AE48" s="37"/>
      <c r="AF48" s="36"/>
      <c r="AG48" s="37"/>
      <c r="AH48" s="37"/>
      <c r="AI48" s="37"/>
      <c r="AJ48" s="37"/>
      <c r="AK48" s="38"/>
      <c r="AL48" s="37"/>
      <c r="AM48" s="37"/>
      <c r="AN48" s="41" t="str">
        <f aca="false">IF(AK48="","",AK48+90)</f>
        <v/>
      </c>
      <c r="AO48" s="39" t="str">
        <f aca="true">IF(C48="","",IF(AK48="","NOT REVIEWED",IF(TODAY()&gt;AN48,"OVERDUE",IF(AN48-TODAY()&lt;=14,"Due Soon","Current"))))</f>
        <v/>
      </c>
      <c r="AP48" s="36"/>
    </row>
    <row r="49" customFormat="false" ht="15" hidden="false" customHeight="false" outlineLevel="0" collapsed="false">
      <c r="A49" s="36"/>
      <c r="B49" s="36"/>
      <c r="C49" s="36"/>
      <c r="D49" s="37"/>
      <c r="E49" s="38"/>
      <c r="F49" s="38"/>
      <c r="G49" s="36"/>
      <c r="H49" s="37"/>
      <c r="I49" s="39" t="str">
        <f aca="true">IF(F49="","",TODAY()-F49)</f>
        <v/>
      </c>
      <c r="J49" s="40" t="str">
        <f aca="false">IFERROR(INDEX('Azure Resource Map'!$H$2:$H$2001,MATCH($C49,'Azure Resource Map'!$A$2:$A$2001,0)),"")</f>
        <v/>
      </c>
      <c r="K49" s="40" t="str">
        <f aca="false">IFERROR(INDEX('Azure Resource Map'!$I$2:$I$2001,MATCH($C49,'Azure Resource Map'!$A$2:$A$2001,0)),"")</f>
        <v/>
      </c>
      <c r="L49" s="39" t="str">
        <f aca="false">IFERROR(INDEX('Azure Resource Map'!$J$2:$J$2001,MATCH($C49,'Azure Resource Map'!$A$2:$A$2001,0)),"")</f>
        <v/>
      </c>
      <c r="M49" s="40" t="str">
        <f aca="false">IFERROR(INDEX('Azure Resource Map'!$K$2:$K$2001,MATCH($C49,'Azure Resource Map'!$A$2:$A$2001,0)),"")</f>
        <v/>
      </c>
      <c r="N49" s="39" t="str">
        <f aca="false">IFERROR(INDEX('Azure Resource Map'!$L$2:$L$2001,MATCH($C49,'Azure Resource Map'!$A$2:$A$2001,0)),"")</f>
        <v/>
      </c>
      <c r="O49" s="39" t="str">
        <f aca="false">IFERROR(INDEX('Azure Resource Map'!$M$2:$M$2001,MATCH($C49,'Azure Resource Map'!$A$2:$A$2001,0)),"")</f>
        <v/>
      </c>
      <c r="P49" s="40" t="str">
        <f aca="false">IFERROR(INDEX('Azure Resource Map'!$D$2:$D$2001,MATCH($C49,'Azure Resource Map'!$A$2:$A$2001,0)),"")</f>
        <v/>
      </c>
      <c r="Q49" s="39" t="str">
        <f aca="false">IFERROR(INDEX('Azure Resource Map'!$E$2:$E$2001,MATCH($C49,'Azure Resource Map'!$A$2:$A$2001,0)),"")</f>
        <v/>
      </c>
      <c r="R49" s="39" t="str">
        <f aca="false">IFERROR(INDEX('Azure Resource Map'!$F$2:$F$2001,MATCH($C49,'Azure Resource Map'!$A$2:$A$2001,0)),"")</f>
        <v/>
      </c>
      <c r="S49" s="37"/>
      <c r="T49" s="39" t="str">
        <f aca="false">IF($C49="","",IF(ISNUMBER(MATCH($C49,'CA Exclusion Map'!$A$2:$A$2001,0)),"Yes","No"))</f>
        <v/>
      </c>
      <c r="U49" s="39" t="str">
        <f aca="false">IFERROR(INDEX('CA Exclusion Map'!$D$2:$D$2001,MATCH($C49,'CA Exclusion Map'!$A$2:$A$2001,0)),"")</f>
        <v/>
      </c>
      <c r="V49" s="40" t="str">
        <f aca="false">IFERROR(INDEX('CA Exclusion Map'!$E$2:$E$2001,MATCH($C49,'CA Exclusion Map'!$A$2:$A$2001,0)),"")</f>
        <v/>
      </c>
      <c r="W49" s="40" t="str">
        <f aca="false">IFERROR(INDEX('CA Exclusion Map'!$F$2:$F$2001,MATCH($C49,'CA Exclusion Map'!$A$2:$A$2001,0)),"")</f>
        <v/>
      </c>
      <c r="X49" s="36"/>
      <c r="Y49" s="37"/>
      <c r="Z49" s="38"/>
      <c r="AA49" s="38"/>
      <c r="AB49" s="39" t="str">
        <f aca="true">IF(T49="","",IF(T49&lt;&gt;"Yes","N/A",IF(AA49="","NO EXPIRY SET",IF(TODAY()&gt;AA49,"EXPIRED",IF(AA49-TODAY()&lt;=30,"Expiring Soon","Active")))))</f>
        <v/>
      </c>
      <c r="AC49" s="36"/>
      <c r="AD49" s="36"/>
      <c r="AE49" s="37"/>
      <c r="AF49" s="36"/>
      <c r="AG49" s="37"/>
      <c r="AH49" s="37"/>
      <c r="AI49" s="37"/>
      <c r="AJ49" s="37"/>
      <c r="AK49" s="38"/>
      <c r="AL49" s="37"/>
      <c r="AM49" s="37"/>
      <c r="AN49" s="41" t="str">
        <f aca="false">IF(AK49="","",AK49+90)</f>
        <v/>
      </c>
      <c r="AO49" s="39" t="str">
        <f aca="true">IF(C49="","",IF(AK49="","NOT REVIEWED",IF(TODAY()&gt;AN49,"OVERDUE",IF(AN49-TODAY()&lt;=14,"Due Soon","Current"))))</f>
        <v/>
      </c>
      <c r="AP49" s="36"/>
    </row>
    <row r="50" customFormat="false" ht="15" hidden="false" customHeight="false" outlineLevel="0" collapsed="false">
      <c r="A50" s="36"/>
      <c r="B50" s="36"/>
      <c r="C50" s="36"/>
      <c r="D50" s="37"/>
      <c r="E50" s="38"/>
      <c r="F50" s="38"/>
      <c r="G50" s="36"/>
      <c r="H50" s="37"/>
      <c r="I50" s="39" t="str">
        <f aca="true">IF(F50="","",TODAY()-F50)</f>
        <v/>
      </c>
      <c r="J50" s="40" t="str">
        <f aca="false">IFERROR(INDEX('Azure Resource Map'!$H$2:$H$2001,MATCH($C50,'Azure Resource Map'!$A$2:$A$2001,0)),"")</f>
        <v/>
      </c>
      <c r="K50" s="40" t="str">
        <f aca="false">IFERROR(INDEX('Azure Resource Map'!$I$2:$I$2001,MATCH($C50,'Azure Resource Map'!$A$2:$A$2001,0)),"")</f>
        <v/>
      </c>
      <c r="L50" s="39" t="str">
        <f aca="false">IFERROR(INDEX('Azure Resource Map'!$J$2:$J$2001,MATCH($C50,'Azure Resource Map'!$A$2:$A$2001,0)),"")</f>
        <v/>
      </c>
      <c r="M50" s="40" t="str">
        <f aca="false">IFERROR(INDEX('Azure Resource Map'!$K$2:$K$2001,MATCH($C50,'Azure Resource Map'!$A$2:$A$2001,0)),"")</f>
        <v/>
      </c>
      <c r="N50" s="39" t="str">
        <f aca="false">IFERROR(INDEX('Azure Resource Map'!$L$2:$L$2001,MATCH($C50,'Azure Resource Map'!$A$2:$A$2001,0)),"")</f>
        <v/>
      </c>
      <c r="O50" s="39" t="str">
        <f aca="false">IFERROR(INDEX('Azure Resource Map'!$M$2:$M$2001,MATCH($C50,'Azure Resource Map'!$A$2:$A$2001,0)),"")</f>
        <v/>
      </c>
      <c r="P50" s="40" t="str">
        <f aca="false">IFERROR(INDEX('Azure Resource Map'!$D$2:$D$2001,MATCH($C50,'Azure Resource Map'!$A$2:$A$2001,0)),"")</f>
        <v/>
      </c>
      <c r="Q50" s="39" t="str">
        <f aca="false">IFERROR(INDEX('Azure Resource Map'!$E$2:$E$2001,MATCH($C50,'Azure Resource Map'!$A$2:$A$2001,0)),"")</f>
        <v/>
      </c>
      <c r="R50" s="39" t="str">
        <f aca="false">IFERROR(INDEX('Azure Resource Map'!$F$2:$F$2001,MATCH($C50,'Azure Resource Map'!$A$2:$A$2001,0)),"")</f>
        <v/>
      </c>
      <c r="S50" s="37"/>
      <c r="T50" s="39" t="str">
        <f aca="false">IF($C50="","",IF(ISNUMBER(MATCH($C50,'CA Exclusion Map'!$A$2:$A$2001,0)),"Yes","No"))</f>
        <v/>
      </c>
      <c r="U50" s="39" t="str">
        <f aca="false">IFERROR(INDEX('CA Exclusion Map'!$D$2:$D$2001,MATCH($C50,'CA Exclusion Map'!$A$2:$A$2001,0)),"")</f>
        <v/>
      </c>
      <c r="V50" s="40" t="str">
        <f aca="false">IFERROR(INDEX('CA Exclusion Map'!$E$2:$E$2001,MATCH($C50,'CA Exclusion Map'!$A$2:$A$2001,0)),"")</f>
        <v/>
      </c>
      <c r="W50" s="40" t="str">
        <f aca="false">IFERROR(INDEX('CA Exclusion Map'!$F$2:$F$2001,MATCH($C50,'CA Exclusion Map'!$A$2:$A$2001,0)),"")</f>
        <v/>
      </c>
      <c r="X50" s="36"/>
      <c r="Y50" s="37"/>
      <c r="Z50" s="38"/>
      <c r="AA50" s="38"/>
      <c r="AB50" s="39" t="str">
        <f aca="true">IF(T50="","",IF(T50&lt;&gt;"Yes","N/A",IF(AA50="","NO EXPIRY SET",IF(TODAY()&gt;AA50,"EXPIRED",IF(AA50-TODAY()&lt;=30,"Expiring Soon","Active")))))</f>
        <v/>
      </c>
      <c r="AC50" s="36"/>
      <c r="AD50" s="36"/>
      <c r="AE50" s="37"/>
      <c r="AF50" s="36"/>
      <c r="AG50" s="37"/>
      <c r="AH50" s="37"/>
      <c r="AI50" s="37"/>
      <c r="AJ50" s="37"/>
      <c r="AK50" s="38"/>
      <c r="AL50" s="37"/>
      <c r="AM50" s="37"/>
      <c r="AN50" s="41" t="str">
        <f aca="false">IF(AK50="","",AK50+90)</f>
        <v/>
      </c>
      <c r="AO50" s="39" t="str">
        <f aca="true">IF(C50="","",IF(AK50="","NOT REVIEWED",IF(TODAY()&gt;AN50,"OVERDUE",IF(AN50-TODAY()&lt;=14,"Due Soon","Current"))))</f>
        <v/>
      </c>
      <c r="AP50" s="36"/>
    </row>
    <row r="51" customFormat="false" ht="15" hidden="false" customHeight="false" outlineLevel="0" collapsed="false">
      <c r="A51" s="36"/>
      <c r="B51" s="36"/>
      <c r="C51" s="36"/>
      <c r="D51" s="37"/>
      <c r="E51" s="38"/>
      <c r="F51" s="38"/>
      <c r="G51" s="36"/>
      <c r="H51" s="37"/>
      <c r="I51" s="39" t="str">
        <f aca="true">IF(F51="","",TODAY()-F51)</f>
        <v/>
      </c>
      <c r="J51" s="40" t="str">
        <f aca="false">IFERROR(INDEX('Azure Resource Map'!$H$2:$H$2001,MATCH($C51,'Azure Resource Map'!$A$2:$A$2001,0)),"")</f>
        <v/>
      </c>
      <c r="K51" s="40" t="str">
        <f aca="false">IFERROR(INDEX('Azure Resource Map'!$I$2:$I$2001,MATCH($C51,'Azure Resource Map'!$A$2:$A$2001,0)),"")</f>
        <v/>
      </c>
      <c r="L51" s="39" t="str">
        <f aca="false">IFERROR(INDEX('Azure Resource Map'!$J$2:$J$2001,MATCH($C51,'Azure Resource Map'!$A$2:$A$2001,0)),"")</f>
        <v/>
      </c>
      <c r="M51" s="40" t="str">
        <f aca="false">IFERROR(INDEX('Azure Resource Map'!$K$2:$K$2001,MATCH($C51,'Azure Resource Map'!$A$2:$A$2001,0)),"")</f>
        <v/>
      </c>
      <c r="N51" s="39" t="str">
        <f aca="false">IFERROR(INDEX('Azure Resource Map'!$L$2:$L$2001,MATCH($C51,'Azure Resource Map'!$A$2:$A$2001,0)),"")</f>
        <v/>
      </c>
      <c r="O51" s="39" t="str">
        <f aca="false">IFERROR(INDEX('Azure Resource Map'!$M$2:$M$2001,MATCH($C51,'Azure Resource Map'!$A$2:$A$2001,0)),"")</f>
        <v/>
      </c>
      <c r="P51" s="40" t="str">
        <f aca="false">IFERROR(INDEX('Azure Resource Map'!$D$2:$D$2001,MATCH($C51,'Azure Resource Map'!$A$2:$A$2001,0)),"")</f>
        <v/>
      </c>
      <c r="Q51" s="39" t="str">
        <f aca="false">IFERROR(INDEX('Azure Resource Map'!$E$2:$E$2001,MATCH($C51,'Azure Resource Map'!$A$2:$A$2001,0)),"")</f>
        <v/>
      </c>
      <c r="R51" s="39" t="str">
        <f aca="false">IFERROR(INDEX('Azure Resource Map'!$F$2:$F$2001,MATCH($C51,'Azure Resource Map'!$A$2:$A$2001,0)),"")</f>
        <v/>
      </c>
      <c r="S51" s="37"/>
      <c r="T51" s="39" t="str">
        <f aca="false">IF($C51="","",IF(ISNUMBER(MATCH($C51,'CA Exclusion Map'!$A$2:$A$2001,0)),"Yes","No"))</f>
        <v/>
      </c>
      <c r="U51" s="39" t="str">
        <f aca="false">IFERROR(INDEX('CA Exclusion Map'!$D$2:$D$2001,MATCH($C51,'CA Exclusion Map'!$A$2:$A$2001,0)),"")</f>
        <v/>
      </c>
      <c r="V51" s="40" t="str">
        <f aca="false">IFERROR(INDEX('CA Exclusion Map'!$E$2:$E$2001,MATCH($C51,'CA Exclusion Map'!$A$2:$A$2001,0)),"")</f>
        <v/>
      </c>
      <c r="W51" s="40" t="str">
        <f aca="false">IFERROR(INDEX('CA Exclusion Map'!$F$2:$F$2001,MATCH($C51,'CA Exclusion Map'!$A$2:$A$2001,0)),"")</f>
        <v/>
      </c>
      <c r="X51" s="36"/>
      <c r="Y51" s="37"/>
      <c r="Z51" s="38"/>
      <c r="AA51" s="38"/>
      <c r="AB51" s="39" t="str">
        <f aca="true">IF(T51="","",IF(T51&lt;&gt;"Yes","N/A",IF(AA51="","NO EXPIRY SET",IF(TODAY()&gt;AA51,"EXPIRED",IF(AA51-TODAY()&lt;=30,"Expiring Soon","Active")))))</f>
        <v/>
      </c>
      <c r="AC51" s="36"/>
      <c r="AD51" s="36"/>
      <c r="AE51" s="37"/>
      <c r="AF51" s="36"/>
      <c r="AG51" s="37"/>
      <c r="AH51" s="37"/>
      <c r="AI51" s="37"/>
      <c r="AJ51" s="37"/>
      <c r="AK51" s="38"/>
      <c r="AL51" s="37"/>
      <c r="AM51" s="37"/>
      <c r="AN51" s="41" t="str">
        <f aca="false">IF(AK51="","",AK51+90)</f>
        <v/>
      </c>
      <c r="AO51" s="39" t="str">
        <f aca="true">IF(C51="","",IF(AK51="","NOT REVIEWED",IF(TODAY()&gt;AN51,"OVERDUE",IF(AN51-TODAY()&lt;=14,"Due Soon","Current"))))</f>
        <v/>
      </c>
      <c r="AP51" s="36"/>
    </row>
    <row r="52" customFormat="false" ht="15" hidden="false" customHeight="false" outlineLevel="0" collapsed="false">
      <c r="A52" s="36"/>
      <c r="B52" s="36"/>
      <c r="C52" s="36"/>
      <c r="D52" s="37"/>
      <c r="E52" s="38"/>
      <c r="F52" s="38"/>
      <c r="G52" s="36"/>
      <c r="H52" s="37"/>
      <c r="I52" s="39" t="str">
        <f aca="true">IF(F52="","",TODAY()-F52)</f>
        <v/>
      </c>
      <c r="J52" s="40" t="str">
        <f aca="false">IFERROR(INDEX('Azure Resource Map'!$H$2:$H$2001,MATCH($C52,'Azure Resource Map'!$A$2:$A$2001,0)),"")</f>
        <v/>
      </c>
      <c r="K52" s="40" t="str">
        <f aca="false">IFERROR(INDEX('Azure Resource Map'!$I$2:$I$2001,MATCH($C52,'Azure Resource Map'!$A$2:$A$2001,0)),"")</f>
        <v/>
      </c>
      <c r="L52" s="39" t="str">
        <f aca="false">IFERROR(INDEX('Azure Resource Map'!$J$2:$J$2001,MATCH($C52,'Azure Resource Map'!$A$2:$A$2001,0)),"")</f>
        <v/>
      </c>
      <c r="M52" s="40" t="str">
        <f aca="false">IFERROR(INDEX('Azure Resource Map'!$K$2:$K$2001,MATCH($C52,'Azure Resource Map'!$A$2:$A$2001,0)),"")</f>
        <v/>
      </c>
      <c r="N52" s="39" t="str">
        <f aca="false">IFERROR(INDEX('Azure Resource Map'!$L$2:$L$2001,MATCH($C52,'Azure Resource Map'!$A$2:$A$2001,0)),"")</f>
        <v/>
      </c>
      <c r="O52" s="39" t="str">
        <f aca="false">IFERROR(INDEX('Azure Resource Map'!$M$2:$M$2001,MATCH($C52,'Azure Resource Map'!$A$2:$A$2001,0)),"")</f>
        <v/>
      </c>
      <c r="P52" s="40" t="str">
        <f aca="false">IFERROR(INDEX('Azure Resource Map'!$D$2:$D$2001,MATCH($C52,'Azure Resource Map'!$A$2:$A$2001,0)),"")</f>
        <v/>
      </c>
      <c r="Q52" s="39" t="str">
        <f aca="false">IFERROR(INDEX('Azure Resource Map'!$E$2:$E$2001,MATCH($C52,'Azure Resource Map'!$A$2:$A$2001,0)),"")</f>
        <v/>
      </c>
      <c r="R52" s="39" t="str">
        <f aca="false">IFERROR(INDEX('Azure Resource Map'!$F$2:$F$2001,MATCH($C52,'Azure Resource Map'!$A$2:$A$2001,0)),"")</f>
        <v/>
      </c>
      <c r="S52" s="37"/>
      <c r="T52" s="39" t="str">
        <f aca="false">IF($C52="","",IF(ISNUMBER(MATCH($C52,'CA Exclusion Map'!$A$2:$A$2001,0)),"Yes","No"))</f>
        <v/>
      </c>
      <c r="U52" s="39" t="str">
        <f aca="false">IFERROR(INDEX('CA Exclusion Map'!$D$2:$D$2001,MATCH($C52,'CA Exclusion Map'!$A$2:$A$2001,0)),"")</f>
        <v/>
      </c>
      <c r="V52" s="40" t="str">
        <f aca="false">IFERROR(INDEX('CA Exclusion Map'!$E$2:$E$2001,MATCH($C52,'CA Exclusion Map'!$A$2:$A$2001,0)),"")</f>
        <v/>
      </c>
      <c r="W52" s="40" t="str">
        <f aca="false">IFERROR(INDEX('CA Exclusion Map'!$F$2:$F$2001,MATCH($C52,'CA Exclusion Map'!$A$2:$A$2001,0)),"")</f>
        <v/>
      </c>
      <c r="X52" s="36"/>
      <c r="Y52" s="37"/>
      <c r="Z52" s="38"/>
      <c r="AA52" s="38"/>
      <c r="AB52" s="39" t="str">
        <f aca="true">IF(T52="","",IF(T52&lt;&gt;"Yes","N/A",IF(AA52="","NO EXPIRY SET",IF(TODAY()&gt;AA52,"EXPIRED",IF(AA52-TODAY()&lt;=30,"Expiring Soon","Active")))))</f>
        <v/>
      </c>
      <c r="AC52" s="36"/>
      <c r="AD52" s="36"/>
      <c r="AE52" s="37"/>
      <c r="AF52" s="36"/>
      <c r="AG52" s="37"/>
      <c r="AH52" s="37"/>
      <c r="AI52" s="37"/>
      <c r="AJ52" s="37"/>
      <c r="AK52" s="38"/>
      <c r="AL52" s="37"/>
      <c r="AM52" s="37"/>
      <c r="AN52" s="41" t="str">
        <f aca="false">IF(AK52="","",AK52+90)</f>
        <v/>
      </c>
      <c r="AO52" s="39" t="str">
        <f aca="true">IF(C52="","",IF(AK52="","NOT REVIEWED",IF(TODAY()&gt;AN52,"OVERDUE",IF(AN52-TODAY()&lt;=14,"Due Soon","Current"))))</f>
        <v/>
      </c>
      <c r="AP52" s="36"/>
    </row>
    <row r="53" customFormat="false" ht="15" hidden="false" customHeight="false" outlineLevel="0" collapsed="false">
      <c r="A53" s="36"/>
      <c r="B53" s="36"/>
      <c r="C53" s="36"/>
      <c r="D53" s="37"/>
      <c r="E53" s="38"/>
      <c r="F53" s="38"/>
      <c r="G53" s="36"/>
      <c r="H53" s="37"/>
      <c r="I53" s="39" t="str">
        <f aca="true">IF(F53="","",TODAY()-F53)</f>
        <v/>
      </c>
      <c r="J53" s="40" t="str">
        <f aca="false">IFERROR(INDEX('Azure Resource Map'!$H$2:$H$2001,MATCH($C53,'Azure Resource Map'!$A$2:$A$2001,0)),"")</f>
        <v/>
      </c>
      <c r="K53" s="40" t="str">
        <f aca="false">IFERROR(INDEX('Azure Resource Map'!$I$2:$I$2001,MATCH($C53,'Azure Resource Map'!$A$2:$A$2001,0)),"")</f>
        <v/>
      </c>
      <c r="L53" s="39" t="str">
        <f aca="false">IFERROR(INDEX('Azure Resource Map'!$J$2:$J$2001,MATCH($C53,'Azure Resource Map'!$A$2:$A$2001,0)),"")</f>
        <v/>
      </c>
      <c r="M53" s="40" t="str">
        <f aca="false">IFERROR(INDEX('Azure Resource Map'!$K$2:$K$2001,MATCH($C53,'Azure Resource Map'!$A$2:$A$2001,0)),"")</f>
        <v/>
      </c>
      <c r="N53" s="39" t="str">
        <f aca="false">IFERROR(INDEX('Azure Resource Map'!$L$2:$L$2001,MATCH($C53,'Azure Resource Map'!$A$2:$A$2001,0)),"")</f>
        <v/>
      </c>
      <c r="O53" s="39" t="str">
        <f aca="false">IFERROR(INDEX('Azure Resource Map'!$M$2:$M$2001,MATCH($C53,'Azure Resource Map'!$A$2:$A$2001,0)),"")</f>
        <v/>
      </c>
      <c r="P53" s="40" t="str">
        <f aca="false">IFERROR(INDEX('Azure Resource Map'!$D$2:$D$2001,MATCH($C53,'Azure Resource Map'!$A$2:$A$2001,0)),"")</f>
        <v/>
      </c>
      <c r="Q53" s="39" t="str">
        <f aca="false">IFERROR(INDEX('Azure Resource Map'!$E$2:$E$2001,MATCH($C53,'Azure Resource Map'!$A$2:$A$2001,0)),"")</f>
        <v/>
      </c>
      <c r="R53" s="39" t="str">
        <f aca="false">IFERROR(INDEX('Azure Resource Map'!$F$2:$F$2001,MATCH($C53,'Azure Resource Map'!$A$2:$A$2001,0)),"")</f>
        <v/>
      </c>
      <c r="S53" s="37"/>
      <c r="T53" s="39" t="str">
        <f aca="false">IF($C53="","",IF(ISNUMBER(MATCH($C53,'CA Exclusion Map'!$A$2:$A$2001,0)),"Yes","No"))</f>
        <v/>
      </c>
      <c r="U53" s="39" t="str">
        <f aca="false">IFERROR(INDEX('CA Exclusion Map'!$D$2:$D$2001,MATCH($C53,'CA Exclusion Map'!$A$2:$A$2001,0)),"")</f>
        <v/>
      </c>
      <c r="V53" s="40" t="str">
        <f aca="false">IFERROR(INDEX('CA Exclusion Map'!$E$2:$E$2001,MATCH($C53,'CA Exclusion Map'!$A$2:$A$2001,0)),"")</f>
        <v/>
      </c>
      <c r="W53" s="40" t="str">
        <f aca="false">IFERROR(INDEX('CA Exclusion Map'!$F$2:$F$2001,MATCH($C53,'CA Exclusion Map'!$A$2:$A$2001,0)),"")</f>
        <v/>
      </c>
      <c r="X53" s="36"/>
      <c r="Y53" s="37"/>
      <c r="Z53" s="38"/>
      <c r="AA53" s="38"/>
      <c r="AB53" s="39" t="str">
        <f aca="true">IF(T53="","",IF(T53&lt;&gt;"Yes","N/A",IF(AA53="","NO EXPIRY SET",IF(TODAY()&gt;AA53,"EXPIRED",IF(AA53-TODAY()&lt;=30,"Expiring Soon","Active")))))</f>
        <v/>
      </c>
      <c r="AC53" s="36"/>
      <c r="AD53" s="36"/>
      <c r="AE53" s="37"/>
      <c r="AF53" s="36"/>
      <c r="AG53" s="37"/>
      <c r="AH53" s="37"/>
      <c r="AI53" s="37"/>
      <c r="AJ53" s="37"/>
      <c r="AK53" s="38"/>
      <c r="AL53" s="37"/>
      <c r="AM53" s="37"/>
      <c r="AN53" s="41" t="str">
        <f aca="false">IF(AK53="","",AK53+90)</f>
        <v/>
      </c>
      <c r="AO53" s="39" t="str">
        <f aca="true">IF(C53="","",IF(AK53="","NOT REVIEWED",IF(TODAY()&gt;AN53,"OVERDUE",IF(AN53-TODAY()&lt;=14,"Due Soon","Current"))))</f>
        <v/>
      </c>
      <c r="AP53" s="36"/>
    </row>
    <row r="54" customFormat="false" ht="15" hidden="false" customHeight="false" outlineLevel="0" collapsed="false">
      <c r="A54" s="36"/>
      <c r="B54" s="36"/>
      <c r="C54" s="36"/>
      <c r="D54" s="37"/>
      <c r="E54" s="38"/>
      <c r="F54" s="38"/>
      <c r="G54" s="36"/>
      <c r="H54" s="37"/>
      <c r="I54" s="39" t="str">
        <f aca="true">IF(F54="","",TODAY()-F54)</f>
        <v/>
      </c>
      <c r="J54" s="40" t="str">
        <f aca="false">IFERROR(INDEX('Azure Resource Map'!$H$2:$H$2001,MATCH($C54,'Azure Resource Map'!$A$2:$A$2001,0)),"")</f>
        <v/>
      </c>
      <c r="K54" s="40" t="str">
        <f aca="false">IFERROR(INDEX('Azure Resource Map'!$I$2:$I$2001,MATCH($C54,'Azure Resource Map'!$A$2:$A$2001,0)),"")</f>
        <v/>
      </c>
      <c r="L54" s="39" t="str">
        <f aca="false">IFERROR(INDEX('Azure Resource Map'!$J$2:$J$2001,MATCH($C54,'Azure Resource Map'!$A$2:$A$2001,0)),"")</f>
        <v/>
      </c>
      <c r="M54" s="40" t="str">
        <f aca="false">IFERROR(INDEX('Azure Resource Map'!$K$2:$K$2001,MATCH($C54,'Azure Resource Map'!$A$2:$A$2001,0)),"")</f>
        <v/>
      </c>
      <c r="N54" s="39" t="str">
        <f aca="false">IFERROR(INDEX('Azure Resource Map'!$L$2:$L$2001,MATCH($C54,'Azure Resource Map'!$A$2:$A$2001,0)),"")</f>
        <v/>
      </c>
      <c r="O54" s="39" t="str">
        <f aca="false">IFERROR(INDEX('Azure Resource Map'!$M$2:$M$2001,MATCH($C54,'Azure Resource Map'!$A$2:$A$2001,0)),"")</f>
        <v/>
      </c>
      <c r="P54" s="40" t="str">
        <f aca="false">IFERROR(INDEX('Azure Resource Map'!$D$2:$D$2001,MATCH($C54,'Azure Resource Map'!$A$2:$A$2001,0)),"")</f>
        <v/>
      </c>
      <c r="Q54" s="39" t="str">
        <f aca="false">IFERROR(INDEX('Azure Resource Map'!$E$2:$E$2001,MATCH($C54,'Azure Resource Map'!$A$2:$A$2001,0)),"")</f>
        <v/>
      </c>
      <c r="R54" s="39" t="str">
        <f aca="false">IFERROR(INDEX('Azure Resource Map'!$F$2:$F$2001,MATCH($C54,'Azure Resource Map'!$A$2:$A$2001,0)),"")</f>
        <v/>
      </c>
      <c r="S54" s="37"/>
      <c r="T54" s="39" t="str">
        <f aca="false">IF($C54="","",IF(ISNUMBER(MATCH($C54,'CA Exclusion Map'!$A$2:$A$2001,0)),"Yes","No"))</f>
        <v/>
      </c>
      <c r="U54" s="39" t="str">
        <f aca="false">IFERROR(INDEX('CA Exclusion Map'!$D$2:$D$2001,MATCH($C54,'CA Exclusion Map'!$A$2:$A$2001,0)),"")</f>
        <v/>
      </c>
      <c r="V54" s="40" t="str">
        <f aca="false">IFERROR(INDEX('CA Exclusion Map'!$E$2:$E$2001,MATCH($C54,'CA Exclusion Map'!$A$2:$A$2001,0)),"")</f>
        <v/>
      </c>
      <c r="W54" s="40" t="str">
        <f aca="false">IFERROR(INDEX('CA Exclusion Map'!$F$2:$F$2001,MATCH($C54,'CA Exclusion Map'!$A$2:$A$2001,0)),"")</f>
        <v/>
      </c>
      <c r="X54" s="36"/>
      <c r="Y54" s="37"/>
      <c r="Z54" s="38"/>
      <c r="AA54" s="38"/>
      <c r="AB54" s="39" t="str">
        <f aca="true">IF(T54="","",IF(T54&lt;&gt;"Yes","N/A",IF(AA54="","NO EXPIRY SET",IF(TODAY()&gt;AA54,"EXPIRED",IF(AA54-TODAY()&lt;=30,"Expiring Soon","Active")))))</f>
        <v/>
      </c>
      <c r="AC54" s="36"/>
      <c r="AD54" s="36"/>
      <c r="AE54" s="37"/>
      <c r="AF54" s="36"/>
      <c r="AG54" s="37"/>
      <c r="AH54" s="37"/>
      <c r="AI54" s="37"/>
      <c r="AJ54" s="37"/>
      <c r="AK54" s="38"/>
      <c r="AL54" s="37"/>
      <c r="AM54" s="37"/>
      <c r="AN54" s="41" t="str">
        <f aca="false">IF(AK54="","",AK54+90)</f>
        <v/>
      </c>
      <c r="AO54" s="39" t="str">
        <f aca="true">IF(C54="","",IF(AK54="","NOT REVIEWED",IF(TODAY()&gt;AN54,"OVERDUE",IF(AN54-TODAY()&lt;=14,"Due Soon","Current"))))</f>
        <v/>
      </c>
      <c r="AP54" s="36"/>
    </row>
    <row r="55" customFormat="false" ht="15" hidden="false" customHeight="false" outlineLevel="0" collapsed="false">
      <c r="A55" s="36"/>
      <c r="B55" s="36"/>
      <c r="C55" s="36"/>
      <c r="D55" s="37"/>
      <c r="E55" s="38"/>
      <c r="F55" s="38"/>
      <c r="G55" s="36"/>
      <c r="H55" s="37"/>
      <c r="I55" s="39" t="str">
        <f aca="true">IF(F55="","",TODAY()-F55)</f>
        <v/>
      </c>
      <c r="J55" s="40" t="str">
        <f aca="false">IFERROR(INDEX('Azure Resource Map'!$H$2:$H$2001,MATCH($C55,'Azure Resource Map'!$A$2:$A$2001,0)),"")</f>
        <v/>
      </c>
      <c r="K55" s="40" t="str">
        <f aca="false">IFERROR(INDEX('Azure Resource Map'!$I$2:$I$2001,MATCH($C55,'Azure Resource Map'!$A$2:$A$2001,0)),"")</f>
        <v/>
      </c>
      <c r="L55" s="39" t="str">
        <f aca="false">IFERROR(INDEX('Azure Resource Map'!$J$2:$J$2001,MATCH($C55,'Azure Resource Map'!$A$2:$A$2001,0)),"")</f>
        <v/>
      </c>
      <c r="M55" s="40" t="str">
        <f aca="false">IFERROR(INDEX('Azure Resource Map'!$K$2:$K$2001,MATCH($C55,'Azure Resource Map'!$A$2:$A$2001,0)),"")</f>
        <v/>
      </c>
      <c r="N55" s="39" t="str">
        <f aca="false">IFERROR(INDEX('Azure Resource Map'!$L$2:$L$2001,MATCH($C55,'Azure Resource Map'!$A$2:$A$2001,0)),"")</f>
        <v/>
      </c>
      <c r="O55" s="39" t="str">
        <f aca="false">IFERROR(INDEX('Azure Resource Map'!$M$2:$M$2001,MATCH($C55,'Azure Resource Map'!$A$2:$A$2001,0)),"")</f>
        <v/>
      </c>
      <c r="P55" s="40" t="str">
        <f aca="false">IFERROR(INDEX('Azure Resource Map'!$D$2:$D$2001,MATCH($C55,'Azure Resource Map'!$A$2:$A$2001,0)),"")</f>
        <v/>
      </c>
      <c r="Q55" s="39" t="str">
        <f aca="false">IFERROR(INDEX('Azure Resource Map'!$E$2:$E$2001,MATCH($C55,'Azure Resource Map'!$A$2:$A$2001,0)),"")</f>
        <v/>
      </c>
      <c r="R55" s="39" t="str">
        <f aca="false">IFERROR(INDEX('Azure Resource Map'!$F$2:$F$2001,MATCH($C55,'Azure Resource Map'!$A$2:$A$2001,0)),"")</f>
        <v/>
      </c>
      <c r="S55" s="37"/>
      <c r="T55" s="39" t="str">
        <f aca="false">IF($C55="","",IF(ISNUMBER(MATCH($C55,'CA Exclusion Map'!$A$2:$A$2001,0)),"Yes","No"))</f>
        <v/>
      </c>
      <c r="U55" s="39" t="str">
        <f aca="false">IFERROR(INDEX('CA Exclusion Map'!$D$2:$D$2001,MATCH($C55,'CA Exclusion Map'!$A$2:$A$2001,0)),"")</f>
        <v/>
      </c>
      <c r="V55" s="40" t="str">
        <f aca="false">IFERROR(INDEX('CA Exclusion Map'!$E$2:$E$2001,MATCH($C55,'CA Exclusion Map'!$A$2:$A$2001,0)),"")</f>
        <v/>
      </c>
      <c r="W55" s="40" t="str">
        <f aca="false">IFERROR(INDEX('CA Exclusion Map'!$F$2:$F$2001,MATCH($C55,'CA Exclusion Map'!$A$2:$A$2001,0)),"")</f>
        <v/>
      </c>
      <c r="X55" s="36"/>
      <c r="Y55" s="37"/>
      <c r="Z55" s="38"/>
      <c r="AA55" s="38"/>
      <c r="AB55" s="39" t="str">
        <f aca="true">IF(T55="","",IF(T55&lt;&gt;"Yes","N/A",IF(AA55="","NO EXPIRY SET",IF(TODAY()&gt;AA55,"EXPIRED",IF(AA55-TODAY()&lt;=30,"Expiring Soon","Active")))))</f>
        <v/>
      </c>
      <c r="AC55" s="36"/>
      <c r="AD55" s="36"/>
      <c r="AE55" s="37"/>
      <c r="AF55" s="36"/>
      <c r="AG55" s="37"/>
      <c r="AH55" s="37"/>
      <c r="AI55" s="37"/>
      <c r="AJ55" s="37"/>
      <c r="AK55" s="38"/>
      <c r="AL55" s="37"/>
      <c r="AM55" s="37"/>
      <c r="AN55" s="41" t="str">
        <f aca="false">IF(AK55="","",AK55+90)</f>
        <v/>
      </c>
      <c r="AO55" s="39" t="str">
        <f aca="true">IF(C55="","",IF(AK55="","NOT REVIEWED",IF(TODAY()&gt;AN55,"OVERDUE",IF(AN55-TODAY()&lt;=14,"Due Soon","Current"))))</f>
        <v/>
      </c>
      <c r="AP55" s="36"/>
    </row>
    <row r="56" customFormat="false" ht="15" hidden="false" customHeight="false" outlineLevel="0" collapsed="false">
      <c r="A56" s="36"/>
      <c r="B56" s="36"/>
      <c r="C56" s="36"/>
      <c r="D56" s="37"/>
      <c r="E56" s="38"/>
      <c r="F56" s="38"/>
      <c r="G56" s="36"/>
      <c r="H56" s="37"/>
      <c r="I56" s="39" t="str">
        <f aca="true">IF(F56="","",TODAY()-F56)</f>
        <v/>
      </c>
      <c r="J56" s="40" t="str">
        <f aca="false">IFERROR(INDEX('Azure Resource Map'!$H$2:$H$2001,MATCH($C56,'Azure Resource Map'!$A$2:$A$2001,0)),"")</f>
        <v/>
      </c>
      <c r="K56" s="40" t="str">
        <f aca="false">IFERROR(INDEX('Azure Resource Map'!$I$2:$I$2001,MATCH($C56,'Azure Resource Map'!$A$2:$A$2001,0)),"")</f>
        <v/>
      </c>
      <c r="L56" s="39" t="str">
        <f aca="false">IFERROR(INDEX('Azure Resource Map'!$J$2:$J$2001,MATCH($C56,'Azure Resource Map'!$A$2:$A$2001,0)),"")</f>
        <v/>
      </c>
      <c r="M56" s="40" t="str">
        <f aca="false">IFERROR(INDEX('Azure Resource Map'!$K$2:$K$2001,MATCH($C56,'Azure Resource Map'!$A$2:$A$2001,0)),"")</f>
        <v/>
      </c>
      <c r="N56" s="39" t="str">
        <f aca="false">IFERROR(INDEX('Azure Resource Map'!$L$2:$L$2001,MATCH($C56,'Azure Resource Map'!$A$2:$A$2001,0)),"")</f>
        <v/>
      </c>
      <c r="O56" s="39" t="str">
        <f aca="false">IFERROR(INDEX('Azure Resource Map'!$M$2:$M$2001,MATCH($C56,'Azure Resource Map'!$A$2:$A$2001,0)),"")</f>
        <v/>
      </c>
      <c r="P56" s="40" t="str">
        <f aca="false">IFERROR(INDEX('Azure Resource Map'!$D$2:$D$2001,MATCH($C56,'Azure Resource Map'!$A$2:$A$2001,0)),"")</f>
        <v/>
      </c>
      <c r="Q56" s="39" t="str">
        <f aca="false">IFERROR(INDEX('Azure Resource Map'!$E$2:$E$2001,MATCH($C56,'Azure Resource Map'!$A$2:$A$2001,0)),"")</f>
        <v/>
      </c>
      <c r="R56" s="39" t="str">
        <f aca="false">IFERROR(INDEX('Azure Resource Map'!$F$2:$F$2001,MATCH($C56,'Azure Resource Map'!$A$2:$A$2001,0)),"")</f>
        <v/>
      </c>
      <c r="S56" s="37"/>
      <c r="T56" s="39" t="str">
        <f aca="false">IF($C56="","",IF(ISNUMBER(MATCH($C56,'CA Exclusion Map'!$A$2:$A$2001,0)),"Yes","No"))</f>
        <v/>
      </c>
      <c r="U56" s="39" t="str">
        <f aca="false">IFERROR(INDEX('CA Exclusion Map'!$D$2:$D$2001,MATCH($C56,'CA Exclusion Map'!$A$2:$A$2001,0)),"")</f>
        <v/>
      </c>
      <c r="V56" s="40" t="str">
        <f aca="false">IFERROR(INDEX('CA Exclusion Map'!$E$2:$E$2001,MATCH($C56,'CA Exclusion Map'!$A$2:$A$2001,0)),"")</f>
        <v/>
      </c>
      <c r="W56" s="40" t="str">
        <f aca="false">IFERROR(INDEX('CA Exclusion Map'!$F$2:$F$2001,MATCH($C56,'CA Exclusion Map'!$A$2:$A$2001,0)),"")</f>
        <v/>
      </c>
      <c r="X56" s="36"/>
      <c r="Y56" s="37"/>
      <c r="Z56" s="38"/>
      <c r="AA56" s="38"/>
      <c r="AB56" s="39" t="str">
        <f aca="true">IF(T56="","",IF(T56&lt;&gt;"Yes","N/A",IF(AA56="","NO EXPIRY SET",IF(TODAY()&gt;AA56,"EXPIRED",IF(AA56-TODAY()&lt;=30,"Expiring Soon","Active")))))</f>
        <v/>
      </c>
      <c r="AC56" s="36"/>
      <c r="AD56" s="36"/>
      <c r="AE56" s="37"/>
      <c r="AF56" s="36"/>
      <c r="AG56" s="37"/>
      <c r="AH56" s="37"/>
      <c r="AI56" s="37"/>
      <c r="AJ56" s="37"/>
      <c r="AK56" s="38"/>
      <c r="AL56" s="37"/>
      <c r="AM56" s="37"/>
      <c r="AN56" s="41" t="str">
        <f aca="false">IF(AK56="","",AK56+90)</f>
        <v/>
      </c>
      <c r="AO56" s="39" t="str">
        <f aca="true">IF(C56="","",IF(AK56="","NOT REVIEWED",IF(TODAY()&gt;AN56,"OVERDUE",IF(AN56-TODAY()&lt;=14,"Due Soon","Current"))))</f>
        <v/>
      </c>
      <c r="AP56" s="36"/>
    </row>
    <row r="57" customFormat="false" ht="15" hidden="false" customHeight="false" outlineLevel="0" collapsed="false">
      <c r="A57" s="36"/>
      <c r="B57" s="36"/>
      <c r="C57" s="36"/>
      <c r="D57" s="37"/>
      <c r="E57" s="38"/>
      <c r="F57" s="38"/>
      <c r="G57" s="36"/>
      <c r="H57" s="37"/>
      <c r="I57" s="39" t="str">
        <f aca="true">IF(F57="","",TODAY()-F57)</f>
        <v/>
      </c>
      <c r="J57" s="40" t="str">
        <f aca="false">IFERROR(INDEX('Azure Resource Map'!$H$2:$H$2001,MATCH($C57,'Azure Resource Map'!$A$2:$A$2001,0)),"")</f>
        <v/>
      </c>
      <c r="K57" s="40" t="str">
        <f aca="false">IFERROR(INDEX('Azure Resource Map'!$I$2:$I$2001,MATCH($C57,'Azure Resource Map'!$A$2:$A$2001,0)),"")</f>
        <v/>
      </c>
      <c r="L57" s="39" t="str">
        <f aca="false">IFERROR(INDEX('Azure Resource Map'!$J$2:$J$2001,MATCH($C57,'Azure Resource Map'!$A$2:$A$2001,0)),"")</f>
        <v/>
      </c>
      <c r="M57" s="40" t="str">
        <f aca="false">IFERROR(INDEX('Azure Resource Map'!$K$2:$K$2001,MATCH($C57,'Azure Resource Map'!$A$2:$A$2001,0)),"")</f>
        <v/>
      </c>
      <c r="N57" s="39" t="str">
        <f aca="false">IFERROR(INDEX('Azure Resource Map'!$L$2:$L$2001,MATCH($C57,'Azure Resource Map'!$A$2:$A$2001,0)),"")</f>
        <v/>
      </c>
      <c r="O57" s="39" t="str">
        <f aca="false">IFERROR(INDEX('Azure Resource Map'!$M$2:$M$2001,MATCH($C57,'Azure Resource Map'!$A$2:$A$2001,0)),"")</f>
        <v/>
      </c>
      <c r="P57" s="40" t="str">
        <f aca="false">IFERROR(INDEX('Azure Resource Map'!$D$2:$D$2001,MATCH($C57,'Azure Resource Map'!$A$2:$A$2001,0)),"")</f>
        <v/>
      </c>
      <c r="Q57" s="39" t="str">
        <f aca="false">IFERROR(INDEX('Azure Resource Map'!$E$2:$E$2001,MATCH($C57,'Azure Resource Map'!$A$2:$A$2001,0)),"")</f>
        <v/>
      </c>
      <c r="R57" s="39" t="str">
        <f aca="false">IFERROR(INDEX('Azure Resource Map'!$F$2:$F$2001,MATCH($C57,'Azure Resource Map'!$A$2:$A$2001,0)),"")</f>
        <v/>
      </c>
      <c r="S57" s="37"/>
      <c r="T57" s="39" t="str">
        <f aca="false">IF($C57="","",IF(ISNUMBER(MATCH($C57,'CA Exclusion Map'!$A$2:$A$2001,0)),"Yes","No"))</f>
        <v/>
      </c>
      <c r="U57" s="39" t="str">
        <f aca="false">IFERROR(INDEX('CA Exclusion Map'!$D$2:$D$2001,MATCH($C57,'CA Exclusion Map'!$A$2:$A$2001,0)),"")</f>
        <v/>
      </c>
      <c r="V57" s="40" t="str">
        <f aca="false">IFERROR(INDEX('CA Exclusion Map'!$E$2:$E$2001,MATCH($C57,'CA Exclusion Map'!$A$2:$A$2001,0)),"")</f>
        <v/>
      </c>
      <c r="W57" s="40" t="str">
        <f aca="false">IFERROR(INDEX('CA Exclusion Map'!$F$2:$F$2001,MATCH($C57,'CA Exclusion Map'!$A$2:$A$2001,0)),"")</f>
        <v/>
      </c>
      <c r="X57" s="36"/>
      <c r="Y57" s="37"/>
      <c r="Z57" s="38"/>
      <c r="AA57" s="38"/>
      <c r="AB57" s="39" t="str">
        <f aca="true">IF(T57="","",IF(T57&lt;&gt;"Yes","N/A",IF(AA57="","NO EXPIRY SET",IF(TODAY()&gt;AA57,"EXPIRED",IF(AA57-TODAY()&lt;=30,"Expiring Soon","Active")))))</f>
        <v/>
      </c>
      <c r="AC57" s="36"/>
      <c r="AD57" s="36"/>
      <c r="AE57" s="37"/>
      <c r="AF57" s="36"/>
      <c r="AG57" s="37"/>
      <c r="AH57" s="37"/>
      <c r="AI57" s="37"/>
      <c r="AJ57" s="37"/>
      <c r="AK57" s="38"/>
      <c r="AL57" s="37"/>
      <c r="AM57" s="37"/>
      <c r="AN57" s="41" t="str">
        <f aca="false">IF(AK57="","",AK57+90)</f>
        <v/>
      </c>
      <c r="AO57" s="39" t="str">
        <f aca="true">IF(C57="","",IF(AK57="","NOT REVIEWED",IF(TODAY()&gt;AN57,"OVERDUE",IF(AN57-TODAY()&lt;=14,"Due Soon","Current"))))</f>
        <v/>
      </c>
      <c r="AP57" s="36"/>
    </row>
    <row r="58" customFormat="false" ht="15" hidden="false" customHeight="false" outlineLevel="0" collapsed="false">
      <c r="A58" s="36"/>
      <c r="B58" s="36"/>
      <c r="C58" s="36"/>
      <c r="D58" s="37"/>
      <c r="E58" s="38"/>
      <c r="F58" s="38"/>
      <c r="G58" s="36"/>
      <c r="H58" s="37"/>
      <c r="I58" s="39" t="str">
        <f aca="true">IF(F58="","",TODAY()-F58)</f>
        <v/>
      </c>
      <c r="J58" s="40" t="str">
        <f aca="false">IFERROR(INDEX('Azure Resource Map'!$H$2:$H$2001,MATCH($C58,'Azure Resource Map'!$A$2:$A$2001,0)),"")</f>
        <v/>
      </c>
      <c r="K58" s="40" t="str">
        <f aca="false">IFERROR(INDEX('Azure Resource Map'!$I$2:$I$2001,MATCH($C58,'Azure Resource Map'!$A$2:$A$2001,0)),"")</f>
        <v/>
      </c>
      <c r="L58" s="39" t="str">
        <f aca="false">IFERROR(INDEX('Azure Resource Map'!$J$2:$J$2001,MATCH($C58,'Azure Resource Map'!$A$2:$A$2001,0)),"")</f>
        <v/>
      </c>
      <c r="M58" s="40" t="str">
        <f aca="false">IFERROR(INDEX('Azure Resource Map'!$K$2:$K$2001,MATCH($C58,'Azure Resource Map'!$A$2:$A$2001,0)),"")</f>
        <v/>
      </c>
      <c r="N58" s="39" t="str">
        <f aca="false">IFERROR(INDEX('Azure Resource Map'!$L$2:$L$2001,MATCH($C58,'Azure Resource Map'!$A$2:$A$2001,0)),"")</f>
        <v/>
      </c>
      <c r="O58" s="39" t="str">
        <f aca="false">IFERROR(INDEX('Azure Resource Map'!$M$2:$M$2001,MATCH($C58,'Azure Resource Map'!$A$2:$A$2001,0)),"")</f>
        <v/>
      </c>
      <c r="P58" s="40" t="str">
        <f aca="false">IFERROR(INDEX('Azure Resource Map'!$D$2:$D$2001,MATCH($C58,'Azure Resource Map'!$A$2:$A$2001,0)),"")</f>
        <v/>
      </c>
      <c r="Q58" s="39" t="str">
        <f aca="false">IFERROR(INDEX('Azure Resource Map'!$E$2:$E$2001,MATCH($C58,'Azure Resource Map'!$A$2:$A$2001,0)),"")</f>
        <v/>
      </c>
      <c r="R58" s="39" t="str">
        <f aca="false">IFERROR(INDEX('Azure Resource Map'!$F$2:$F$2001,MATCH($C58,'Azure Resource Map'!$A$2:$A$2001,0)),"")</f>
        <v/>
      </c>
      <c r="S58" s="37"/>
      <c r="T58" s="39" t="str">
        <f aca="false">IF($C58="","",IF(ISNUMBER(MATCH($C58,'CA Exclusion Map'!$A$2:$A$2001,0)),"Yes","No"))</f>
        <v/>
      </c>
      <c r="U58" s="39" t="str">
        <f aca="false">IFERROR(INDEX('CA Exclusion Map'!$D$2:$D$2001,MATCH($C58,'CA Exclusion Map'!$A$2:$A$2001,0)),"")</f>
        <v/>
      </c>
      <c r="V58" s="40" t="str">
        <f aca="false">IFERROR(INDEX('CA Exclusion Map'!$E$2:$E$2001,MATCH($C58,'CA Exclusion Map'!$A$2:$A$2001,0)),"")</f>
        <v/>
      </c>
      <c r="W58" s="40" t="str">
        <f aca="false">IFERROR(INDEX('CA Exclusion Map'!$F$2:$F$2001,MATCH($C58,'CA Exclusion Map'!$A$2:$A$2001,0)),"")</f>
        <v/>
      </c>
      <c r="X58" s="36"/>
      <c r="Y58" s="37"/>
      <c r="Z58" s="38"/>
      <c r="AA58" s="38"/>
      <c r="AB58" s="39" t="str">
        <f aca="true">IF(T58="","",IF(T58&lt;&gt;"Yes","N/A",IF(AA58="","NO EXPIRY SET",IF(TODAY()&gt;AA58,"EXPIRED",IF(AA58-TODAY()&lt;=30,"Expiring Soon","Active")))))</f>
        <v/>
      </c>
      <c r="AC58" s="36"/>
      <c r="AD58" s="36"/>
      <c r="AE58" s="37"/>
      <c r="AF58" s="36"/>
      <c r="AG58" s="37"/>
      <c r="AH58" s="37"/>
      <c r="AI58" s="37"/>
      <c r="AJ58" s="37"/>
      <c r="AK58" s="38"/>
      <c r="AL58" s="37"/>
      <c r="AM58" s="37"/>
      <c r="AN58" s="41" t="str">
        <f aca="false">IF(AK58="","",AK58+90)</f>
        <v/>
      </c>
      <c r="AO58" s="39" t="str">
        <f aca="true">IF(C58="","",IF(AK58="","NOT REVIEWED",IF(TODAY()&gt;AN58,"OVERDUE",IF(AN58-TODAY()&lt;=14,"Due Soon","Current"))))</f>
        <v/>
      </c>
      <c r="AP58" s="36"/>
    </row>
    <row r="59" customFormat="false" ht="15" hidden="false" customHeight="false" outlineLevel="0" collapsed="false">
      <c r="A59" s="36"/>
      <c r="B59" s="36"/>
      <c r="C59" s="36"/>
      <c r="D59" s="37"/>
      <c r="E59" s="38"/>
      <c r="F59" s="38"/>
      <c r="G59" s="36"/>
      <c r="H59" s="37"/>
      <c r="I59" s="39" t="str">
        <f aca="true">IF(F59="","",TODAY()-F59)</f>
        <v/>
      </c>
      <c r="J59" s="40" t="str">
        <f aca="false">IFERROR(INDEX('Azure Resource Map'!$H$2:$H$2001,MATCH($C59,'Azure Resource Map'!$A$2:$A$2001,0)),"")</f>
        <v/>
      </c>
      <c r="K59" s="40" t="str">
        <f aca="false">IFERROR(INDEX('Azure Resource Map'!$I$2:$I$2001,MATCH($C59,'Azure Resource Map'!$A$2:$A$2001,0)),"")</f>
        <v/>
      </c>
      <c r="L59" s="39" t="str">
        <f aca="false">IFERROR(INDEX('Azure Resource Map'!$J$2:$J$2001,MATCH($C59,'Azure Resource Map'!$A$2:$A$2001,0)),"")</f>
        <v/>
      </c>
      <c r="M59" s="40" t="str">
        <f aca="false">IFERROR(INDEX('Azure Resource Map'!$K$2:$K$2001,MATCH($C59,'Azure Resource Map'!$A$2:$A$2001,0)),"")</f>
        <v/>
      </c>
      <c r="N59" s="39" t="str">
        <f aca="false">IFERROR(INDEX('Azure Resource Map'!$L$2:$L$2001,MATCH($C59,'Azure Resource Map'!$A$2:$A$2001,0)),"")</f>
        <v/>
      </c>
      <c r="O59" s="39" t="str">
        <f aca="false">IFERROR(INDEX('Azure Resource Map'!$M$2:$M$2001,MATCH($C59,'Azure Resource Map'!$A$2:$A$2001,0)),"")</f>
        <v/>
      </c>
      <c r="P59" s="40" t="str">
        <f aca="false">IFERROR(INDEX('Azure Resource Map'!$D$2:$D$2001,MATCH($C59,'Azure Resource Map'!$A$2:$A$2001,0)),"")</f>
        <v/>
      </c>
      <c r="Q59" s="39" t="str">
        <f aca="false">IFERROR(INDEX('Azure Resource Map'!$E$2:$E$2001,MATCH($C59,'Azure Resource Map'!$A$2:$A$2001,0)),"")</f>
        <v/>
      </c>
      <c r="R59" s="39" t="str">
        <f aca="false">IFERROR(INDEX('Azure Resource Map'!$F$2:$F$2001,MATCH($C59,'Azure Resource Map'!$A$2:$A$2001,0)),"")</f>
        <v/>
      </c>
      <c r="S59" s="37"/>
      <c r="T59" s="39" t="str">
        <f aca="false">IF($C59="","",IF(ISNUMBER(MATCH($C59,'CA Exclusion Map'!$A$2:$A$2001,0)),"Yes","No"))</f>
        <v/>
      </c>
      <c r="U59" s="39" t="str">
        <f aca="false">IFERROR(INDEX('CA Exclusion Map'!$D$2:$D$2001,MATCH($C59,'CA Exclusion Map'!$A$2:$A$2001,0)),"")</f>
        <v/>
      </c>
      <c r="V59" s="40" t="str">
        <f aca="false">IFERROR(INDEX('CA Exclusion Map'!$E$2:$E$2001,MATCH($C59,'CA Exclusion Map'!$A$2:$A$2001,0)),"")</f>
        <v/>
      </c>
      <c r="W59" s="40" t="str">
        <f aca="false">IFERROR(INDEX('CA Exclusion Map'!$F$2:$F$2001,MATCH($C59,'CA Exclusion Map'!$A$2:$A$2001,0)),"")</f>
        <v/>
      </c>
      <c r="X59" s="36"/>
      <c r="Y59" s="37"/>
      <c r="Z59" s="38"/>
      <c r="AA59" s="38"/>
      <c r="AB59" s="39" t="str">
        <f aca="true">IF(T59="","",IF(T59&lt;&gt;"Yes","N/A",IF(AA59="","NO EXPIRY SET",IF(TODAY()&gt;AA59,"EXPIRED",IF(AA59-TODAY()&lt;=30,"Expiring Soon","Active")))))</f>
        <v/>
      </c>
      <c r="AC59" s="36"/>
      <c r="AD59" s="36"/>
      <c r="AE59" s="37"/>
      <c r="AF59" s="36"/>
      <c r="AG59" s="37"/>
      <c r="AH59" s="37"/>
      <c r="AI59" s="37"/>
      <c r="AJ59" s="37"/>
      <c r="AK59" s="38"/>
      <c r="AL59" s="37"/>
      <c r="AM59" s="37"/>
      <c r="AN59" s="41" t="str">
        <f aca="false">IF(AK59="","",AK59+90)</f>
        <v/>
      </c>
      <c r="AO59" s="39" t="str">
        <f aca="true">IF(C59="","",IF(AK59="","NOT REVIEWED",IF(TODAY()&gt;AN59,"OVERDUE",IF(AN59-TODAY()&lt;=14,"Due Soon","Current"))))</f>
        <v/>
      </c>
      <c r="AP59" s="36"/>
    </row>
    <row r="60" customFormat="false" ht="15" hidden="false" customHeight="false" outlineLevel="0" collapsed="false">
      <c r="A60" s="36"/>
      <c r="B60" s="36"/>
      <c r="C60" s="36"/>
      <c r="D60" s="37"/>
      <c r="E60" s="38"/>
      <c r="F60" s="38"/>
      <c r="G60" s="36"/>
      <c r="H60" s="37"/>
      <c r="I60" s="39" t="str">
        <f aca="true">IF(F60="","",TODAY()-F60)</f>
        <v/>
      </c>
      <c r="J60" s="40" t="str">
        <f aca="false">IFERROR(INDEX('Azure Resource Map'!$H$2:$H$2001,MATCH($C60,'Azure Resource Map'!$A$2:$A$2001,0)),"")</f>
        <v/>
      </c>
      <c r="K60" s="40" t="str">
        <f aca="false">IFERROR(INDEX('Azure Resource Map'!$I$2:$I$2001,MATCH($C60,'Azure Resource Map'!$A$2:$A$2001,0)),"")</f>
        <v/>
      </c>
      <c r="L60" s="39" t="str">
        <f aca="false">IFERROR(INDEX('Azure Resource Map'!$J$2:$J$2001,MATCH($C60,'Azure Resource Map'!$A$2:$A$2001,0)),"")</f>
        <v/>
      </c>
      <c r="M60" s="40" t="str">
        <f aca="false">IFERROR(INDEX('Azure Resource Map'!$K$2:$K$2001,MATCH($C60,'Azure Resource Map'!$A$2:$A$2001,0)),"")</f>
        <v/>
      </c>
      <c r="N60" s="39" t="str">
        <f aca="false">IFERROR(INDEX('Azure Resource Map'!$L$2:$L$2001,MATCH($C60,'Azure Resource Map'!$A$2:$A$2001,0)),"")</f>
        <v/>
      </c>
      <c r="O60" s="39" t="str">
        <f aca="false">IFERROR(INDEX('Azure Resource Map'!$M$2:$M$2001,MATCH($C60,'Azure Resource Map'!$A$2:$A$2001,0)),"")</f>
        <v/>
      </c>
      <c r="P60" s="40" t="str">
        <f aca="false">IFERROR(INDEX('Azure Resource Map'!$D$2:$D$2001,MATCH($C60,'Azure Resource Map'!$A$2:$A$2001,0)),"")</f>
        <v/>
      </c>
      <c r="Q60" s="39" t="str">
        <f aca="false">IFERROR(INDEX('Azure Resource Map'!$E$2:$E$2001,MATCH($C60,'Azure Resource Map'!$A$2:$A$2001,0)),"")</f>
        <v/>
      </c>
      <c r="R60" s="39" t="str">
        <f aca="false">IFERROR(INDEX('Azure Resource Map'!$F$2:$F$2001,MATCH($C60,'Azure Resource Map'!$A$2:$A$2001,0)),"")</f>
        <v/>
      </c>
      <c r="S60" s="37"/>
      <c r="T60" s="39" t="str">
        <f aca="false">IF($C60="","",IF(ISNUMBER(MATCH($C60,'CA Exclusion Map'!$A$2:$A$2001,0)),"Yes","No"))</f>
        <v/>
      </c>
      <c r="U60" s="39" t="str">
        <f aca="false">IFERROR(INDEX('CA Exclusion Map'!$D$2:$D$2001,MATCH($C60,'CA Exclusion Map'!$A$2:$A$2001,0)),"")</f>
        <v/>
      </c>
      <c r="V60" s="40" t="str">
        <f aca="false">IFERROR(INDEX('CA Exclusion Map'!$E$2:$E$2001,MATCH($C60,'CA Exclusion Map'!$A$2:$A$2001,0)),"")</f>
        <v/>
      </c>
      <c r="W60" s="40" t="str">
        <f aca="false">IFERROR(INDEX('CA Exclusion Map'!$F$2:$F$2001,MATCH($C60,'CA Exclusion Map'!$A$2:$A$2001,0)),"")</f>
        <v/>
      </c>
      <c r="X60" s="36"/>
      <c r="Y60" s="37"/>
      <c r="Z60" s="38"/>
      <c r="AA60" s="38"/>
      <c r="AB60" s="39" t="str">
        <f aca="true">IF(T60="","",IF(T60&lt;&gt;"Yes","N/A",IF(AA60="","NO EXPIRY SET",IF(TODAY()&gt;AA60,"EXPIRED",IF(AA60-TODAY()&lt;=30,"Expiring Soon","Active")))))</f>
        <v/>
      </c>
      <c r="AC60" s="36"/>
      <c r="AD60" s="36"/>
      <c r="AE60" s="37"/>
      <c r="AF60" s="36"/>
      <c r="AG60" s="37"/>
      <c r="AH60" s="37"/>
      <c r="AI60" s="37"/>
      <c r="AJ60" s="37"/>
      <c r="AK60" s="38"/>
      <c r="AL60" s="37"/>
      <c r="AM60" s="37"/>
      <c r="AN60" s="41" t="str">
        <f aca="false">IF(AK60="","",AK60+90)</f>
        <v/>
      </c>
      <c r="AO60" s="39" t="str">
        <f aca="true">IF(C60="","",IF(AK60="","NOT REVIEWED",IF(TODAY()&gt;AN60,"OVERDUE",IF(AN60-TODAY()&lt;=14,"Due Soon","Current"))))</f>
        <v/>
      </c>
      <c r="AP60" s="36"/>
    </row>
    <row r="61" customFormat="false" ht="15" hidden="false" customHeight="false" outlineLevel="0" collapsed="false">
      <c r="A61" s="36"/>
      <c r="B61" s="36"/>
      <c r="C61" s="36"/>
      <c r="D61" s="37"/>
      <c r="E61" s="38"/>
      <c r="F61" s="38"/>
      <c r="G61" s="36"/>
      <c r="H61" s="37"/>
      <c r="I61" s="39" t="str">
        <f aca="true">IF(F61="","",TODAY()-F61)</f>
        <v/>
      </c>
      <c r="J61" s="40" t="str">
        <f aca="false">IFERROR(INDEX('Azure Resource Map'!$H$2:$H$2001,MATCH($C61,'Azure Resource Map'!$A$2:$A$2001,0)),"")</f>
        <v/>
      </c>
      <c r="K61" s="40" t="str">
        <f aca="false">IFERROR(INDEX('Azure Resource Map'!$I$2:$I$2001,MATCH($C61,'Azure Resource Map'!$A$2:$A$2001,0)),"")</f>
        <v/>
      </c>
      <c r="L61" s="39" t="str">
        <f aca="false">IFERROR(INDEX('Azure Resource Map'!$J$2:$J$2001,MATCH($C61,'Azure Resource Map'!$A$2:$A$2001,0)),"")</f>
        <v/>
      </c>
      <c r="M61" s="40" t="str">
        <f aca="false">IFERROR(INDEX('Azure Resource Map'!$K$2:$K$2001,MATCH($C61,'Azure Resource Map'!$A$2:$A$2001,0)),"")</f>
        <v/>
      </c>
      <c r="N61" s="39" t="str">
        <f aca="false">IFERROR(INDEX('Azure Resource Map'!$L$2:$L$2001,MATCH($C61,'Azure Resource Map'!$A$2:$A$2001,0)),"")</f>
        <v/>
      </c>
      <c r="O61" s="39" t="str">
        <f aca="false">IFERROR(INDEX('Azure Resource Map'!$M$2:$M$2001,MATCH($C61,'Azure Resource Map'!$A$2:$A$2001,0)),"")</f>
        <v/>
      </c>
      <c r="P61" s="40" t="str">
        <f aca="false">IFERROR(INDEX('Azure Resource Map'!$D$2:$D$2001,MATCH($C61,'Azure Resource Map'!$A$2:$A$2001,0)),"")</f>
        <v/>
      </c>
      <c r="Q61" s="39" t="str">
        <f aca="false">IFERROR(INDEX('Azure Resource Map'!$E$2:$E$2001,MATCH($C61,'Azure Resource Map'!$A$2:$A$2001,0)),"")</f>
        <v/>
      </c>
      <c r="R61" s="39" t="str">
        <f aca="false">IFERROR(INDEX('Azure Resource Map'!$F$2:$F$2001,MATCH($C61,'Azure Resource Map'!$A$2:$A$2001,0)),"")</f>
        <v/>
      </c>
      <c r="S61" s="37"/>
      <c r="T61" s="39" t="str">
        <f aca="false">IF($C61="","",IF(ISNUMBER(MATCH($C61,'CA Exclusion Map'!$A$2:$A$2001,0)),"Yes","No"))</f>
        <v/>
      </c>
      <c r="U61" s="39" t="str">
        <f aca="false">IFERROR(INDEX('CA Exclusion Map'!$D$2:$D$2001,MATCH($C61,'CA Exclusion Map'!$A$2:$A$2001,0)),"")</f>
        <v/>
      </c>
      <c r="V61" s="40" t="str">
        <f aca="false">IFERROR(INDEX('CA Exclusion Map'!$E$2:$E$2001,MATCH($C61,'CA Exclusion Map'!$A$2:$A$2001,0)),"")</f>
        <v/>
      </c>
      <c r="W61" s="40" t="str">
        <f aca="false">IFERROR(INDEX('CA Exclusion Map'!$F$2:$F$2001,MATCH($C61,'CA Exclusion Map'!$A$2:$A$2001,0)),"")</f>
        <v/>
      </c>
      <c r="X61" s="36"/>
      <c r="Y61" s="37"/>
      <c r="Z61" s="38"/>
      <c r="AA61" s="38"/>
      <c r="AB61" s="39" t="str">
        <f aca="true">IF(T61="","",IF(T61&lt;&gt;"Yes","N/A",IF(AA61="","NO EXPIRY SET",IF(TODAY()&gt;AA61,"EXPIRED",IF(AA61-TODAY()&lt;=30,"Expiring Soon","Active")))))</f>
        <v/>
      </c>
      <c r="AC61" s="36"/>
      <c r="AD61" s="36"/>
      <c r="AE61" s="37"/>
      <c r="AF61" s="36"/>
      <c r="AG61" s="37"/>
      <c r="AH61" s="37"/>
      <c r="AI61" s="37"/>
      <c r="AJ61" s="37"/>
      <c r="AK61" s="38"/>
      <c r="AL61" s="37"/>
      <c r="AM61" s="37"/>
      <c r="AN61" s="41" t="str">
        <f aca="false">IF(AK61="","",AK61+90)</f>
        <v/>
      </c>
      <c r="AO61" s="39" t="str">
        <f aca="true">IF(C61="","",IF(AK61="","NOT REVIEWED",IF(TODAY()&gt;AN61,"OVERDUE",IF(AN61-TODAY()&lt;=14,"Due Soon","Current"))))</f>
        <v/>
      </c>
      <c r="AP61" s="36"/>
    </row>
    <row r="62" customFormat="false" ht="15" hidden="false" customHeight="false" outlineLevel="0" collapsed="false">
      <c r="A62" s="36"/>
      <c r="B62" s="36"/>
      <c r="C62" s="36"/>
      <c r="D62" s="37"/>
      <c r="E62" s="38"/>
      <c r="F62" s="38"/>
      <c r="G62" s="36"/>
      <c r="H62" s="37"/>
      <c r="I62" s="39" t="str">
        <f aca="true">IF(F62="","",TODAY()-F62)</f>
        <v/>
      </c>
      <c r="J62" s="40" t="str">
        <f aca="false">IFERROR(INDEX('Azure Resource Map'!$H$2:$H$2001,MATCH($C62,'Azure Resource Map'!$A$2:$A$2001,0)),"")</f>
        <v/>
      </c>
      <c r="K62" s="40" t="str">
        <f aca="false">IFERROR(INDEX('Azure Resource Map'!$I$2:$I$2001,MATCH($C62,'Azure Resource Map'!$A$2:$A$2001,0)),"")</f>
        <v/>
      </c>
      <c r="L62" s="39" t="str">
        <f aca="false">IFERROR(INDEX('Azure Resource Map'!$J$2:$J$2001,MATCH($C62,'Azure Resource Map'!$A$2:$A$2001,0)),"")</f>
        <v/>
      </c>
      <c r="M62" s="40" t="str">
        <f aca="false">IFERROR(INDEX('Azure Resource Map'!$K$2:$K$2001,MATCH($C62,'Azure Resource Map'!$A$2:$A$2001,0)),"")</f>
        <v/>
      </c>
      <c r="N62" s="39" t="str">
        <f aca="false">IFERROR(INDEX('Azure Resource Map'!$L$2:$L$2001,MATCH($C62,'Azure Resource Map'!$A$2:$A$2001,0)),"")</f>
        <v/>
      </c>
      <c r="O62" s="39" t="str">
        <f aca="false">IFERROR(INDEX('Azure Resource Map'!$M$2:$M$2001,MATCH($C62,'Azure Resource Map'!$A$2:$A$2001,0)),"")</f>
        <v/>
      </c>
      <c r="P62" s="40" t="str">
        <f aca="false">IFERROR(INDEX('Azure Resource Map'!$D$2:$D$2001,MATCH($C62,'Azure Resource Map'!$A$2:$A$2001,0)),"")</f>
        <v/>
      </c>
      <c r="Q62" s="39" t="str">
        <f aca="false">IFERROR(INDEX('Azure Resource Map'!$E$2:$E$2001,MATCH($C62,'Azure Resource Map'!$A$2:$A$2001,0)),"")</f>
        <v/>
      </c>
      <c r="R62" s="39" t="str">
        <f aca="false">IFERROR(INDEX('Azure Resource Map'!$F$2:$F$2001,MATCH($C62,'Azure Resource Map'!$A$2:$A$2001,0)),"")</f>
        <v/>
      </c>
      <c r="S62" s="37"/>
      <c r="T62" s="39" t="str">
        <f aca="false">IF($C62="","",IF(ISNUMBER(MATCH($C62,'CA Exclusion Map'!$A$2:$A$2001,0)),"Yes","No"))</f>
        <v/>
      </c>
      <c r="U62" s="39" t="str">
        <f aca="false">IFERROR(INDEX('CA Exclusion Map'!$D$2:$D$2001,MATCH($C62,'CA Exclusion Map'!$A$2:$A$2001,0)),"")</f>
        <v/>
      </c>
      <c r="V62" s="40" t="str">
        <f aca="false">IFERROR(INDEX('CA Exclusion Map'!$E$2:$E$2001,MATCH($C62,'CA Exclusion Map'!$A$2:$A$2001,0)),"")</f>
        <v/>
      </c>
      <c r="W62" s="40" t="str">
        <f aca="false">IFERROR(INDEX('CA Exclusion Map'!$F$2:$F$2001,MATCH($C62,'CA Exclusion Map'!$A$2:$A$2001,0)),"")</f>
        <v/>
      </c>
      <c r="X62" s="36"/>
      <c r="Y62" s="37"/>
      <c r="Z62" s="38"/>
      <c r="AA62" s="38"/>
      <c r="AB62" s="39" t="str">
        <f aca="true">IF(T62="","",IF(T62&lt;&gt;"Yes","N/A",IF(AA62="","NO EXPIRY SET",IF(TODAY()&gt;AA62,"EXPIRED",IF(AA62-TODAY()&lt;=30,"Expiring Soon","Active")))))</f>
        <v/>
      </c>
      <c r="AC62" s="36"/>
      <c r="AD62" s="36"/>
      <c r="AE62" s="37"/>
      <c r="AF62" s="36"/>
      <c r="AG62" s="37"/>
      <c r="AH62" s="37"/>
      <c r="AI62" s="37"/>
      <c r="AJ62" s="37"/>
      <c r="AK62" s="38"/>
      <c r="AL62" s="37"/>
      <c r="AM62" s="37"/>
      <c r="AN62" s="41" t="str">
        <f aca="false">IF(AK62="","",AK62+90)</f>
        <v/>
      </c>
      <c r="AO62" s="39" t="str">
        <f aca="true">IF(C62="","",IF(AK62="","NOT REVIEWED",IF(TODAY()&gt;AN62,"OVERDUE",IF(AN62-TODAY()&lt;=14,"Due Soon","Current"))))</f>
        <v/>
      </c>
      <c r="AP62" s="36"/>
    </row>
    <row r="63" customFormat="false" ht="15" hidden="false" customHeight="false" outlineLevel="0" collapsed="false">
      <c r="A63" s="36"/>
      <c r="B63" s="36"/>
      <c r="C63" s="36"/>
      <c r="D63" s="37"/>
      <c r="E63" s="38"/>
      <c r="F63" s="38"/>
      <c r="G63" s="36"/>
      <c r="H63" s="37"/>
      <c r="I63" s="39" t="str">
        <f aca="true">IF(F63="","",TODAY()-F63)</f>
        <v/>
      </c>
      <c r="J63" s="40" t="str">
        <f aca="false">IFERROR(INDEX('Azure Resource Map'!$H$2:$H$2001,MATCH($C63,'Azure Resource Map'!$A$2:$A$2001,0)),"")</f>
        <v/>
      </c>
      <c r="K63" s="40" t="str">
        <f aca="false">IFERROR(INDEX('Azure Resource Map'!$I$2:$I$2001,MATCH($C63,'Azure Resource Map'!$A$2:$A$2001,0)),"")</f>
        <v/>
      </c>
      <c r="L63" s="39" t="str">
        <f aca="false">IFERROR(INDEX('Azure Resource Map'!$J$2:$J$2001,MATCH($C63,'Azure Resource Map'!$A$2:$A$2001,0)),"")</f>
        <v/>
      </c>
      <c r="M63" s="40" t="str">
        <f aca="false">IFERROR(INDEX('Azure Resource Map'!$K$2:$K$2001,MATCH($C63,'Azure Resource Map'!$A$2:$A$2001,0)),"")</f>
        <v/>
      </c>
      <c r="N63" s="39" t="str">
        <f aca="false">IFERROR(INDEX('Azure Resource Map'!$L$2:$L$2001,MATCH($C63,'Azure Resource Map'!$A$2:$A$2001,0)),"")</f>
        <v/>
      </c>
      <c r="O63" s="39" t="str">
        <f aca="false">IFERROR(INDEX('Azure Resource Map'!$M$2:$M$2001,MATCH($C63,'Azure Resource Map'!$A$2:$A$2001,0)),"")</f>
        <v/>
      </c>
      <c r="P63" s="40" t="str">
        <f aca="false">IFERROR(INDEX('Azure Resource Map'!$D$2:$D$2001,MATCH($C63,'Azure Resource Map'!$A$2:$A$2001,0)),"")</f>
        <v/>
      </c>
      <c r="Q63" s="39" t="str">
        <f aca="false">IFERROR(INDEX('Azure Resource Map'!$E$2:$E$2001,MATCH($C63,'Azure Resource Map'!$A$2:$A$2001,0)),"")</f>
        <v/>
      </c>
      <c r="R63" s="39" t="str">
        <f aca="false">IFERROR(INDEX('Azure Resource Map'!$F$2:$F$2001,MATCH($C63,'Azure Resource Map'!$A$2:$A$2001,0)),"")</f>
        <v/>
      </c>
      <c r="S63" s="37"/>
      <c r="T63" s="39" t="str">
        <f aca="false">IF($C63="","",IF(ISNUMBER(MATCH($C63,'CA Exclusion Map'!$A$2:$A$2001,0)),"Yes","No"))</f>
        <v/>
      </c>
      <c r="U63" s="39" t="str">
        <f aca="false">IFERROR(INDEX('CA Exclusion Map'!$D$2:$D$2001,MATCH($C63,'CA Exclusion Map'!$A$2:$A$2001,0)),"")</f>
        <v/>
      </c>
      <c r="V63" s="40" t="str">
        <f aca="false">IFERROR(INDEX('CA Exclusion Map'!$E$2:$E$2001,MATCH($C63,'CA Exclusion Map'!$A$2:$A$2001,0)),"")</f>
        <v/>
      </c>
      <c r="W63" s="40" t="str">
        <f aca="false">IFERROR(INDEX('CA Exclusion Map'!$F$2:$F$2001,MATCH($C63,'CA Exclusion Map'!$A$2:$A$2001,0)),"")</f>
        <v/>
      </c>
      <c r="X63" s="36"/>
      <c r="Y63" s="37"/>
      <c r="Z63" s="38"/>
      <c r="AA63" s="38"/>
      <c r="AB63" s="39" t="str">
        <f aca="true">IF(T63="","",IF(T63&lt;&gt;"Yes","N/A",IF(AA63="","NO EXPIRY SET",IF(TODAY()&gt;AA63,"EXPIRED",IF(AA63-TODAY()&lt;=30,"Expiring Soon","Active")))))</f>
        <v/>
      </c>
      <c r="AC63" s="36"/>
      <c r="AD63" s="36"/>
      <c r="AE63" s="37"/>
      <c r="AF63" s="36"/>
      <c r="AG63" s="37"/>
      <c r="AH63" s="37"/>
      <c r="AI63" s="37"/>
      <c r="AJ63" s="37"/>
      <c r="AK63" s="38"/>
      <c r="AL63" s="37"/>
      <c r="AM63" s="37"/>
      <c r="AN63" s="41" t="str">
        <f aca="false">IF(AK63="","",AK63+90)</f>
        <v/>
      </c>
      <c r="AO63" s="39" t="str">
        <f aca="true">IF(C63="","",IF(AK63="","NOT REVIEWED",IF(TODAY()&gt;AN63,"OVERDUE",IF(AN63-TODAY()&lt;=14,"Due Soon","Current"))))</f>
        <v/>
      </c>
      <c r="AP63" s="36"/>
    </row>
    <row r="64" customFormat="false" ht="15" hidden="false" customHeight="false" outlineLevel="0" collapsed="false">
      <c r="A64" s="36"/>
      <c r="B64" s="36"/>
      <c r="C64" s="36"/>
      <c r="D64" s="37"/>
      <c r="E64" s="38"/>
      <c r="F64" s="38"/>
      <c r="G64" s="36"/>
      <c r="H64" s="37"/>
      <c r="I64" s="39" t="str">
        <f aca="true">IF(F64="","",TODAY()-F64)</f>
        <v/>
      </c>
      <c r="J64" s="40" t="str">
        <f aca="false">IFERROR(INDEX('Azure Resource Map'!$H$2:$H$2001,MATCH($C64,'Azure Resource Map'!$A$2:$A$2001,0)),"")</f>
        <v/>
      </c>
      <c r="K64" s="40" t="str">
        <f aca="false">IFERROR(INDEX('Azure Resource Map'!$I$2:$I$2001,MATCH($C64,'Azure Resource Map'!$A$2:$A$2001,0)),"")</f>
        <v/>
      </c>
      <c r="L64" s="39" t="str">
        <f aca="false">IFERROR(INDEX('Azure Resource Map'!$J$2:$J$2001,MATCH($C64,'Azure Resource Map'!$A$2:$A$2001,0)),"")</f>
        <v/>
      </c>
      <c r="M64" s="40" t="str">
        <f aca="false">IFERROR(INDEX('Azure Resource Map'!$K$2:$K$2001,MATCH($C64,'Azure Resource Map'!$A$2:$A$2001,0)),"")</f>
        <v/>
      </c>
      <c r="N64" s="39" t="str">
        <f aca="false">IFERROR(INDEX('Azure Resource Map'!$L$2:$L$2001,MATCH($C64,'Azure Resource Map'!$A$2:$A$2001,0)),"")</f>
        <v/>
      </c>
      <c r="O64" s="39" t="str">
        <f aca="false">IFERROR(INDEX('Azure Resource Map'!$M$2:$M$2001,MATCH($C64,'Azure Resource Map'!$A$2:$A$2001,0)),"")</f>
        <v/>
      </c>
      <c r="P64" s="40" t="str">
        <f aca="false">IFERROR(INDEX('Azure Resource Map'!$D$2:$D$2001,MATCH($C64,'Azure Resource Map'!$A$2:$A$2001,0)),"")</f>
        <v/>
      </c>
      <c r="Q64" s="39" t="str">
        <f aca="false">IFERROR(INDEX('Azure Resource Map'!$E$2:$E$2001,MATCH($C64,'Azure Resource Map'!$A$2:$A$2001,0)),"")</f>
        <v/>
      </c>
      <c r="R64" s="39" t="str">
        <f aca="false">IFERROR(INDEX('Azure Resource Map'!$F$2:$F$2001,MATCH($C64,'Azure Resource Map'!$A$2:$A$2001,0)),"")</f>
        <v/>
      </c>
      <c r="S64" s="37"/>
      <c r="T64" s="39" t="str">
        <f aca="false">IF($C64="","",IF(ISNUMBER(MATCH($C64,'CA Exclusion Map'!$A$2:$A$2001,0)),"Yes","No"))</f>
        <v/>
      </c>
      <c r="U64" s="39" t="str">
        <f aca="false">IFERROR(INDEX('CA Exclusion Map'!$D$2:$D$2001,MATCH($C64,'CA Exclusion Map'!$A$2:$A$2001,0)),"")</f>
        <v/>
      </c>
      <c r="V64" s="40" t="str">
        <f aca="false">IFERROR(INDEX('CA Exclusion Map'!$E$2:$E$2001,MATCH($C64,'CA Exclusion Map'!$A$2:$A$2001,0)),"")</f>
        <v/>
      </c>
      <c r="W64" s="40" t="str">
        <f aca="false">IFERROR(INDEX('CA Exclusion Map'!$F$2:$F$2001,MATCH($C64,'CA Exclusion Map'!$A$2:$A$2001,0)),"")</f>
        <v/>
      </c>
      <c r="X64" s="36"/>
      <c r="Y64" s="37"/>
      <c r="Z64" s="38"/>
      <c r="AA64" s="38"/>
      <c r="AB64" s="39" t="str">
        <f aca="true">IF(T64="","",IF(T64&lt;&gt;"Yes","N/A",IF(AA64="","NO EXPIRY SET",IF(TODAY()&gt;AA64,"EXPIRED",IF(AA64-TODAY()&lt;=30,"Expiring Soon","Active")))))</f>
        <v/>
      </c>
      <c r="AC64" s="36"/>
      <c r="AD64" s="36"/>
      <c r="AE64" s="37"/>
      <c r="AF64" s="36"/>
      <c r="AG64" s="37"/>
      <c r="AH64" s="37"/>
      <c r="AI64" s="37"/>
      <c r="AJ64" s="37"/>
      <c r="AK64" s="38"/>
      <c r="AL64" s="37"/>
      <c r="AM64" s="37"/>
      <c r="AN64" s="41" t="str">
        <f aca="false">IF(AK64="","",AK64+90)</f>
        <v/>
      </c>
      <c r="AO64" s="39" t="str">
        <f aca="true">IF(C64="","",IF(AK64="","NOT REVIEWED",IF(TODAY()&gt;AN64,"OVERDUE",IF(AN64-TODAY()&lt;=14,"Due Soon","Current"))))</f>
        <v/>
      </c>
      <c r="AP64" s="36"/>
    </row>
    <row r="65" customFormat="false" ht="15" hidden="false" customHeight="false" outlineLevel="0" collapsed="false">
      <c r="A65" s="36"/>
      <c r="B65" s="36"/>
      <c r="C65" s="36"/>
      <c r="D65" s="37"/>
      <c r="E65" s="38"/>
      <c r="F65" s="38"/>
      <c r="G65" s="36"/>
      <c r="H65" s="37"/>
      <c r="I65" s="39" t="str">
        <f aca="true">IF(F65="","",TODAY()-F65)</f>
        <v/>
      </c>
      <c r="J65" s="40" t="str">
        <f aca="false">IFERROR(INDEX('Azure Resource Map'!$H$2:$H$2001,MATCH($C65,'Azure Resource Map'!$A$2:$A$2001,0)),"")</f>
        <v/>
      </c>
      <c r="K65" s="40" t="str">
        <f aca="false">IFERROR(INDEX('Azure Resource Map'!$I$2:$I$2001,MATCH($C65,'Azure Resource Map'!$A$2:$A$2001,0)),"")</f>
        <v/>
      </c>
      <c r="L65" s="39" t="str">
        <f aca="false">IFERROR(INDEX('Azure Resource Map'!$J$2:$J$2001,MATCH($C65,'Azure Resource Map'!$A$2:$A$2001,0)),"")</f>
        <v/>
      </c>
      <c r="M65" s="40" t="str">
        <f aca="false">IFERROR(INDEX('Azure Resource Map'!$K$2:$K$2001,MATCH($C65,'Azure Resource Map'!$A$2:$A$2001,0)),"")</f>
        <v/>
      </c>
      <c r="N65" s="39" t="str">
        <f aca="false">IFERROR(INDEX('Azure Resource Map'!$L$2:$L$2001,MATCH($C65,'Azure Resource Map'!$A$2:$A$2001,0)),"")</f>
        <v/>
      </c>
      <c r="O65" s="39" t="str">
        <f aca="false">IFERROR(INDEX('Azure Resource Map'!$M$2:$M$2001,MATCH($C65,'Azure Resource Map'!$A$2:$A$2001,0)),"")</f>
        <v/>
      </c>
      <c r="P65" s="40" t="str">
        <f aca="false">IFERROR(INDEX('Azure Resource Map'!$D$2:$D$2001,MATCH($C65,'Azure Resource Map'!$A$2:$A$2001,0)),"")</f>
        <v/>
      </c>
      <c r="Q65" s="39" t="str">
        <f aca="false">IFERROR(INDEX('Azure Resource Map'!$E$2:$E$2001,MATCH($C65,'Azure Resource Map'!$A$2:$A$2001,0)),"")</f>
        <v/>
      </c>
      <c r="R65" s="39" t="str">
        <f aca="false">IFERROR(INDEX('Azure Resource Map'!$F$2:$F$2001,MATCH($C65,'Azure Resource Map'!$A$2:$A$2001,0)),"")</f>
        <v/>
      </c>
      <c r="S65" s="37"/>
      <c r="T65" s="39" t="str">
        <f aca="false">IF($C65="","",IF(ISNUMBER(MATCH($C65,'CA Exclusion Map'!$A$2:$A$2001,0)),"Yes","No"))</f>
        <v/>
      </c>
      <c r="U65" s="39" t="str">
        <f aca="false">IFERROR(INDEX('CA Exclusion Map'!$D$2:$D$2001,MATCH($C65,'CA Exclusion Map'!$A$2:$A$2001,0)),"")</f>
        <v/>
      </c>
      <c r="V65" s="40" t="str">
        <f aca="false">IFERROR(INDEX('CA Exclusion Map'!$E$2:$E$2001,MATCH($C65,'CA Exclusion Map'!$A$2:$A$2001,0)),"")</f>
        <v/>
      </c>
      <c r="W65" s="40" t="str">
        <f aca="false">IFERROR(INDEX('CA Exclusion Map'!$F$2:$F$2001,MATCH($C65,'CA Exclusion Map'!$A$2:$A$2001,0)),"")</f>
        <v/>
      </c>
      <c r="X65" s="36"/>
      <c r="Y65" s="37"/>
      <c r="Z65" s="38"/>
      <c r="AA65" s="38"/>
      <c r="AB65" s="39" t="str">
        <f aca="true">IF(T65="","",IF(T65&lt;&gt;"Yes","N/A",IF(AA65="","NO EXPIRY SET",IF(TODAY()&gt;AA65,"EXPIRED",IF(AA65-TODAY()&lt;=30,"Expiring Soon","Active")))))</f>
        <v/>
      </c>
      <c r="AC65" s="36"/>
      <c r="AD65" s="36"/>
      <c r="AE65" s="37"/>
      <c r="AF65" s="36"/>
      <c r="AG65" s="37"/>
      <c r="AH65" s="37"/>
      <c r="AI65" s="37"/>
      <c r="AJ65" s="37"/>
      <c r="AK65" s="38"/>
      <c r="AL65" s="37"/>
      <c r="AM65" s="37"/>
      <c r="AN65" s="41" t="str">
        <f aca="false">IF(AK65="","",AK65+90)</f>
        <v/>
      </c>
      <c r="AO65" s="39" t="str">
        <f aca="true">IF(C65="","",IF(AK65="","NOT REVIEWED",IF(TODAY()&gt;AN65,"OVERDUE",IF(AN65-TODAY()&lt;=14,"Due Soon","Current"))))</f>
        <v/>
      </c>
      <c r="AP65" s="36"/>
    </row>
    <row r="66" customFormat="false" ht="15" hidden="false" customHeight="false" outlineLevel="0" collapsed="false">
      <c r="A66" s="36"/>
      <c r="B66" s="36"/>
      <c r="C66" s="36"/>
      <c r="D66" s="37"/>
      <c r="E66" s="38"/>
      <c r="F66" s="38"/>
      <c r="G66" s="36"/>
      <c r="H66" s="37"/>
      <c r="I66" s="39" t="str">
        <f aca="true">IF(F66="","",TODAY()-F66)</f>
        <v/>
      </c>
      <c r="J66" s="40" t="str">
        <f aca="false">IFERROR(INDEX('Azure Resource Map'!$H$2:$H$2001,MATCH($C66,'Azure Resource Map'!$A$2:$A$2001,0)),"")</f>
        <v/>
      </c>
      <c r="K66" s="40" t="str">
        <f aca="false">IFERROR(INDEX('Azure Resource Map'!$I$2:$I$2001,MATCH($C66,'Azure Resource Map'!$A$2:$A$2001,0)),"")</f>
        <v/>
      </c>
      <c r="L66" s="39" t="str">
        <f aca="false">IFERROR(INDEX('Azure Resource Map'!$J$2:$J$2001,MATCH($C66,'Azure Resource Map'!$A$2:$A$2001,0)),"")</f>
        <v/>
      </c>
      <c r="M66" s="40" t="str">
        <f aca="false">IFERROR(INDEX('Azure Resource Map'!$K$2:$K$2001,MATCH($C66,'Azure Resource Map'!$A$2:$A$2001,0)),"")</f>
        <v/>
      </c>
      <c r="N66" s="39" t="str">
        <f aca="false">IFERROR(INDEX('Azure Resource Map'!$L$2:$L$2001,MATCH($C66,'Azure Resource Map'!$A$2:$A$2001,0)),"")</f>
        <v/>
      </c>
      <c r="O66" s="39" t="str">
        <f aca="false">IFERROR(INDEX('Azure Resource Map'!$M$2:$M$2001,MATCH($C66,'Azure Resource Map'!$A$2:$A$2001,0)),"")</f>
        <v/>
      </c>
      <c r="P66" s="40" t="str">
        <f aca="false">IFERROR(INDEX('Azure Resource Map'!$D$2:$D$2001,MATCH($C66,'Azure Resource Map'!$A$2:$A$2001,0)),"")</f>
        <v/>
      </c>
      <c r="Q66" s="39" t="str">
        <f aca="false">IFERROR(INDEX('Azure Resource Map'!$E$2:$E$2001,MATCH($C66,'Azure Resource Map'!$A$2:$A$2001,0)),"")</f>
        <v/>
      </c>
      <c r="R66" s="39" t="str">
        <f aca="false">IFERROR(INDEX('Azure Resource Map'!$F$2:$F$2001,MATCH($C66,'Azure Resource Map'!$A$2:$A$2001,0)),"")</f>
        <v/>
      </c>
      <c r="S66" s="37"/>
      <c r="T66" s="39" t="str">
        <f aca="false">IF($C66="","",IF(ISNUMBER(MATCH($C66,'CA Exclusion Map'!$A$2:$A$2001,0)),"Yes","No"))</f>
        <v/>
      </c>
      <c r="U66" s="39" t="str">
        <f aca="false">IFERROR(INDEX('CA Exclusion Map'!$D$2:$D$2001,MATCH($C66,'CA Exclusion Map'!$A$2:$A$2001,0)),"")</f>
        <v/>
      </c>
      <c r="V66" s="40" t="str">
        <f aca="false">IFERROR(INDEX('CA Exclusion Map'!$E$2:$E$2001,MATCH($C66,'CA Exclusion Map'!$A$2:$A$2001,0)),"")</f>
        <v/>
      </c>
      <c r="W66" s="40" t="str">
        <f aca="false">IFERROR(INDEX('CA Exclusion Map'!$F$2:$F$2001,MATCH($C66,'CA Exclusion Map'!$A$2:$A$2001,0)),"")</f>
        <v/>
      </c>
      <c r="X66" s="36"/>
      <c r="Y66" s="37"/>
      <c r="Z66" s="38"/>
      <c r="AA66" s="38"/>
      <c r="AB66" s="39" t="str">
        <f aca="true">IF(T66="","",IF(T66&lt;&gt;"Yes","N/A",IF(AA66="","NO EXPIRY SET",IF(TODAY()&gt;AA66,"EXPIRED",IF(AA66-TODAY()&lt;=30,"Expiring Soon","Active")))))</f>
        <v/>
      </c>
      <c r="AC66" s="36"/>
      <c r="AD66" s="36"/>
      <c r="AE66" s="37"/>
      <c r="AF66" s="36"/>
      <c r="AG66" s="37"/>
      <c r="AH66" s="37"/>
      <c r="AI66" s="37"/>
      <c r="AJ66" s="37"/>
      <c r="AK66" s="38"/>
      <c r="AL66" s="37"/>
      <c r="AM66" s="37"/>
      <c r="AN66" s="41" t="str">
        <f aca="false">IF(AK66="","",AK66+90)</f>
        <v/>
      </c>
      <c r="AO66" s="39" t="str">
        <f aca="true">IF(C66="","",IF(AK66="","NOT REVIEWED",IF(TODAY()&gt;AN66,"OVERDUE",IF(AN66-TODAY()&lt;=14,"Due Soon","Current"))))</f>
        <v/>
      </c>
      <c r="AP66" s="36"/>
    </row>
    <row r="67" customFormat="false" ht="15" hidden="false" customHeight="false" outlineLevel="0" collapsed="false">
      <c r="A67" s="36"/>
      <c r="B67" s="36"/>
      <c r="C67" s="36"/>
      <c r="D67" s="37"/>
      <c r="E67" s="38"/>
      <c r="F67" s="38"/>
      <c r="G67" s="36"/>
      <c r="H67" s="37"/>
      <c r="I67" s="39" t="str">
        <f aca="true">IF(F67="","",TODAY()-F67)</f>
        <v/>
      </c>
      <c r="J67" s="40" t="str">
        <f aca="false">IFERROR(INDEX('Azure Resource Map'!$H$2:$H$2001,MATCH($C67,'Azure Resource Map'!$A$2:$A$2001,0)),"")</f>
        <v/>
      </c>
      <c r="K67" s="40" t="str">
        <f aca="false">IFERROR(INDEX('Azure Resource Map'!$I$2:$I$2001,MATCH($C67,'Azure Resource Map'!$A$2:$A$2001,0)),"")</f>
        <v/>
      </c>
      <c r="L67" s="39" t="str">
        <f aca="false">IFERROR(INDEX('Azure Resource Map'!$J$2:$J$2001,MATCH($C67,'Azure Resource Map'!$A$2:$A$2001,0)),"")</f>
        <v/>
      </c>
      <c r="M67" s="40" t="str">
        <f aca="false">IFERROR(INDEX('Azure Resource Map'!$K$2:$K$2001,MATCH($C67,'Azure Resource Map'!$A$2:$A$2001,0)),"")</f>
        <v/>
      </c>
      <c r="N67" s="39" t="str">
        <f aca="false">IFERROR(INDEX('Azure Resource Map'!$L$2:$L$2001,MATCH($C67,'Azure Resource Map'!$A$2:$A$2001,0)),"")</f>
        <v/>
      </c>
      <c r="O67" s="39" t="str">
        <f aca="false">IFERROR(INDEX('Azure Resource Map'!$M$2:$M$2001,MATCH($C67,'Azure Resource Map'!$A$2:$A$2001,0)),"")</f>
        <v/>
      </c>
      <c r="P67" s="40" t="str">
        <f aca="false">IFERROR(INDEX('Azure Resource Map'!$D$2:$D$2001,MATCH($C67,'Azure Resource Map'!$A$2:$A$2001,0)),"")</f>
        <v/>
      </c>
      <c r="Q67" s="39" t="str">
        <f aca="false">IFERROR(INDEX('Azure Resource Map'!$E$2:$E$2001,MATCH($C67,'Azure Resource Map'!$A$2:$A$2001,0)),"")</f>
        <v/>
      </c>
      <c r="R67" s="39" t="str">
        <f aca="false">IFERROR(INDEX('Azure Resource Map'!$F$2:$F$2001,MATCH($C67,'Azure Resource Map'!$A$2:$A$2001,0)),"")</f>
        <v/>
      </c>
      <c r="S67" s="37"/>
      <c r="T67" s="39" t="str">
        <f aca="false">IF($C67="","",IF(ISNUMBER(MATCH($C67,'CA Exclusion Map'!$A$2:$A$2001,0)),"Yes","No"))</f>
        <v/>
      </c>
      <c r="U67" s="39" t="str">
        <f aca="false">IFERROR(INDEX('CA Exclusion Map'!$D$2:$D$2001,MATCH($C67,'CA Exclusion Map'!$A$2:$A$2001,0)),"")</f>
        <v/>
      </c>
      <c r="V67" s="40" t="str">
        <f aca="false">IFERROR(INDEX('CA Exclusion Map'!$E$2:$E$2001,MATCH($C67,'CA Exclusion Map'!$A$2:$A$2001,0)),"")</f>
        <v/>
      </c>
      <c r="W67" s="40" t="str">
        <f aca="false">IFERROR(INDEX('CA Exclusion Map'!$F$2:$F$2001,MATCH($C67,'CA Exclusion Map'!$A$2:$A$2001,0)),"")</f>
        <v/>
      </c>
      <c r="X67" s="36"/>
      <c r="Y67" s="37"/>
      <c r="Z67" s="38"/>
      <c r="AA67" s="38"/>
      <c r="AB67" s="39" t="str">
        <f aca="true">IF(T67="","",IF(T67&lt;&gt;"Yes","N/A",IF(AA67="","NO EXPIRY SET",IF(TODAY()&gt;AA67,"EXPIRED",IF(AA67-TODAY()&lt;=30,"Expiring Soon","Active")))))</f>
        <v/>
      </c>
      <c r="AC67" s="36"/>
      <c r="AD67" s="36"/>
      <c r="AE67" s="37"/>
      <c r="AF67" s="36"/>
      <c r="AG67" s="37"/>
      <c r="AH67" s="37"/>
      <c r="AI67" s="37"/>
      <c r="AJ67" s="37"/>
      <c r="AK67" s="38"/>
      <c r="AL67" s="37"/>
      <c r="AM67" s="37"/>
      <c r="AN67" s="41" t="str">
        <f aca="false">IF(AK67="","",AK67+90)</f>
        <v/>
      </c>
      <c r="AO67" s="39" t="str">
        <f aca="true">IF(C67="","",IF(AK67="","NOT REVIEWED",IF(TODAY()&gt;AN67,"OVERDUE",IF(AN67-TODAY()&lt;=14,"Due Soon","Current"))))</f>
        <v/>
      </c>
      <c r="AP67" s="36"/>
    </row>
    <row r="68" customFormat="false" ht="15" hidden="false" customHeight="false" outlineLevel="0" collapsed="false">
      <c r="A68" s="36"/>
      <c r="B68" s="36"/>
      <c r="C68" s="36"/>
      <c r="D68" s="37"/>
      <c r="E68" s="38"/>
      <c r="F68" s="38"/>
      <c r="G68" s="36"/>
      <c r="H68" s="37"/>
      <c r="I68" s="39" t="str">
        <f aca="true">IF(F68="","",TODAY()-F68)</f>
        <v/>
      </c>
      <c r="J68" s="40" t="str">
        <f aca="false">IFERROR(INDEX('Azure Resource Map'!$H$2:$H$2001,MATCH($C68,'Azure Resource Map'!$A$2:$A$2001,0)),"")</f>
        <v/>
      </c>
      <c r="K68" s="40" t="str">
        <f aca="false">IFERROR(INDEX('Azure Resource Map'!$I$2:$I$2001,MATCH($C68,'Azure Resource Map'!$A$2:$A$2001,0)),"")</f>
        <v/>
      </c>
      <c r="L68" s="39" t="str">
        <f aca="false">IFERROR(INDEX('Azure Resource Map'!$J$2:$J$2001,MATCH($C68,'Azure Resource Map'!$A$2:$A$2001,0)),"")</f>
        <v/>
      </c>
      <c r="M68" s="40" t="str">
        <f aca="false">IFERROR(INDEX('Azure Resource Map'!$K$2:$K$2001,MATCH($C68,'Azure Resource Map'!$A$2:$A$2001,0)),"")</f>
        <v/>
      </c>
      <c r="N68" s="39" t="str">
        <f aca="false">IFERROR(INDEX('Azure Resource Map'!$L$2:$L$2001,MATCH($C68,'Azure Resource Map'!$A$2:$A$2001,0)),"")</f>
        <v/>
      </c>
      <c r="O68" s="39" t="str">
        <f aca="false">IFERROR(INDEX('Azure Resource Map'!$M$2:$M$2001,MATCH($C68,'Azure Resource Map'!$A$2:$A$2001,0)),"")</f>
        <v/>
      </c>
      <c r="P68" s="40" t="str">
        <f aca="false">IFERROR(INDEX('Azure Resource Map'!$D$2:$D$2001,MATCH($C68,'Azure Resource Map'!$A$2:$A$2001,0)),"")</f>
        <v/>
      </c>
      <c r="Q68" s="39" t="str">
        <f aca="false">IFERROR(INDEX('Azure Resource Map'!$E$2:$E$2001,MATCH($C68,'Azure Resource Map'!$A$2:$A$2001,0)),"")</f>
        <v/>
      </c>
      <c r="R68" s="39" t="str">
        <f aca="false">IFERROR(INDEX('Azure Resource Map'!$F$2:$F$2001,MATCH($C68,'Azure Resource Map'!$A$2:$A$2001,0)),"")</f>
        <v/>
      </c>
      <c r="S68" s="37"/>
      <c r="T68" s="39" t="str">
        <f aca="false">IF($C68="","",IF(ISNUMBER(MATCH($C68,'CA Exclusion Map'!$A$2:$A$2001,0)),"Yes","No"))</f>
        <v/>
      </c>
      <c r="U68" s="39" t="str">
        <f aca="false">IFERROR(INDEX('CA Exclusion Map'!$D$2:$D$2001,MATCH($C68,'CA Exclusion Map'!$A$2:$A$2001,0)),"")</f>
        <v/>
      </c>
      <c r="V68" s="40" t="str">
        <f aca="false">IFERROR(INDEX('CA Exclusion Map'!$E$2:$E$2001,MATCH($C68,'CA Exclusion Map'!$A$2:$A$2001,0)),"")</f>
        <v/>
      </c>
      <c r="W68" s="40" t="str">
        <f aca="false">IFERROR(INDEX('CA Exclusion Map'!$F$2:$F$2001,MATCH($C68,'CA Exclusion Map'!$A$2:$A$2001,0)),"")</f>
        <v/>
      </c>
      <c r="X68" s="36"/>
      <c r="Y68" s="37"/>
      <c r="Z68" s="38"/>
      <c r="AA68" s="38"/>
      <c r="AB68" s="39" t="str">
        <f aca="true">IF(T68="","",IF(T68&lt;&gt;"Yes","N/A",IF(AA68="","NO EXPIRY SET",IF(TODAY()&gt;AA68,"EXPIRED",IF(AA68-TODAY()&lt;=30,"Expiring Soon","Active")))))</f>
        <v/>
      </c>
      <c r="AC68" s="36"/>
      <c r="AD68" s="36"/>
      <c r="AE68" s="37"/>
      <c r="AF68" s="36"/>
      <c r="AG68" s="37"/>
      <c r="AH68" s="37"/>
      <c r="AI68" s="37"/>
      <c r="AJ68" s="37"/>
      <c r="AK68" s="38"/>
      <c r="AL68" s="37"/>
      <c r="AM68" s="37"/>
      <c r="AN68" s="41" t="str">
        <f aca="false">IF(AK68="","",AK68+90)</f>
        <v/>
      </c>
      <c r="AO68" s="39" t="str">
        <f aca="true">IF(C68="","",IF(AK68="","NOT REVIEWED",IF(TODAY()&gt;AN68,"OVERDUE",IF(AN68-TODAY()&lt;=14,"Due Soon","Current"))))</f>
        <v/>
      </c>
      <c r="AP68" s="36"/>
    </row>
    <row r="69" customFormat="false" ht="15" hidden="false" customHeight="false" outlineLevel="0" collapsed="false">
      <c r="A69" s="36"/>
      <c r="B69" s="36"/>
      <c r="C69" s="36"/>
      <c r="D69" s="37"/>
      <c r="E69" s="38"/>
      <c r="F69" s="38"/>
      <c r="G69" s="36"/>
      <c r="H69" s="37"/>
      <c r="I69" s="39" t="str">
        <f aca="true">IF(F69="","",TODAY()-F69)</f>
        <v/>
      </c>
      <c r="J69" s="40" t="str">
        <f aca="false">IFERROR(INDEX('Azure Resource Map'!$H$2:$H$2001,MATCH($C69,'Azure Resource Map'!$A$2:$A$2001,0)),"")</f>
        <v/>
      </c>
      <c r="K69" s="40" t="str">
        <f aca="false">IFERROR(INDEX('Azure Resource Map'!$I$2:$I$2001,MATCH($C69,'Azure Resource Map'!$A$2:$A$2001,0)),"")</f>
        <v/>
      </c>
      <c r="L69" s="39" t="str">
        <f aca="false">IFERROR(INDEX('Azure Resource Map'!$J$2:$J$2001,MATCH($C69,'Azure Resource Map'!$A$2:$A$2001,0)),"")</f>
        <v/>
      </c>
      <c r="M69" s="40" t="str">
        <f aca="false">IFERROR(INDEX('Azure Resource Map'!$K$2:$K$2001,MATCH($C69,'Azure Resource Map'!$A$2:$A$2001,0)),"")</f>
        <v/>
      </c>
      <c r="N69" s="39" t="str">
        <f aca="false">IFERROR(INDEX('Azure Resource Map'!$L$2:$L$2001,MATCH($C69,'Azure Resource Map'!$A$2:$A$2001,0)),"")</f>
        <v/>
      </c>
      <c r="O69" s="39" t="str">
        <f aca="false">IFERROR(INDEX('Azure Resource Map'!$M$2:$M$2001,MATCH($C69,'Azure Resource Map'!$A$2:$A$2001,0)),"")</f>
        <v/>
      </c>
      <c r="P69" s="40" t="str">
        <f aca="false">IFERROR(INDEX('Azure Resource Map'!$D$2:$D$2001,MATCH($C69,'Azure Resource Map'!$A$2:$A$2001,0)),"")</f>
        <v/>
      </c>
      <c r="Q69" s="39" t="str">
        <f aca="false">IFERROR(INDEX('Azure Resource Map'!$E$2:$E$2001,MATCH($C69,'Azure Resource Map'!$A$2:$A$2001,0)),"")</f>
        <v/>
      </c>
      <c r="R69" s="39" t="str">
        <f aca="false">IFERROR(INDEX('Azure Resource Map'!$F$2:$F$2001,MATCH($C69,'Azure Resource Map'!$A$2:$A$2001,0)),"")</f>
        <v/>
      </c>
      <c r="S69" s="37"/>
      <c r="T69" s="39" t="str">
        <f aca="false">IF($C69="","",IF(ISNUMBER(MATCH($C69,'CA Exclusion Map'!$A$2:$A$2001,0)),"Yes","No"))</f>
        <v/>
      </c>
      <c r="U69" s="39" t="str">
        <f aca="false">IFERROR(INDEX('CA Exclusion Map'!$D$2:$D$2001,MATCH($C69,'CA Exclusion Map'!$A$2:$A$2001,0)),"")</f>
        <v/>
      </c>
      <c r="V69" s="40" t="str">
        <f aca="false">IFERROR(INDEX('CA Exclusion Map'!$E$2:$E$2001,MATCH($C69,'CA Exclusion Map'!$A$2:$A$2001,0)),"")</f>
        <v/>
      </c>
      <c r="W69" s="40" t="str">
        <f aca="false">IFERROR(INDEX('CA Exclusion Map'!$F$2:$F$2001,MATCH($C69,'CA Exclusion Map'!$A$2:$A$2001,0)),"")</f>
        <v/>
      </c>
      <c r="X69" s="36"/>
      <c r="Y69" s="37"/>
      <c r="Z69" s="38"/>
      <c r="AA69" s="38"/>
      <c r="AB69" s="39" t="str">
        <f aca="true">IF(T69="","",IF(T69&lt;&gt;"Yes","N/A",IF(AA69="","NO EXPIRY SET",IF(TODAY()&gt;AA69,"EXPIRED",IF(AA69-TODAY()&lt;=30,"Expiring Soon","Active")))))</f>
        <v/>
      </c>
      <c r="AC69" s="36"/>
      <c r="AD69" s="36"/>
      <c r="AE69" s="37"/>
      <c r="AF69" s="36"/>
      <c r="AG69" s="37"/>
      <c r="AH69" s="37"/>
      <c r="AI69" s="37"/>
      <c r="AJ69" s="37"/>
      <c r="AK69" s="38"/>
      <c r="AL69" s="37"/>
      <c r="AM69" s="37"/>
      <c r="AN69" s="41" t="str">
        <f aca="false">IF(AK69="","",AK69+90)</f>
        <v/>
      </c>
      <c r="AO69" s="39" t="str">
        <f aca="true">IF(C69="","",IF(AK69="","NOT REVIEWED",IF(TODAY()&gt;AN69,"OVERDUE",IF(AN69-TODAY()&lt;=14,"Due Soon","Current"))))</f>
        <v/>
      </c>
      <c r="AP69" s="36"/>
    </row>
    <row r="70" customFormat="false" ht="15" hidden="false" customHeight="false" outlineLevel="0" collapsed="false">
      <c r="A70" s="36"/>
      <c r="B70" s="36"/>
      <c r="C70" s="36"/>
      <c r="D70" s="37"/>
      <c r="E70" s="38"/>
      <c r="F70" s="38"/>
      <c r="G70" s="36"/>
      <c r="H70" s="37"/>
      <c r="I70" s="39" t="str">
        <f aca="true">IF(F70="","",TODAY()-F70)</f>
        <v/>
      </c>
      <c r="J70" s="40" t="str">
        <f aca="false">IFERROR(INDEX('Azure Resource Map'!$H$2:$H$2001,MATCH($C70,'Azure Resource Map'!$A$2:$A$2001,0)),"")</f>
        <v/>
      </c>
      <c r="K70" s="40" t="str">
        <f aca="false">IFERROR(INDEX('Azure Resource Map'!$I$2:$I$2001,MATCH($C70,'Azure Resource Map'!$A$2:$A$2001,0)),"")</f>
        <v/>
      </c>
      <c r="L70" s="39" t="str">
        <f aca="false">IFERROR(INDEX('Azure Resource Map'!$J$2:$J$2001,MATCH($C70,'Azure Resource Map'!$A$2:$A$2001,0)),"")</f>
        <v/>
      </c>
      <c r="M70" s="40" t="str">
        <f aca="false">IFERROR(INDEX('Azure Resource Map'!$K$2:$K$2001,MATCH($C70,'Azure Resource Map'!$A$2:$A$2001,0)),"")</f>
        <v/>
      </c>
      <c r="N70" s="39" t="str">
        <f aca="false">IFERROR(INDEX('Azure Resource Map'!$L$2:$L$2001,MATCH($C70,'Azure Resource Map'!$A$2:$A$2001,0)),"")</f>
        <v/>
      </c>
      <c r="O70" s="39" t="str">
        <f aca="false">IFERROR(INDEX('Azure Resource Map'!$M$2:$M$2001,MATCH($C70,'Azure Resource Map'!$A$2:$A$2001,0)),"")</f>
        <v/>
      </c>
      <c r="P70" s="40" t="str">
        <f aca="false">IFERROR(INDEX('Azure Resource Map'!$D$2:$D$2001,MATCH($C70,'Azure Resource Map'!$A$2:$A$2001,0)),"")</f>
        <v/>
      </c>
      <c r="Q70" s="39" t="str">
        <f aca="false">IFERROR(INDEX('Azure Resource Map'!$E$2:$E$2001,MATCH($C70,'Azure Resource Map'!$A$2:$A$2001,0)),"")</f>
        <v/>
      </c>
      <c r="R70" s="39" t="str">
        <f aca="false">IFERROR(INDEX('Azure Resource Map'!$F$2:$F$2001,MATCH($C70,'Azure Resource Map'!$A$2:$A$2001,0)),"")</f>
        <v/>
      </c>
      <c r="S70" s="37"/>
      <c r="T70" s="39" t="str">
        <f aca="false">IF($C70="","",IF(ISNUMBER(MATCH($C70,'CA Exclusion Map'!$A$2:$A$2001,0)),"Yes","No"))</f>
        <v/>
      </c>
      <c r="U70" s="39" t="str">
        <f aca="false">IFERROR(INDEX('CA Exclusion Map'!$D$2:$D$2001,MATCH($C70,'CA Exclusion Map'!$A$2:$A$2001,0)),"")</f>
        <v/>
      </c>
      <c r="V70" s="40" t="str">
        <f aca="false">IFERROR(INDEX('CA Exclusion Map'!$E$2:$E$2001,MATCH($C70,'CA Exclusion Map'!$A$2:$A$2001,0)),"")</f>
        <v/>
      </c>
      <c r="W70" s="40" t="str">
        <f aca="false">IFERROR(INDEX('CA Exclusion Map'!$F$2:$F$2001,MATCH($C70,'CA Exclusion Map'!$A$2:$A$2001,0)),"")</f>
        <v/>
      </c>
      <c r="X70" s="36"/>
      <c r="Y70" s="37"/>
      <c r="Z70" s="38"/>
      <c r="AA70" s="38"/>
      <c r="AB70" s="39" t="str">
        <f aca="true">IF(T70="","",IF(T70&lt;&gt;"Yes","N/A",IF(AA70="","NO EXPIRY SET",IF(TODAY()&gt;AA70,"EXPIRED",IF(AA70-TODAY()&lt;=30,"Expiring Soon","Active")))))</f>
        <v/>
      </c>
      <c r="AC70" s="36"/>
      <c r="AD70" s="36"/>
      <c r="AE70" s="37"/>
      <c r="AF70" s="36"/>
      <c r="AG70" s="37"/>
      <c r="AH70" s="37"/>
      <c r="AI70" s="37"/>
      <c r="AJ70" s="37"/>
      <c r="AK70" s="38"/>
      <c r="AL70" s="37"/>
      <c r="AM70" s="37"/>
      <c r="AN70" s="41" t="str">
        <f aca="false">IF(AK70="","",AK70+90)</f>
        <v/>
      </c>
      <c r="AO70" s="39" t="str">
        <f aca="true">IF(C70="","",IF(AK70="","NOT REVIEWED",IF(TODAY()&gt;AN70,"OVERDUE",IF(AN70-TODAY()&lt;=14,"Due Soon","Current"))))</f>
        <v/>
      </c>
      <c r="AP70" s="36"/>
    </row>
    <row r="71" customFormat="false" ht="15" hidden="false" customHeight="false" outlineLevel="0" collapsed="false">
      <c r="A71" s="36"/>
      <c r="B71" s="36"/>
      <c r="C71" s="36"/>
      <c r="D71" s="37"/>
      <c r="E71" s="38"/>
      <c r="F71" s="38"/>
      <c r="G71" s="36"/>
      <c r="H71" s="37"/>
      <c r="I71" s="39" t="str">
        <f aca="true">IF(F71="","",TODAY()-F71)</f>
        <v/>
      </c>
      <c r="J71" s="40" t="str">
        <f aca="false">IFERROR(INDEX('Azure Resource Map'!$H$2:$H$2001,MATCH($C71,'Azure Resource Map'!$A$2:$A$2001,0)),"")</f>
        <v/>
      </c>
      <c r="K71" s="40" t="str">
        <f aca="false">IFERROR(INDEX('Azure Resource Map'!$I$2:$I$2001,MATCH($C71,'Azure Resource Map'!$A$2:$A$2001,0)),"")</f>
        <v/>
      </c>
      <c r="L71" s="39" t="str">
        <f aca="false">IFERROR(INDEX('Azure Resource Map'!$J$2:$J$2001,MATCH($C71,'Azure Resource Map'!$A$2:$A$2001,0)),"")</f>
        <v/>
      </c>
      <c r="M71" s="40" t="str">
        <f aca="false">IFERROR(INDEX('Azure Resource Map'!$K$2:$K$2001,MATCH($C71,'Azure Resource Map'!$A$2:$A$2001,0)),"")</f>
        <v/>
      </c>
      <c r="N71" s="39" t="str">
        <f aca="false">IFERROR(INDEX('Azure Resource Map'!$L$2:$L$2001,MATCH($C71,'Azure Resource Map'!$A$2:$A$2001,0)),"")</f>
        <v/>
      </c>
      <c r="O71" s="39" t="str">
        <f aca="false">IFERROR(INDEX('Azure Resource Map'!$M$2:$M$2001,MATCH($C71,'Azure Resource Map'!$A$2:$A$2001,0)),"")</f>
        <v/>
      </c>
      <c r="P71" s="40" t="str">
        <f aca="false">IFERROR(INDEX('Azure Resource Map'!$D$2:$D$2001,MATCH($C71,'Azure Resource Map'!$A$2:$A$2001,0)),"")</f>
        <v/>
      </c>
      <c r="Q71" s="39" t="str">
        <f aca="false">IFERROR(INDEX('Azure Resource Map'!$E$2:$E$2001,MATCH($C71,'Azure Resource Map'!$A$2:$A$2001,0)),"")</f>
        <v/>
      </c>
      <c r="R71" s="39" t="str">
        <f aca="false">IFERROR(INDEX('Azure Resource Map'!$F$2:$F$2001,MATCH($C71,'Azure Resource Map'!$A$2:$A$2001,0)),"")</f>
        <v/>
      </c>
      <c r="S71" s="37"/>
      <c r="T71" s="39" t="str">
        <f aca="false">IF($C71="","",IF(ISNUMBER(MATCH($C71,'CA Exclusion Map'!$A$2:$A$2001,0)),"Yes","No"))</f>
        <v/>
      </c>
      <c r="U71" s="39" t="str">
        <f aca="false">IFERROR(INDEX('CA Exclusion Map'!$D$2:$D$2001,MATCH($C71,'CA Exclusion Map'!$A$2:$A$2001,0)),"")</f>
        <v/>
      </c>
      <c r="V71" s="40" t="str">
        <f aca="false">IFERROR(INDEX('CA Exclusion Map'!$E$2:$E$2001,MATCH($C71,'CA Exclusion Map'!$A$2:$A$2001,0)),"")</f>
        <v/>
      </c>
      <c r="W71" s="40" t="str">
        <f aca="false">IFERROR(INDEX('CA Exclusion Map'!$F$2:$F$2001,MATCH($C71,'CA Exclusion Map'!$A$2:$A$2001,0)),"")</f>
        <v/>
      </c>
      <c r="X71" s="36"/>
      <c r="Y71" s="37"/>
      <c r="Z71" s="38"/>
      <c r="AA71" s="38"/>
      <c r="AB71" s="39" t="str">
        <f aca="true">IF(T71="","",IF(T71&lt;&gt;"Yes","N/A",IF(AA71="","NO EXPIRY SET",IF(TODAY()&gt;AA71,"EXPIRED",IF(AA71-TODAY()&lt;=30,"Expiring Soon","Active")))))</f>
        <v/>
      </c>
      <c r="AC71" s="36"/>
      <c r="AD71" s="36"/>
      <c r="AE71" s="37"/>
      <c r="AF71" s="36"/>
      <c r="AG71" s="37"/>
      <c r="AH71" s="37"/>
      <c r="AI71" s="37"/>
      <c r="AJ71" s="37"/>
      <c r="AK71" s="38"/>
      <c r="AL71" s="37"/>
      <c r="AM71" s="37"/>
      <c r="AN71" s="41" t="str">
        <f aca="false">IF(AK71="","",AK71+90)</f>
        <v/>
      </c>
      <c r="AO71" s="39" t="str">
        <f aca="true">IF(C71="","",IF(AK71="","NOT REVIEWED",IF(TODAY()&gt;AN71,"OVERDUE",IF(AN71-TODAY()&lt;=14,"Due Soon","Current"))))</f>
        <v/>
      </c>
      <c r="AP71" s="36"/>
    </row>
    <row r="72" customFormat="false" ht="15" hidden="false" customHeight="false" outlineLevel="0" collapsed="false">
      <c r="A72" s="36"/>
      <c r="B72" s="36"/>
      <c r="C72" s="36"/>
      <c r="D72" s="37"/>
      <c r="E72" s="38"/>
      <c r="F72" s="38"/>
      <c r="G72" s="36"/>
      <c r="H72" s="37"/>
      <c r="I72" s="39" t="str">
        <f aca="true">IF(F72="","",TODAY()-F72)</f>
        <v/>
      </c>
      <c r="J72" s="40" t="str">
        <f aca="false">IFERROR(INDEX('Azure Resource Map'!$H$2:$H$2001,MATCH($C72,'Azure Resource Map'!$A$2:$A$2001,0)),"")</f>
        <v/>
      </c>
      <c r="K72" s="40" t="str">
        <f aca="false">IFERROR(INDEX('Azure Resource Map'!$I$2:$I$2001,MATCH($C72,'Azure Resource Map'!$A$2:$A$2001,0)),"")</f>
        <v/>
      </c>
      <c r="L72" s="39" t="str">
        <f aca="false">IFERROR(INDEX('Azure Resource Map'!$J$2:$J$2001,MATCH($C72,'Azure Resource Map'!$A$2:$A$2001,0)),"")</f>
        <v/>
      </c>
      <c r="M72" s="40" t="str">
        <f aca="false">IFERROR(INDEX('Azure Resource Map'!$K$2:$K$2001,MATCH($C72,'Azure Resource Map'!$A$2:$A$2001,0)),"")</f>
        <v/>
      </c>
      <c r="N72" s="39" t="str">
        <f aca="false">IFERROR(INDEX('Azure Resource Map'!$L$2:$L$2001,MATCH($C72,'Azure Resource Map'!$A$2:$A$2001,0)),"")</f>
        <v/>
      </c>
      <c r="O72" s="39" t="str">
        <f aca="false">IFERROR(INDEX('Azure Resource Map'!$M$2:$M$2001,MATCH($C72,'Azure Resource Map'!$A$2:$A$2001,0)),"")</f>
        <v/>
      </c>
      <c r="P72" s="40" t="str">
        <f aca="false">IFERROR(INDEX('Azure Resource Map'!$D$2:$D$2001,MATCH($C72,'Azure Resource Map'!$A$2:$A$2001,0)),"")</f>
        <v/>
      </c>
      <c r="Q72" s="39" t="str">
        <f aca="false">IFERROR(INDEX('Azure Resource Map'!$E$2:$E$2001,MATCH($C72,'Azure Resource Map'!$A$2:$A$2001,0)),"")</f>
        <v/>
      </c>
      <c r="R72" s="39" t="str">
        <f aca="false">IFERROR(INDEX('Azure Resource Map'!$F$2:$F$2001,MATCH($C72,'Azure Resource Map'!$A$2:$A$2001,0)),"")</f>
        <v/>
      </c>
      <c r="S72" s="37"/>
      <c r="T72" s="39" t="str">
        <f aca="false">IF($C72="","",IF(ISNUMBER(MATCH($C72,'CA Exclusion Map'!$A$2:$A$2001,0)),"Yes","No"))</f>
        <v/>
      </c>
      <c r="U72" s="39" t="str">
        <f aca="false">IFERROR(INDEX('CA Exclusion Map'!$D$2:$D$2001,MATCH($C72,'CA Exclusion Map'!$A$2:$A$2001,0)),"")</f>
        <v/>
      </c>
      <c r="V72" s="40" t="str">
        <f aca="false">IFERROR(INDEX('CA Exclusion Map'!$E$2:$E$2001,MATCH($C72,'CA Exclusion Map'!$A$2:$A$2001,0)),"")</f>
        <v/>
      </c>
      <c r="W72" s="40" t="str">
        <f aca="false">IFERROR(INDEX('CA Exclusion Map'!$F$2:$F$2001,MATCH($C72,'CA Exclusion Map'!$A$2:$A$2001,0)),"")</f>
        <v/>
      </c>
      <c r="X72" s="36"/>
      <c r="Y72" s="37"/>
      <c r="Z72" s="38"/>
      <c r="AA72" s="38"/>
      <c r="AB72" s="39" t="str">
        <f aca="true">IF(T72="","",IF(T72&lt;&gt;"Yes","N/A",IF(AA72="","NO EXPIRY SET",IF(TODAY()&gt;AA72,"EXPIRED",IF(AA72-TODAY()&lt;=30,"Expiring Soon","Active")))))</f>
        <v/>
      </c>
      <c r="AC72" s="36"/>
      <c r="AD72" s="36"/>
      <c r="AE72" s="37"/>
      <c r="AF72" s="36"/>
      <c r="AG72" s="37"/>
      <c r="AH72" s="37"/>
      <c r="AI72" s="37"/>
      <c r="AJ72" s="37"/>
      <c r="AK72" s="38"/>
      <c r="AL72" s="37"/>
      <c r="AM72" s="37"/>
      <c r="AN72" s="41" t="str">
        <f aca="false">IF(AK72="","",AK72+90)</f>
        <v/>
      </c>
      <c r="AO72" s="39" t="str">
        <f aca="true">IF(C72="","",IF(AK72="","NOT REVIEWED",IF(TODAY()&gt;AN72,"OVERDUE",IF(AN72-TODAY()&lt;=14,"Due Soon","Current"))))</f>
        <v/>
      </c>
      <c r="AP72" s="36"/>
    </row>
    <row r="73" customFormat="false" ht="15" hidden="false" customHeight="false" outlineLevel="0" collapsed="false">
      <c r="A73" s="36"/>
      <c r="B73" s="36"/>
      <c r="C73" s="36"/>
      <c r="D73" s="37"/>
      <c r="E73" s="38"/>
      <c r="F73" s="38"/>
      <c r="G73" s="36"/>
      <c r="H73" s="37"/>
      <c r="I73" s="39" t="str">
        <f aca="true">IF(F73="","",TODAY()-F73)</f>
        <v/>
      </c>
      <c r="J73" s="40" t="str">
        <f aca="false">IFERROR(INDEX('Azure Resource Map'!$H$2:$H$2001,MATCH($C73,'Azure Resource Map'!$A$2:$A$2001,0)),"")</f>
        <v/>
      </c>
      <c r="K73" s="40" t="str">
        <f aca="false">IFERROR(INDEX('Azure Resource Map'!$I$2:$I$2001,MATCH($C73,'Azure Resource Map'!$A$2:$A$2001,0)),"")</f>
        <v/>
      </c>
      <c r="L73" s="39" t="str">
        <f aca="false">IFERROR(INDEX('Azure Resource Map'!$J$2:$J$2001,MATCH($C73,'Azure Resource Map'!$A$2:$A$2001,0)),"")</f>
        <v/>
      </c>
      <c r="M73" s="40" t="str">
        <f aca="false">IFERROR(INDEX('Azure Resource Map'!$K$2:$K$2001,MATCH($C73,'Azure Resource Map'!$A$2:$A$2001,0)),"")</f>
        <v/>
      </c>
      <c r="N73" s="39" t="str">
        <f aca="false">IFERROR(INDEX('Azure Resource Map'!$L$2:$L$2001,MATCH($C73,'Azure Resource Map'!$A$2:$A$2001,0)),"")</f>
        <v/>
      </c>
      <c r="O73" s="39" t="str">
        <f aca="false">IFERROR(INDEX('Azure Resource Map'!$M$2:$M$2001,MATCH($C73,'Azure Resource Map'!$A$2:$A$2001,0)),"")</f>
        <v/>
      </c>
      <c r="P73" s="40" t="str">
        <f aca="false">IFERROR(INDEX('Azure Resource Map'!$D$2:$D$2001,MATCH($C73,'Azure Resource Map'!$A$2:$A$2001,0)),"")</f>
        <v/>
      </c>
      <c r="Q73" s="39" t="str">
        <f aca="false">IFERROR(INDEX('Azure Resource Map'!$E$2:$E$2001,MATCH($C73,'Azure Resource Map'!$A$2:$A$2001,0)),"")</f>
        <v/>
      </c>
      <c r="R73" s="39" t="str">
        <f aca="false">IFERROR(INDEX('Azure Resource Map'!$F$2:$F$2001,MATCH($C73,'Azure Resource Map'!$A$2:$A$2001,0)),"")</f>
        <v/>
      </c>
      <c r="S73" s="37"/>
      <c r="T73" s="39" t="str">
        <f aca="false">IF($C73="","",IF(ISNUMBER(MATCH($C73,'CA Exclusion Map'!$A$2:$A$2001,0)),"Yes","No"))</f>
        <v/>
      </c>
      <c r="U73" s="39" t="str">
        <f aca="false">IFERROR(INDEX('CA Exclusion Map'!$D$2:$D$2001,MATCH($C73,'CA Exclusion Map'!$A$2:$A$2001,0)),"")</f>
        <v/>
      </c>
      <c r="V73" s="40" t="str">
        <f aca="false">IFERROR(INDEX('CA Exclusion Map'!$E$2:$E$2001,MATCH($C73,'CA Exclusion Map'!$A$2:$A$2001,0)),"")</f>
        <v/>
      </c>
      <c r="W73" s="40" t="str">
        <f aca="false">IFERROR(INDEX('CA Exclusion Map'!$F$2:$F$2001,MATCH($C73,'CA Exclusion Map'!$A$2:$A$2001,0)),"")</f>
        <v/>
      </c>
      <c r="X73" s="36"/>
      <c r="Y73" s="37"/>
      <c r="Z73" s="38"/>
      <c r="AA73" s="38"/>
      <c r="AB73" s="39" t="str">
        <f aca="true">IF(T73="","",IF(T73&lt;&gt;"Yes","N/A",IF(AA73="","NO EXPIRY SET",IF(TODAY()&gt;AA73,"EXPIRED",IF(AA73-TODAY()&lt;=30,"Expiring Soon","Active")))))</f>
        <v/>
      </c>
      <c r="AC73" s="36"/>
      <c r="AD73" s="36"/>
      <c r="AE73" s="37"/>
      <c r="AF73" s="36"/>
      <c r="AG73" s="37"/>
      <c r="AH73" s="37"/>
      <c r="AI73" s="37"/>
      <c r="AJ73" s="37"/>
      <c r="AK73" s="38"/>
      <c r="AL73" s="37"/>
      <c r="AM73" s="37"/>
      <c r="AN73" s="41" t="str">
        <f aca="false">IF(AK73="","",AK73+90)</f>
        <v/>
      </c>
      <c r="AO73" s="39" t="str">
        <f aca="true">IF(C73="","",IF(AK73="","NOT REVIEWED",IF(TODAY()&gt;AN73,"OVERDUE",IF(AN73-TODAY()&lt;=14,"Due Soon","Current"))))</f>
        <v/>
      </c>
      <c r="AP73" s="36"/>
    </row>
    <row r="74" customFormat="false" ht="15" hidden="false" customHeight="false" outlineLevel="0" collapsed="false">
      <c r="A74" s="36"/>
      <c r="B74" s="36"/>
      <c r="C74" s="36"/>
      <c r="D74" s="37"/>
      <c r="E74" s="38"/>
      <c r="F74" s="38"/>
      <c r="G74" s="36"/>
      <c r="H74" s="37"/>
      <c r="I74" s="39" t="str">
        <f aca="true">IF(F74="","",TODAY()-F74)</f>
        <v/>
      </c>
      <c r="J74" s="40" t="str">
        <f aca="false">IFERROR(INDEX('Azure Resource Map'!$H$2:$H$2001,MATCH($C74,'Azure Resource Map'!$A$2:$A$2001,0)),"")</f>
        <v/>
      </c>
      <c r="K74" s="40" t="str">
        <f aca="false">IFERROR(INDEX('Azure Resource Map'!$I$2:$I$2001,MATCH($C74,'Azure Resource Map'!$A$2:$A$2001,0)),"")</f>
        <v/>
      </c>
      <c r="L74" s="39" t="str">
        <f aca="false">IFERROR(INDEX('Azure Resource Map'!$J$2:$J$2001,MATCH($C74,'Azure Resource Map'!$A$2:$A$2001,0)),"")</f>
        <v/>
      </c>
      <c r="M74" s="40" t="str">
        <f aca="false">IFERROR(INDEX('Azure Resource Map'!$K$2:$K$2001,MATCH($C74,'Azure Resource Map'!$A$2:$A$2001,0)),"")</f>
        <v/>
      </c>
      <c r="N74" s="39" t="str">
        <f aca="false">IFERROR(INDEX('Azure Resource Map'!$L$2:$L$2001,MATCH($C74,'Azure Resource Map'!$A$2:$A$2001,0)),"")</f>
        <v/>
      </c>
      <c r="O74" s="39" t="str">
        <f aca="false">IFERROR(INDEX('Azure Resource Map'!$M$2:$M$2001,MATCH($C74,'Azure Resource Map'!$A$2:$A$2001,0)),"")</f>
        <v/>
      </c>
      <c r="P74" s="40" t="str">
        <f aca="false">IFERROR(INDEX('Azure Resource Map'!$D$2:$D$2001,MATCH($C74,'Azure Resource Map'!$A$2:$A$2001,0)),"")</f>
        <v/>
      </c>
      <c r="Q74" s="39" t="str">
        <f aca="false">IFERROR(INDEX('Azure Resource Map'!$E$2:$E$2001,MATCH($C74,'Azure Resource Map'!$A$2:$A$2001,0)),"")</f>
        <v/>
      </c>
      <c r="R74" s="39" t="str">
        <f aca="false">IFERROR(INDEX('Azure Resource Map'!$F$2:$F$2001,MATCH($C74,'Azure Resource Map'!$A$2:$A$2001,0)),"")</f>
        <v/>
      </c>
      <c r="S74" s="37"/>
      <c r="T74" s="39" t="str">
        <f aca="false">IF($C74="","",IF(ISNUMBER(MATCH($C74,'CA Exclusion Map'!$A$2:$A$2001,0)),"Yes","No"))</f>
        <v/>
      </c>
      <c r="U74" s="39" t="str">
        <f aca="false">IFERROR(INDEX('CA Exclusion Map'!$D$2:$D$2001,MATCH($C74,'CA Exclusion Map'!$A$2:$A$2001,0)),"")</f>
        <v/>
      </c>
      <c r="V74" s="40" t="str">
        <f aca="false">IFERROR(INDEX('CA Exclusion Map'!$E$2:$E$2001,MATCH($C74,'CA Exclusion Map'!$A$2:$A$2001,0)),"")</f>
        <v/>
      </c>
      <c r="W74" s="40" t="str">
        <f aca="false">IFERROR(INDEX('CA Exclusion Map'!$F$2:$F$2001,MATCH($C74,'CA Exclusion Map'!$A$2:$A$2001,0)),"")</f>
        <v/>
      </c>
      <c r="X74" s="36"/>
      <c r="Y74" s="37"/>
      <c r="Z74" s="38"/>
      <c r="AA74" s="38"/>
      <c r="AB74" s="39" t="str">
        <f aca="true">IF(T74="","",IF(T74&lt;&gt;"Yes","N/A",IF(AA74="","NO EXPIRY SET",IF(TODAY()&gt;AA74,"EXPIRED",IF(AA74-TODAY()&lt;=30,"Expiring Soon","Active")))))</f>
        <v/>
      </c>
      <c r="AC74" s="36"/>
      <c r="AD74" s="36"/>
      <c r="AE74" s="37"/>
      <c r="AF74" s="36"/>
      <c r="AG74" s="37"/>
      <c r="AH74" s="37"/>
      <c r="AI74" s="37"/>
      <c r="AJ74" s="37"/>
      <c r="AK74" s="38"/>
      <c r="AL74" s="37"/>
      <c r="AM74" s="37"/>
      <c r="AN74" s="41" t="str">
        <f aca="false">IF(AK74="","",AK74+90)</f>
        <v/>
      </c>
      <c r="AO74" s="39" t="str">
        <f aca="true">IF(C74="","",IF(AK74="","NOT REVIEWED",IF(TODAY()&gt;AN74,"OVERDUE",IF(AN74-TODAY()&lt;=14,"Due Soon","Current"))))</f>
        <v/>
      </c>
      <c r="AP74" s="36"/>
    </row>
    <row r="75" customFormat="false" ht="15" hidden="false" customHeight="false" outlineLevel="0" collapsed="false">
      <c r="A75" s="36"/>
      <c r="B75" s="36"/>
      <c r="C75" s="36"/>
      <c r="D75" s="37"/>
      <c r="E75" s="38"/>
      <c r="F75" s="38"/>
      <c r="G75" s="36"/>
      <c r="H75" s="37"/>
      <c r="I75" s="39" t="str">
        <f aca="true">IF(F75="","",TODAY()-F75)</f>
        <v/>
      </c>
      <c r="J75" s="40" t="str">
        <f aca="false">IFERROR(INDEX('Azure Resource Map'!$H$2:$H$2001,MATCH($C75,'Azure Resource Map'!$A$2:$A$2001,0)),"")</f>
        <v/>
      </c>
      <c r="K75" s="40" t="str">
        <f aca="false">IFERROR(INDEX('Azure Resource Map'!$I$2:$I$2001,MATCH($C75,'Azure Resource Map'!$A$2:$A$2001,0)),"")</f>
        <v/>
      </c>
      <c r="L75" s="39" t="str">
        <f aca="false">IFERROR(INDEX('Azure Resource Map'!$J$2:$J$2001,MATCH($C75,'Azure Resource Map'!$A$2:$A$2001,0)),"")</f>
        <v/>
      </c>
      <c r="M75" s="40" t="str">
        <f aca="false">IFERROR(INDEX('Azure Resource Map'!$K$2:$K$2001,MATCH($C75,'Azure Resource Map'!$A$2:$A$2001,0)),"")</f>
        <v/>
      </c>
      <c r="N75" s="39" t="str">
        <f aca="false">IFERROR(INDEX('Azure Resource Map'!$L$2:$L$2001,MATCH($C75,'Azure Resource Map'!$A$2:$A$2001,0)),"")</f>
        <v/>
      </c>
      <c r="O75" s="39" t="str">
        <f aca="false">IFERROR(INDEX('Azure Resource Map'!$M$2:$M$2001,MATCH($C75,'Azure Resource Map'!$A$2:$A$2001,0)),"")</f>
        <v/>
      </c>
      <c r="P75" s="40" t="str">
        <f aca="false">IFERROR(INDEX('Azure Resource Map'!$D$2:$D$2001,MATCH($C75,'Azure Resource Map'!$A$2:$A$2001,0)),"")</f>
        <v/>
      </c>
      <c r="Q75" s="39" t="str">
        <f aca="false">IFERROR(INDEX('Azure Resource Map'!$E$2:$E$2001,MATCH($C75,'Azure Resource Map'!$A$2:$A$2001,0)),"")</f>
        <v/>
      </c>
      <c r="R75" s="39" t="str">
        <f aca="false">IFERROR(INDEX('Azure Resource Map'!$F$2:$F$2001,MATCH($C75,'Azure Resource Map'!$A$2:$A$2001,0)),"")</f>
        <v/>
      </c>
      <c r="S75" s="37"/>
      <c r="T75" s="39" t="str">
        <f aca="false">IF($C75="","",IF(ISNUMBER(MATCH($C75,'CA Exclusion Map'!$A$2:$A$2001,0)),"Yes","No"))</f>
        <v/>
      </c>
      <c r="U75" s="39" t="str">
        <f aca="false">IFERROR(INDEX('CA Exclusion Map'!$D$2:$D$2001,MATCH($C75,'CA Exclusion Map'!$A$2:$A$2001,0)),"")</f>
        <v/>
      </c>
      <c r="V75" s="40" t="str">
        <f aca="false">IFERROR(INDEX('CA Exclusion Map'!$E$2:$E$2001,MATCH($C75,'CA Exclusion Map'!$A$2:$A$2001,0)),"")</f>
        <v/>
      </c>
      <c r="W75" s="40" t="str">
        <f aca="false">IFERROR(INDEX('CA Exclusion Map'!$F$2:$F$2001,MATCH($C75,'CA Exclusion Map'!$A$2:$A$2001,0)),"")</f>
        <v/>
      </c>
      <c r="X75" s="36"/>
      <c r="Y75" s="37"/>
      <c r="Z75" s="38"/>
      <c r="AA75" s="38"/>
      <c r="AB75" s="39" t="str">
        <f aca="true">IF(T75="","",IF(T75&lt;&gt;"Yes","N/A",IF(AA75="","NO EXPIRY SET",IF(TODAY()&gt;AA75,"EXPIRED",IF(AA75-TODAY()&lt;=30,"Expiring Soon","Active")))))</f>
        <v/>
      </c>
      <c r="AC75" s="36"/>
      <c r="AD75" s="36"/>
      <c r="AE75" s="37"/>
      <c r="AF75" s="36"/>
      <c r="AG75" s="37"/>
      <c r="AH75" s="37"/>
      <c r="AI75" s="37"/>
      <c r="AJ75" s="37"/>
      <c r="AK75" s="38"/>
      <c r="AL75" s="37"/>
      <c r="AM75" s="37"/>
      <c r="AN75" s="41" t="str">
        <f aca="false">IF(AK75="","",AK75+90)</f>
        <v/>
      </c>
      <c r="AO75" s="39" t="str">
        <f aca="true">IF(C75="","",IF(AK75="","NOT REVIEWED",IF(TODAY()&gt;AN75,"OVERDUE",IF(AN75-TODAY()&lt;=14,"Due Soon","Current"))))</f>
        <v/>
      </c>
      <c r="AP75" s="36"/>
    </row>
    <row r="76" customFormat="false" ht="15" hidden="false" customHeight="false" outlineLevel="0" collapsed="false">
      <c r="A76" s="36"/>
      <c r="B76" s="36"/>
      <c r="C76" s="36"/>
      <c r="D76" s="37"/>
      <c r="E76" s="38"/>
      <c r="F76" s="38"/>
      <c r="G76" s="36"/>
      <c r="H76" s="37"/>
      <c r="I76" s="39" t="str">
        <f aca="true">IF(F76="","",TODAY()-F76)</f>
        <v/>
      </c>
      <c r="J76" s="40" t="str">
        <f aca="false">IFERROR(INDEX('Azure Resource Map'!$H$2:$H$2001,MATCH($C76,'Azure Resource Map'!$A$2:$A$2001,0)),"")</f>
        <v/>
      </c>
      <c r="K76" s="40" t="str">
        <f aca="false">IFERROR(INDEX('Azure Resource Map'!$I$2:$I$2001,MATCH($C76,'Azure Resource Map'!$A$2:$A$2001,0)),"")</f>
        <v/>
      </c>
      <c r="L76" s="39" t="str">
        <f aca="false">IFERROR(INDEX('Azure Resource Map'!$J$2:$J$2001,MATCH($C76,'Azure Resource Map'!$A$2:$A$2001,0)),"")</f>
        <v/>
      </c>
      <c r="M76" s="40" t="str">
        <f aca="false">IFERROR(INDEX('Azure Resource Map'!$K$2:$K$2001,MATCH($C76,'Azure Resource Map'!$A$2:$A$2001,0)),"")</f>
        <v/>
      </c>
      <c r="N76" s="39" t="str">
        <f aca="false">IFERROR(INDEX('Azure Resource Map'!$L$2:$L$2001,MATCH($C76,'Azure Resource Map'!$A$2:$A$2001,0)),"")</f>
        <v/>
      </c>
      <c r="O76" s="39" t="str">
        <f aca="false">IFERROR(INDEX('Azure Resource Map'!$M$2:$M$2001,MATCH($C76,'Azure Resource Map'!$A$2:$A$2001,0)),"")</f>
        <v/>
      </c>
      <c r="P76" s="40" t="str">
        <f aca="false">IFERROR(INDEX('Azure Resource Map'!$D$2:$D$2001,MATCH($C76,'Azure Resource Map'!$A$2:$A$2001,0)),"")</f>
        <v/>
      </c>
      <c r="Q76" s="39" t="str">
        <f aca="false">IFERROR(INDEX('Azure Resource Map'!$E$2:$E$2001,MATCH($C76,'Azure Resource Map'!$A$2:$A$2001,0)),"")</f>
        <v/>
      </c>
      <c r="R76" s="39" t="str">
        <f aca="false">IFERROR(INDEX('Azure Resource Map'!$F$2:$F$2001,MATCH($C76,'Azure Resource Map'!$A$2:$A$2001,0)),"")</f>
        <v/>
      </c>
      <c r="S76" s="37"/>
      <c r="T76" s="39" t="str">
        <f aca="false">IF($C76="","",IF(ISNUMBER(MATCH($C76,'CA Exclusion Map'!$A$2:$A$2001,0)),"Yes","No"))</f>
        <v/>
      </c>
      <c r="U76" s="39" t="str">
        <f aca="false">IFERROR(INDEX('CA Exclusion Map'!$D$2:$D$2001,MATCH($C76,'CA Exclusion Map'!$A$2:$A$2001,0)),"")</f>
        <v/>
      </c>
      <c r="V76" s="40" t="str">
        <f aca="false">IFERROR(INDEX('CA Exclusion Map'!$E$2:$E$2001,MATCH($C76,'CA Exclusion Map'!$A$2:$A$2001,0)),"")</f>
        <v/>
      </c>
      <c r="W76" s="40" t="str">
        <f aca="false">IFERROR(INDEX('CA Exclusion Map'!$F$2:$F$2001,MATCH($C76,'CA Exclusion Map'!$A$2:$A$2001,0)),"")</f>
        <v/>
      </c>
      <c r="X76" s="36"/>
      <c r="Y76" s="37"/>
      <c r="Z76" s="38"/>
      <c r="AA76" s="38"/>
      <c r="AB76" s="39" t="str">
        <f aca="true">IF(T76="","",IF(T76&lt;&gt;"Yes","N/A",IF(AA76="","NO EXPIRY SET",IF(TODAY()&gt;AA76,"EXPIRED",IF(AA76-TODAY()&lt;=30,"Expiring Soon","Active")))))</f>
        <v/>
      </c>
      <c r="AC76" s="36"/>
      <c r="AD76" s="36"/>
      <c r="AE76" s="37"/>
      <c r="AF76" s="36"/>
      <c r="AG76" s="37"/>
      <c r="AH76" s="37"/>
      <c r="AI76" s="37"/>
      <c r="AJ76" s="37"/>
      <c r="AK76" s="38"/>
      <c r="AL76" s="37"/>
      <c r="AM76" s="37"/>
      <c r="AN76" s="41" t="str">
        <f aca="false">IF(AK76="","",AK76+90)</f>
        <v/>
      </c>
      <c r="AO76" s="39" t="str">
        <f aca="true">IF(C76="","",IF(AK76="","NOT REVIEWED",IF(TODAY()&gt;AN76,"OVERDUE",IF(AN76-TODAY()&lt;=14,"Due Soon","Current"))))</f>
        <v/>
      </c>
      <c r="AP76" s="36"/>
    </row>
    <row r="77" customFormat="false" ht="15" hidden="false" customHeight="false" outlineLevel="0" collapsed="false">
      <c r="A77" s="36"/>
      <c r="B77" s="36"/>
      <c r="C77" s="36"/>
      <c r="D77" s="37"/>
      <c r="E77" s="38"/>
      <c r="F77" s="38"/>
      <c r="G77" s="36"/>
      <c r="H77" s="37"/>
      <c r="I77" s="39" t="str">
        <f aca="true">IF(F77="","",TODAY()-F77)</f>
        <v/>
      </c>
      <c r="J77" s="40" t="str">
        <f aca="false">IFERROR(INDEX('Azure Resource Map'!$H$2:$H$2001,MATCH($C77,'Azure Resource Map'!$A$2:$A$2001,0)),"")</f>
        <v/>
      </c>
      <c r="K77" s="40" t="str">
        <f aca="false">IFERROR(INDEX('Azure Resource Map'!$I$2:$I$2001,MATCH($C77,'Azure Resource Map'!$A$2:$A$2001,0)),"")</f>
        <v/>
      </c>
      <c r="L77" s="39" t="str">
        <f aca="false">IFERROR(INDEX('Azure Resource Map'!$J$2:$J$2001,MATCH($C77,'Azure Resource Map'!$A$2:$A$2001,0)),"")</f>
        <v/>
      </c>
      <c r="M77" s="40" t="str">
        <f aca="false">IFERROR(INDEX('Azure Resource Map'!$K$2:$K$2001,MATCH($C77,'Azure Resource Map'!$A$2:$A$2001,0)),"")</f>
        <v/>
      </c>
      <c r="N77" s="39" t="str">
        <f aca="false">IFERROR(INDEX('Azure Resource Map'!$L$2:$L$2001,MATCH($C77,'Azure Resource Map'!$A$2:$A$2001,0)),"")</f>
        <v/>
      </c>
      <c r="O77" s="39" t="str">
        <f aca="false">IFERROR(INDEX('Azure Resource Map'!$M$2:$M$2001,MATCH($C77,'Azure Resource Map'!$A$2:$A$2001,0)),"")</f>
        <v/>
      </c>
      <c r="P77" s="40" t="str">
        <f aca="false">IFERROR(INDEX('Azure Resource Map'!$D$2:$D$2001,MATCH($C77,'Azure Resource Map'!$A$2:$A$2001,0)),"")</f>
        <v/>
      </c>
      <c r="Q77" s="39" t="str">
        <f aca="false">IFERROR(INDEX('Azure Resource Map'!$E$2:$E$2001,MATCH($C77,'Azure Resource Map'!$A$2:$A$2001,0)),"")</f>
        <v/>
      </c>
      <c r="R77" s="39" t="str">
        <f aca="false">IFERROR(INDEX('Azure Resource Map'!$F$2:$F$2001,MATCH($C77,'Azure Resource Map'!$A$2:$A$2001,0)),"")</f>
        <v/>
      </c>
      <c r="S77" s="37"/>
      <c r="T77" s="39" t="str">
        <f aca="false">IF($C77="","",IF(ISNUMBER(MATCH($C77,'CA Exclusion Map'!$A$2:$A$2001,0)),"Yes","No"))</f>
        <v/>
      </c>
      <c r="U77" s="39" t="str">
        <f aca="false">IFERROR(INDEX('CA Exclusion Map'!$D$2:$D$2001,MATCH($C77,'CA Exclusion Map'!$A$2:$A$2001,0)),"")</f>
        <v/>
      </c>
      <c r="V77" s="40" t="str">
        <f aca="false">IFERROR(INDEX('CA Exclusion Map'!$E$2:$E$2001,MATCH($C77,'CA Exclusion Map'!$A$2:$A$2001,0)),"")</f>
        <v/>
      </c>
      <c r="W77" s="40" t="str">
        <f aca="false">IFERROR(INDEX('CA Exclusion Map'!$F$2:$F$2001,MATCH($C77,'CA Exclusion Map'!$A$2:$A$2001,0)),"")</f>
        <v/>
      </c>
      <c r="X77" s="36"/>
      <c r="Y77" s="37"/>
      <c r="Z77" s="38"/>
      <c r="AA77" s="38"/>
      <c r="AB77" s="39" t="str">
        <f aca="true">IF(T77="","",IF(T77&lt;&gt;"Yes","N/A",IF(AA77="","NO EXPIRY SET",IF(TODAY()&gt;AA77,"EXPIRED",IF(AA77-TODAY()&lt;=30,"Expiring Soon","Active")))))</f>
        <v/>
      </c>
      <c r="AC77" s="36"/>
      <c r="AD77" s="36"/>
      <c r="AE77" s="37"/>
      <c r="AF77" s="36"/>
      <c r="AG77" s="37"/>
      <c r="AH77" s="37"/>
      <c r="AI77" s="37"/>
      <c r="AJ77" s="37"/>
      <c r="AK77" s="38"/>
      <c r="AL77" s="37"/>
      <c r="AM77" s="37"/>
      <c r="AN77" s="41" t="str">
        <f aca="false">IF(AK77="","",AK77+90)</f>
        <v/>
      </c>
      <c r="AO77" s="39" t="str">
        <f aca="true">IF(C77="","",IF(AK77="","NOT REVIEWED",IF(TODAY()&gt;AN77,"OVERDUE",IF(AN77-TODAY()&lt;=14,"Due Soon","Current"))))</f>
        <v/>
      </c>
      <c r="AP77" s="36"/>
    </row>
    <row r="78" customFormat="false" ht="15" hidden="false" customHeight="false" outlineLevel="0" collapsed="false">
      <c r="A78" s="36"/>
      <c r="B78" s="36"/>
      <c r="C78" s="36"/>
      <c r="D78" s="37"/>
      <c r="E78" s="38"/>
      <c r="F78" s="38"/>
      <c r="G78" s="36"/>
      <c r="H78" s="37"/>
      <c r="I78" s="39" t="str">
        <f aca="true">IF(F78="","",TODAY()-F78)</f>
        <v/>
      </c>
      <c r="J78" s="40" t="str">
        <f aca="false">IFERROR(INDEX('Azure Resource Map'!$H$2:$H$2001,MATCH($C78,'Azure Resource Map'!$A$2:$A$2001,0)),"")</f>
        <v/>
      </c>
      <c r="K78" s="40" t="str">
        <f aca="false">IFERROR(INDEX('Azure Resource Map'!$I$2:$I$2001,MATCH($C78,'Azure Resource Map'!$A$2:$A$2001,0)),"")</f>
        <v/>
      </c>
      <c r="L78" s="39" t="str">
        <f aca="false">IFERROR(INDEX('Azure Resource Map'!$J$2:$J$2001,MATCH($C78,'Azure Resource Map'!$A$2:$A$2001,0)),"")</f>
        <v/>
      </c>
      <c r="M78" s="40" t="str">
        <f aca="false">IFERROR(INDEX('Azure Resource Map'!$K$2:$K$2001,MATCH($C78,'Azure Resource Map'!$A$2:$A$2001,0)),"")</f>
        <v/>
      </c>
      <c r="N78" s="39" t="str">
        <f aca="false">IFERROR(INDEX('Azure Resource Map'!$L$2:$L$2001,MATCH($C78,'Azure Resource Map'!$A$2:$A$2001,0)),"")</f>
        <v/>
      </c>
      <c r="O78" s="39" t="str">
        <f aca="false">IFERROR(INDEX('Azure Resource Map'!$M$2:$M$2001,MATCH($C78,'Azure Resource Map'!$A$2:$A$2001,0)),"")</f>
        <v/>
      </c>
      <c r="P78" s="40" t="str">
        <f aca="false">IFERROR(INDEX('Azure Resource Map'!$D$2:$D$2001,MATCH($C78,'Azure Resource Map'!$A$2:$A$2001,0)),"")</f>
        <v/>
      </c>
      <c r="Q78" s="39" t="str">
        <f aca="false">IFERROR(INDEX('Azure Resource Map'!$E$2:$E$2001,MATCH($C78,'Azure Resource Map'!$A$2:$A$2001,0)),"")</f>
        <v/>
      </c>
      <c r="R78" s="39" t="str">
        <f aca="false">IFERROR(INDEX('Azure Resource Map'!$F$2:$F$2001,MATCH($C78,'Azure Resource Map'!$A$2:$A$2001,0)),"")</f>
        <v/>
      </c>
      <c r="S78" s="37"/>
      <c r="T78" s="39" t="str">
        <f aca="false">IF($C78="","",IF(ISNUMBER(MATCH($C78,'CA Exclusion Map'!$A$2:$A$2001,0)),"Yes","No"))</f>
        <v/>
      </c>
      <c r="U78" s="39" t="str">
        <f aca="false">IFERROR(INDEX('CA Exclusion Map'!$D$2:$D$2001,MATCH($C78,'CA Exclusion Map'!$A$2:$A$2001,0)),"")</f>
        <v/>
      </c>
      <c r="V78" s="40" t="str">
        <f aca="false">IFERROR(INDEX('CA Exclusion Map'!$E$2:$E$2001,MATCH($C78,'CA Exclusion Map'!$A$2:$A$2001,0)),"")</f>
        <v/>
      </c>
      <c r="W78" s="40" t="str">
        <f aca="false">IFERROR(INDEX('CA Exclusion Map'!$F$2:$F$2001,MATCH($C78,'CA Exclusion Map'!$A$2:$A$2001,0)),"")</f>
        <v/>
      </c>
      <c r="X78" s="36"/>
      <c r="Y78" s="37"/>
      <c r="Z78" s="38"/>
      <c r="AA78" s="38"/>
      <c r="AB78" s="39" t="str">
        <f aca="true">IF(T78="","",IF(T78&lt;&gt;"Yes","N/A",IF(AA78="","NO EXPIRY SET",IF(TODAY()&gt;AA78,"EXPIRED",IF(AA78-TODAY()&lt;=30,"Expiring Soon","Active")))))</f>
        <v/>
      </c>
      <c r="AC78" s="36"/>
      <c r="AD78" s="36"/>
      <c r="AE78" s="37"/>
      <c r="AF78" s="36"/>
      <c r="AG78" s="37"/>
      <c r="AH78" s="37"/>
      <c r="AI78" s="37"/>
      <c r="AJ78" s="37"/>
      <c r="AK78" s="38"/>
      <c r="AL78" s="37"/>
      <c r="AM78" s="37"/>
      <c r="AN78" s="41" t="str">
        <f aca="false">IF(AK78="","",AK78+90)</f>
        <v/>
      </c>
      <c r="AO78" s="39" t="str">
        <f aca="true">IF(C78="","",IF(AK78="","NOT REVIEWED",IF(TODAY()&gt;AN78,"OVERDUE",IF(AN78-TODAY()&lt;=14,"Due Soon","Current"))))</f>
        <v/>
      </c>
      <c r="AP78" s="36"/>
    </row>
    <row r="79" customFormat="false" ht="15" hidden="false" customHeight="false" outlineLevel="0" collapsed="false">
      <c r="A79" s="36"/>
      <c r="B79" s="36"/>
      <c r="C79" s="36"/>
      <c r="D79" s="37"/>
      <c r="E79" s="38"/>
      <c r="F79" s="38"/>
      <c r="G79" s="36"/>
      <c r="H79" s="37"/>
      <c r="I79" s="39" t="str">
        <f aca="true">IF(F79="","",TODAY()-F79)</f>
        <v/>
      </c>
      <c r="J79" s="40" t="str">
        <f aca="false">IFERROR(INDEX('Azure Resource Map'!$H$2:$H$2001,MATCH($C79,'Azure Resource Map'!$A$2:$A$2001,0)),"")</f>
        <v/>
      </c>
      <c r="K79" s="40" t="str">
        <f aca="false">IFERROR(INDEX('Azure Resource Map'!$I$2:$I$2001,MATCH($C79,'Azure Resource Map'!$A$2:$A$2001,0)),"")</f>
        <v/>
      </c>
      <c r="L79" s="39" t="str">
        <f aca="false">IFERROR(INDEX('Azure Resource Map'!$J$2:$J$2001,MATCH($C79,'Azure Resource Map'!$A$2:$A$2001,0)),"")</f>
        <v/>
      </c>
      <c r="M79" s="40" t="str">
        <f aca="false">IFERROR(INDEX('Azure Resource Map'!$K$2:$K$2001,MATCH($C79,'Azure Resource Map'!$A$2:$A$2001,0)),"")</f>
        <v/>
      </c>
      <c r="N79" s="39" t="str">
        <f aca="false">IFERROR(INDEX('Azure Resource Map'!$L$2:$L$2001,MATCH($C79,'Azure Resource Map'!$A$2:$A$2001,0)),"")</f>
        <v/>
      </c>
      <c r="O79" s="39" t="str">
        <f aca="false">IFERROR(INDEX('Azure Resource Map'!$M$2:$M$2001,MATCH($C79,'Azure Resource Map'!$A$2:$A$2001,0)),"")</f>
        <v/>
      </c>
      <c r="P79" s="40" t="str">
        <f aca="false">IFERROR(INDEX('Azure Resource Map'!$D$2:$D$2001,MATCH($C79,'Azure Resource Map'!$A$2:$A$2001,0)),"")</f>
        <v/>
      </c>
      <c r="Q79" s="39" t="str">
        <f aca="false">IFERROR(INDEX('Azure Resource Map'!$E$2:$E$2001,MATCH($C79,'Azure Resource Map'!$A$2:$A$2001,0)),"")</f>
        <v/>
      </c>
      <c r="R79" s="39" t="str">
        <f aca="false">IFERROR(INDEX('Azure Resource Map'!$F$2:$F$2001,MATCH($C79,'Azure Resource Map'!$A$2:$A$2001,0)),"")</f>
        <v/>
      </c>
      <c r="S79" s="37"/>
      <c r="T79" s="39" t="str">
        <f aca="false">IF($C79="","",IF(ISNUMBER(MATCH($C79,'CA Exclusion Map'!$A$2:$A$2001,0)),"Yes","No"))</f>
        <v/>
      </c>
      <c r="U79" s="39" t="str">
        <f aca="false">IFERROR(INDEX('CA Exclusion Map'!$D$2:$D$2001,MATCH($C79,'CA Exclusion Map'!$A$2:$A$2001,0)),"")</f>
        <v/>
      </c>
      <c r="V79" s="40" t="str">
        <f aca="false">IFERROR(INDEX('CA Exclusion Map'!$E$2:$E$2001,MATCH($C79,'CA Exclusion Map'!$A$2:$A$2001,0)),"")</f>
        <v/>
      </c>
      <c r="W79" s="40" t="str">
        <f aca="false">IFERROR(INDEX('CA Exclusion Map'!$F$2:$F$2001,MATCH($C79,'CA Exclusion Map'!$A$2:$A$2001,0)),"")</f>
        <v/>
      </c>
      <c r="X79" s="36"/>
      <c r="Y79" s="37"/>
      <c r="Z79" s="38"/>
      <c r="AA79" s="38"/>
      <c r="AB79" s="39" t="str">
        <f aca="true">IF(T79="","",IF(T79&lt;&gt;"Yes","N/A",IF(AA79="","NO EXPIRY SET",IF(TODAY()&gt;AA79,"EXPIRED",IF(AA79-TODAY()&lt;=30,"Expiring Soon","Active")))))</f>
        <v/>
      </c>
      <c r="AC79" s="36"/>
      <c r="AD79" s="36"/>
      <c r="AE79" s="37"/>
      <c r="AF79" s="36"/>
      <c r="AG79" s="37"/>
      <c r="AH79" s="37"/>
      <c r="AI79" s="37"/>
      <c r="AJ79" s="37"/>
      <c r="AK79" s="38"/>
      <c r="AL79" s="37"/>
      <c r="AM79" s="37"/>
      <c r="AN79" s="41" t="str">
        <f aca="false">IF(AK79="","",AK79+90)</f>
        <v/>
      </c>
      <c r="AO79" s="39" t="str">
        <f aca="true">IF(C79="","",IF(AK79="","NOT REVIEWED",IF(TODAY()&gt;AN79,"OVERDUE",IF(AN79-TODAY()&lt;=14,"Due Soon","Current"))))</f>
        <v/>
      </c>
      <c r="AP79" s="36"/>
    </row>
    <row r="80" customFormat="false" ht="15" hidden="false" customHeight="false" outlineLevel="0" collapsed="false">
      <c r="A80" s="36"/>
      <c r="B80" s="36"/>
      <c r="C80" s="36"/>
      <c r="D80" s="37"/>
      <c r="E80" s="38"/>
      <c r="F80" s="38"/>
      <c r="G80" s="36"/>
      <c r="H80" s="37"/>
      <c r="I80" s="39" t="str">
        <f aca="true">IF(F80="","",TODAY()-F80)</f>
        <v/>
      </c>
      <c r="J80" s="40" t="str">
        <f aca="false">IFERROR(INDEX('Azure Resource Map'!$H$2:$H$2001,MATCH($C80,'Azure Resource Map'!$A$2:$A$2001,0)),"")</f>
        <v/>
      </c>
      <c r="K80" s="40" t="str">
        <f aca="false">IFERROR(INDEX('Azure Resource Map'!$I$2:$I$2001,MATCH($C80,'Azure Resource Map'!$A$2:$A$2001,0)),"")</f>
        <v/>
      </c>
      <c r="L80" s="39" t="str">
        <f aca="false">IFERROR(INDEX('Azure Resource Map'!$J$2:$J$2001,MATCH($C80,'Azure Resource Map'!$A$2:$A$2001,0)),"")</f>
        <v/>
      </c>
      <c r="M80" s="40" t="str">
        <f aca="false">IFERROR(INDEX('Azure Resource Map'!$K$2:$K$2001,MATCH($C80,'Azure Resource Map'!$A$2:$A$2001,0)),"")</f>
        <v/>
      </c>
      <c r="N80" s="39" t="str">
        <f aca="false">IFERROR(INDEX('Azure Resource Map'!$L$2:$L$2001,MATCH($C80,'Azure Resource Map'!$A$2:$A$2001,0)),"")</f>
        <v/>
      </c>
      <c r="O80" s="39" t="str">
        <f aca="false">IFERROR(INDEX('Azure Resource Map'!$M$2:$M$2001,MATCH($C80,'Azure Resource Map'!$A$2:$A$2001,0)),"")</f>
        <v/>
      </c>
      <c r="P80" s="40" t="str">
        <f aca="false">IFERROR(INDEX('Azure Resource Map'!$D$2:$D$2001,MATCH($C80,'Azure Resource Map'!$A$2:$A$2001,0)),"")</f>
        <v/>
      </c>
      <c r="Q80" s="39" t="str">
        <f aca="false">IFERROR(INDEX('Azure Resource Map'!$E$2:$E$2001,MATCH($C80,'Azure Resource Map'!$A$2:$A$2001,0)),"")</f>
        <v/>
      </c>
      <c r="R80" s="39" t="str">
        <f aca="false">IFERROR(INDEX('Azure Resource Map'!$F$2:$F$2001,MATCH($C80,'Azure Resource Map'!$A$2:$A$2001,0)),"")</f>
        <v/>
      </c>
      <c r="S80" s="37"/>
      <c r="T80" s="39" t="str">
        <f aca="false">IF($C80="","",IF(ISNUMBER(MATCH($C80,'CA Exclusion Map'!$A$2:$A$2001,0)),"Yes","No"))</f>
        <v/>
      </c>
      <c r="U80" s="39" t="str">
        <f aca="false">IFERROR(INDEX('CA Exclusion Map'!$D$2:$D$2001,MATCH($C80,'CA Exclusion Map'!$A$2:$A$2001,0)),"")</f>
        <v/>
      </c>
      <c r="V80" s="40" t="str">
        <f aca="false">IFERROR(INDEX('CA Exclusion Map'!$E$2:$E$2001,MATCH($C80,'CA Exclusion Map'!$A$2:$A$2001,0)),"")</f>
        <v/>
      </c>
      <c r="W80" s="40" t="str">
        <f aca="false">IFERROR(INDEX('CA Exclusion Map'!$F$2:$F$2001,MATCH($C80,'CA Exclusion Map'!$A$2:$A$2001,0)),"")</f>
        <v/>
      </c>
      <c r="X80" s="36"/>
      <c r="Y80" s="37"/>
      <c r="Z80" s="38"/>
      <c r="AA80" s="38"/>
      <c r="AB80" s="39" t="str">
        <f aca="true">IF(T80="","",IF(T80&lt;&gt;"Yes","N/A",IF(AA80="","NO EXPIRY SET",IF(TODAY()&gt;AA80,"EXPIRED",IF(AA80-TODAY()&lt;=30,"Expiring Soon","Active")))))</f>
        <v/>
      </c>
      <c r="AC80" s="36"/>
      <c r="AD80" s="36"/>
      <c r="AE80" s="37"/>
      <c r="AF80" s="36"/>
      <c r="AG80" s="37"/>
      <c r="AH80" s="37"/>
      <c r="AI80" s="37"/>
      <c r="AJ80" s="37"/>
      <c r="AK80" s="38"/>
      <c r="AL80" s="37"/>
      <c r="AM80" s="37"/>
      <c r="AN80" s="41" t="str">
        <f aca="false">IF(AK80="","",AK80+90)</f>
        <v/>
      </c>
      <c r="AO80" s="39" t="str">
        <f aca="true">IF(C80="","",IF(AK80="","NOT REVIEWED",IF(TODAY()&gt;AN80,"OVERDUE",IF(AN80-TODAY()&lt;=14,"Due Soon","Current"))))</f>
        <v/>
      </c>
      <c r="AP80" s="36"/>
    </row>
    <row r="81" customFormat="false" ht="15" hidden="false" customHeight="false" outlineLevel="0" collapsed="false">
      <c r="A81" s="36"/>
      <c r="B81" s="36"/>
      <c r="C81" s="36"/>
      <c r="D81" s="37"/>
      <c r="E81" s="38"/>
      <c r="F81" s="38"/>
      <c r="G81" s="36"/>
      <c r="H81" s="37"/>
      <c r="I81" s="39" t="str">
        <f aca="true">IF(F81="","",TODAY()-F81)</f>
        <v/>
      </c>
      <c r="J81" s="40" t="str">
        <f aca="false">IFERROR(INDEX('Azure Resource Map'!$H$2:$H$2001,MATCH($C81,'Azure Resource Map'!$A$2:$A$2001,0)),"")</f>
        <v/>
      </c>
      <c r="K81" s="40" t="str">
        <f aca="false">IFERROR(INDEX('Azure Resource Map'!$I$2:$I$2001,MATCH($C81,'Azure Resource Map'!$A$2:$A$2001,0)),"")</f>
        <v/>
      </c>
      <c r="L81" s="39" t="str">
        <f aca="false">IFERROR(INDEX('Azure Resource Map'!$J$2:$J$2001,MATCH($C81,'Azure Resource Map'!$A$2:$A$2001,0)),"")</f>
        <v/>
      </c>
      <c r="M81" s="40" t="str">
        <f aca="false">IFERROR(INDEX('Azure Resource Map'!$K$2:$K$2001,MATCH($C81,'Azure Resource Map'!$A$2:$A$2001,0)),"")</f>
        <v/>
      </c>
      <c r="N81" s="39" t="str">
        <f aca="false">IFERROR(INDEX('Azure Resource Map'!$L$2:$L$2001,MATCH($C81,'Azure Resource Map'!$A$2:$A$2001,0)),"")</f>
        <v/>
      </c>
      <c r="O81" s="39" t="str">
        <f aca="false">IFERROR(INDEX('Azure Resource Map'!$M$2:$M$2001,MATCH($C81,'Azure Resource Map'!$A$2:$A$2001,0)),"")</f>
        <v/>
      </c>
      <c r="P81" s="40" t="str">
        <f aca="false">IFERROR(INDEX('Azure Resource Map'!$D$2:$D$2001,MATCH($C81,'Azure Resource Map'!$A$2:$A$2001,0)),"")</f>
        <v/>
      </c>
      <c r="Q81" s="39" t="str">
        <f aca="false">IFERROR(INDEX('Azure Resource Map'!$E$2:$E$2001,MATCH($C81,'Azure Resource Map'!$A$2:$A$2001,0)),"")</f>
        <v/>
      </c>
      <c r="R81" s="39" t="str">
        <f aca="false">IFERROR(INDEX('Azure Resource Map'!$F$2:$F$2001,MATCH($C81,'Azure Resource Map'!$A$2:$A$2001,0)),"")</f>
        <v/>
      </c>
      <c r="S81" s="37"/>
      <c r="T81" s="39" t="str">
        <f aca="false">IF($C81="","",IF(ISNUMBER(MATCH($C81,'CA Exclusion Map'!$A$2:$A$2001,0)),"Yes","No"))</f>
        <v/>
      </c>
      <c r="U81" s="39" t="str">
        <f aca="false">IFERROR(INDEX('CA Exclusion Map'!$D$2:$D$2001,MATCH($C81,'CA Exclusion Map'!$A$2:$A$2001,0)),"")</f>
        <v/>
      </c>
      <c r="V81" s="40" t="str">
        <f aca="false">IFERROR(INDEX('CA Exclusion Map'!$E$2:$E$2001,MATCH($C81,'CA Exclusion Map'!$A$2:$A$2001,0)),"")</f>
        <v/>
      </c>
      <c r="W81" s="40" t="str">
        <f aca="false">IFERROR(INDEX('CA Exclusion Map'!$F$2:$F$2001,MATCH($C81,'CA Exclusion Map'!$A$2:$A$2001,0)),"")</f>
        <v/>
      </c>
      <c r="X81" s="36"/>
      <c r="Y81" s="37"/>
      <c r="Z81" s="38"/>
      <c r="AA81" s="38"/>
      <c r="AB81" s="39" t="str">
        <f aca="true">IF(T81="","",IF(T81&lt;&gt;"Yes","N/A",IF(AA81="","NO EXPIRY SET",IF(TODAY()&gt;AA81,"EXPIRED",IF(AA81-TODAY()&lt;=30,"Expiring Soon","Active")))))</f>
        <v/>
      </c>
      <c r="AC81" s="36"/>
      <c r="AD81" s="36"/>
      <c r="AE81" s="37"/>
      <c r="AF81" s="36"/>
      <c r="AG81" s="37"/>
      <c r="AH81" s="37"/>
      <c r="AI81" s="37"/>
      <c r="AJ81" s="37"/>
      <c r="AK81" s="38"/>
      <c r="AL81" s="37"/>
      <c r="AM81" s="37"/>
      <c r="AN81" s="41" t="str">
        <f aca="false">IF(AK81="","",AK81+90)</f>
        <v/>
      </c>
      <c r="AO81" s="39" t="str">
        <f aca="true">IF(C81="","",IF(AK81="","NOT REVIEWED",IF(TODAY()&gt;AN81,"OVERDUE",IF(AN81-TODAY()&lt;=14,"Due Soon","Current"))))</f>
        <v/>
      </c>
      <c r="AP81" s="36"/>
    </row>
    <row r="82" customFormat="false" ht="15" hidden="false" customHeight="false" outlineLevel="0" collapsed="false">
      <c r="A82" s="36"/>
      <c r="B82" s="36"/>
      <c r="C82" s="36"/>
      <c r="D82" s="37"/>
      <c r="E82" s="38"/>
      <c r="F82" s="38"/>
      <c r="G82" s="36"/>
      <c r="H82" s="37"/>
      <c r="I82" s="39" t="str">
        <f aca="true">IF(F82="","",TODAY()-F82)</f>
        <v/>
      </c>
      <c r="J82" s="40" t="str">
        <f aca="false">IFERROR(INDEX('Azure Resource Map'!$H$2:$H$2001,MATCH($C82,'Azure Resource Map'!$A$2:$A$2001,0)),"")</f>
        <v/>
      </c>
      <c r="K82" s="40" t="str">
        <f aca="false">IFERROR(INDEX('Azure Resource Map'!$I$2:$I$2001,MATCH($C82,'Azure Resource Map'!$A$2:$A$2001,0)),"")</f>
        <v/>
      </c>
      <c r="L82" s="39" t="str">
        <f aca="false">IFERROR(INDEX('Azure Resource Map'!$J$2:$J$2001,MATCH($C82,'Azure Resource Map'!$A$2:$A$2001,0)),"")</f>
        <v/>
      </c>
      <c r="M82" s="40" t="str">
        <f aca="false">IFERROR(INDEX('Azure Resource Map'!$K$2:$K$2001,MATCH($C82,'Azure Resource Map'!$A$2:$A$2001,0)),"")</f>
        <v/>
      </c>
      <c r="N82" s="39" t="str">
        <f aca="false">IFERROR(INDEX('Azure Resource Map'!$L$2:$L$2001,MATCH($C82,'Azure Resource Map'!$A$2:$A$2001,0)),"")</f>
        <v/>
      </c>
      <c r="O82" s="39" t="str">
        <f aca="false">IFERROR(INDEX('Azure Resource Map'!$M$2:$M$2001,MATCH($C82,'Azure Resource Map'!$A$2:$A$2001,0)),"")</f>
        <v/>
      </c>
      <c r="P82" s="40" t="str">
        <f aca="false">IFERROR(INDEX('Azure Resource Map'!$D$2:$D$2001,MATCH($C82,'Azure Resource Map'!$A$2:$A$2001,0)),"")</f>
        <v/>
      </c>
      <c r="Q82" s="39" t="str">
        <f aca="false">IFERROR(INDEX('Azure Resource Map'!$E$2:$E$2001,MATCH($C82,'Azure Resource Map'!$A$2:$A$2001,0)),"")</f>
        <v/>
      </c>
      <c r="R82" s="39" t="str">
        <f aca="false">IFERROR(INDEX('Azure Resource Map'!$F$2:$F$2001,MATCH($C82,'Azure Resource Map'!$A$2:$A$2001,0)),"")</f>
        <v/>
      </c>
      <c r="S82" s="37"/>
      <c r="T82" s="39" t="str">
        <f aca="false">IF($C82="","",IF(ISNUMBER(MATCH($C82,'CA Exclusion Map'!$A$2:$A$2001,0)),"Yes","No"))</f>
        <v/>
      </c>
      <c r="U82" s="39" t="str">
        <f aca="false">IFERROR(INDEX('CA Exclusion Map'!$D$2:$D$2001,MATCH($C82,'CA Exclusion Map'!$A$2:$A$2001,0)),"")</f>
        <v/>
      </c>
      <c r="V82" s="40" t="str">
        <f aca="false">IFERROR(INDEX('CA Exclusion Map'!$E$2:$E$2001,MATCH($C82,'CA Exclusion Map'!$A$2:$A$2001,0)),"")</f>
        <v/>
      </c>
      <c r="W82" s="40" t="str">
        <f aca="false">IFERROR(INDEX('CA Exclusion Map'!$F$2:$F$2001,MATCH($C82,'CA Exclusion Map'!$A$2:$A$2001,0)),"")</f>
        <v/>
      </c>
      <c r="X82" s="36"/>
      <c r="Y82" s="37"/>
      <c r="Z82" s="38"/>
      <c r="AA82" s="38"/>
      <c r="AB82" s="39" t="str">
        <f aca="true">IF(T82="","",IF(T82&lt;&gt;"Yes","N/A",IF(AA82="","NO EXPIRY SET",IF(TODAY()&gt;AA82,"EXPIRED",IF(AA82-TODAY()&lt;=30,"Expiring Soon","Active")))))</f>
        <v/>
      </c>
      <c r="AC82" s="36"/>
      <c r="AD82" s="36"/>
      <c r="AE82" s="37"/>
      <c r="AF82" s="36"/>
      <c r="AG82" s="37"/>
      <c r="AH82" s="37"/>
      <c r="AI82" s="37"/>
      <c r="AJ82" s="37"/>
      <c r="AK82" s="38"/>
      <c r="AL82" s="37"/>
      <c r="AM82" s="37"/>
      <c r="AN82" s="41" t="str">
        <f aca="false">IF(AK82="","",AK82+90)</f>
        <v/>
      </c>
      <c r="AO82" s="39" t="str">
        <f aca="true">IF(C82="","",IF(AK82="","NOT REVIEWED",IF(TODAY()&gt;AN82,"OVERDUE",IF(AN82-TODAY()&lt;=14,"Due Soon","Current"))))</f>
        <v/>
      </c>
      <c r="AP82" s="36"/>
    </row>
    <row r="83" customFormat="false" ht="15" hidden="false" customHeight="false" outlineLevel="0" collapsed="false">
      <c r="A83" s="36"/>
      <c r="B83" s="36"/>
      <c r="C83" s="36"/>
      <c r="D83" s="37"/>
      <c r="E83" s="38"/>
      <c r="F83" s="38"/>
      <c r="G83" s="36"/>
      <c r="H83" s="37"/>
      <c r="I83" s="39" t="str">
        <f aca="true">IF(F83="","",TODAY()-F83)</f>
        <v/>
      </c>
      <c r="J83" s="40" t="str">
        <f aca="false">IFERROR(INDEX('Azure Resource Map'!$H$2:$H$2001,MATCH($C83,'Azure Resource Map'!$A$2:$A$2001,0)),"")</f>
        <v/>
      </c>
      <c r="K83" s="40" t="str">
        <f aca="false">IFERROR(INDEX('Azure Resource Map'!$I$2:$I$2001,MATCH($C83,'Azure Resource Map'!$A$2:$A$2001,0)),"")</f>
        <v/>
      </c>
      <c r="L83" s="39" t="str">
        <f aca="false">IFERROR(INDEX('Azure Resource Map'!$J$2:$J$2001,MATCH($C83,'Azure Resource Map'!$A$2:$A$2001,0)),"")</f>
        <v/>
      </c>
      <c r="M83" s="40" t="str">
        <f aca="false">IFERROR(INDEX('Azure Resource Map'!$K$2:$K$2001,MATCH($C83,'Azure Resource Map'!$A$2:$A$2001,0)),"")</f>
        <v/>
      </c>
      <c r="N83" s="39" t="str">
        <f aca="false">IFERROR(INDEX('Azure Resource Map'!$L$2:$L$2001,MATCH($C83,'Azure Resource Map'!$A$2:$A$2001,0)),"")</f>
        <v/>
      </c>
      <c r="O83" s="39" t="str">
        <f aca="false">IFERROR(INDEX('Azure Resource Map'!$M$2:$M$2001,MATCH($C83,'Azure Resource Map'!$A$2:$A$2001,0)),"")</f>
        <v/>
      </c>
      <c r="P83" s="40" t="str">
        <f aca="false">IFERROR(INDEX('Azure Resource Map'!$D$2:$D$2001,MATCH($C83,'Azure Resource Map'!$A$2:$A$2001,0)),"")</f>
        <v/>
      </c>
      <c r="Q83" s="39" t="str">
        <f aca="false">IFERROR(INDEX('Azure Resource Map'!$E$2:$E$2001,MATCH($C83,'Azure Resource Map'!$A$2:$A$2001,0)),"")</f>
        <v/>
      </c>
      <c r="R83" s="39" t="str">
        <f aca="false">IFERROR(INDEX('Azure Resource Map'!$F$2:$F$2001,MATCH($C83,'Azure Resource Map'!$A$2:$A$2001,0)),"")</f>
        <v/>
      </c>
      <c r="S83" s="37"/>
      <c r="T83" s="39" t="str">
        <f aca="false">IF($C83="","",IF(ISNUMBER(MATCH($C83,'CA Exclusion Map'!$A$2:$A$2001,0)),"Yes","No"))</f>
        <v/>
      </c>
      <c r="U83" s="39" t="str">
        <f aca="false">IFERROR(INDEX('CA Exclusion Map'!$D$2:$D$2001,MATCH($C83,'CA Exclusion Map'!$A$2:$A$2001,0)),"")</f>
        <v/>
      </c>
      <c r="V83" s="40" t="str">
        <f aca="false">IFERROR(INDEX('CA Exclusion Map'!$E$2:$E$2001,MATCH($C83,'CA Exclusion Map'!$A$2:$A$2001,0)),"")</f>
        <v/>
      </c>
      <c r="W83" s="40" t="str">
        <f aca="false">IFERROR(INDEX('CA Exclusion Map'!$F$2:$F$2001,MATCH($C83,'CA Exclusion Map'!$A$2:$A$2001,0)),"")</f>
        <v/>
      </c>
      <c r="X83" s="36"/>
      <c r="Y83" s="37"/>
      <c r="Z83" s="38"/>
      <c r="AA83" s="38"/>
      <c r="AB83" s="39" t="str">
        <f aca="true">IF(T83="","",IF(T83&lt;&gt;"Yes","N/A",IF(AA83="","NO EXPIRY SET",IF(TODAY()&gt;AA83,"EXPIRED",IF(AA83-TODAY()&lt;=30,"Expiring Soon","Active")))))</f>
        <v/>
      </c>
      <c r="AC83" s="36"/>
      <c r="AD83" s="36"/>
      <c r="AE83" s="37"/>
      <c r="AF83" s="36"/>
      <c r="AG83" s="37"/>
      <c r="AH83" s="37"/>
      <c r="AI83" s="37"/>
      <c r="AJ83" s="37"/>
      <c r="AK83" s="38"/>
      <c r="AL83" s="37"/>
      <c r="AM83" s="37"/>
      <c r="AN83" s="41" t="str">
        <f aca="false">IF(AK83="","",AK83+90)</f>
        <v/>
      </c>
      <c r="AO83" s="39" t="str">
        <f aca="true">IF(C83="","",IF(AK83="","NOT REVIEWED",IF(TODAY()&gt;AN83,"OVERDUE",IF(AN83-TODAY()&lt;=14,"Due Soon","Current"))))</f>
        <v/>
      </c>
      <c r="AP83" s="36"/>
    </row>
    <row r="84" customFormat="false" ht="15" hidden="false" customHeight="false" outlineLevel="0" collapsed="false">
      <c r="A84" s="36"/>
      <c r="B84" s="36"/>
      <c r="C84" s="36"/>
      <c r="D84" s="37"/>
      <c r="E84" s="38"/>
      <c r="F84" s="38"/>
      <c r="G84" s="36"/>
      <c r="H84" s="37"/>
      <c r="I84" s="39" t="str">
        <f aca="true">IF(F84="","",TODAY()-F84)</f>
        <v/>
      </c>
      <c r="J84" s="40" t="str">
        <f aca="false">IFERROR(INDEX('Azure Resource Map'!$H$2:$H$2001,MATCH($C84,'Azure Resource Map'!$A$2:$A$2001,0)),"")</f>
        <v/>
      </c>
      <c r="K84" s="40" t="str">
        <f aca="false">IFERROR(INDEX('Azure Resource Map'!$I$2:$I$2001,MATCH($C84,'Azure Resource Map'!$A$2:$A$2001,0)),"")</f>
        <v/>
      </c>
      <c r="L84" s="39" t="str">
        <f aca="false">IFERROR(INDEX('Azure Resource Map'!$J$2:$J$2001,MATCH($C84,'Azure Resource Map'!$A$2:$A$2001,0)),"")</f>
        <v/>
      </c>
      <c r="M84" s="40" t="str">
        <f aca="false">IFERROR(INDEX('Azure Resource Map'!$K$2:$K$2001,MATCH($C84,'Azure Resource Map'!$A$2:$A$2001,0)),"")</f>
        <v/>
      </c>
      <c r="N84" s="39" t="str">
        <f aca="false">IFERROR(INDEX('Azure Resource Map'!$L$2:$L$2001,MATCH($C84,'Azure Resource Map'!$A$2:$A$2001,0)),"")</f>
        <v/>
      </c>
      <c r="O84" s="39" t="str">
        <f aca="false">IFERROR(INDEX('Azure Resource Map'!$M$2:$M$2001,MATCH($C84,'Azure Resource Map'!$A$2:$A$2001,0)),"")</f>
        <v/>
      </c>
      <c r="P84" s="40" t="str">
        <f aca="false">IFERROR(INDEX('Azure Resource Map'!$D$2:$D$2001,MATCH($C84,'Azure Resource Map'!$A$2:$A$2001,0)),"")</f>
        <v/>
      </c>
      <c r="Q84" s="39" t="str">
        <f aca="false">IFERROR(INDEX('Azure Resource Map'!$E$2:$E$2001,MATCH($C84,'Azure Resource Map'!$A$2:$A$2001,0)),"")</f>
        <v/>
      </c>
      <c r="R84" s="39" t="str">
        <f aca="false">IFERROR(INDEX('Azure Resource Map'!$F$2:$F$2001,MATCH($C84,'Azure Resource Map'!$A$2:$A$2001,0)),"")</f>
        <v/>
      </c>
      <c r="S84" s="37"/>
      <c r="T84" s="39" t="str">
        <f aca="false">IF($C84="","",IF(ISNUMBER(MATCH($C84,'CA Exclusion Map'!$A$2:$A$2001,0)),"Yes","No"))</f>
        <v/>
      </c>
      <c r="U84" s="39" t="str">
        <f aca="false">IFERROR(INDEX('CA Exclusion Map'!$D$2:$D$2001,MATCH($C84,'CA Exclusion Map'!$A$2:$A$2001,0)),"")</f>
        <v/>
      </c>
      <c r="V84" s="40" t="str">
        <f aca="false">IFERROR(INDEX('CA Exclusion Map'!$E$2:$E$2001,MATCH($C84,'CA Exclusion Map'!$A$2:$A$2001,0)),"")</f>
        <v/>
      </c>
      <c r="W84" s="40" t="str">
        <f aca="false">IFERROR(INDEX('CA Exclusion Map'!$F$2:$F$2001,MATCH($C84,'CA Exclusion Map'!$A$2:$A$2001,0)),"")</f>
        <v/>
      </c>
      <c r="X84" s="36"/>
      <c r="Y84" s="37"/>
      <c r="Z84" s="38"/>
      <c r="AA84" s="38"/>
      <c r="AB84" s="39" t="str">
        <f aca="true">IF(T84="","",IF(T84&lt;&gt;"Yes","N/A",IF(AA84="","NO EXPIRY SET",IF(TODAY()&gt;AA84,"EXPIRED",IF(AA84-TODAY()&lt;=30,"Expiring Soon","Active")))))</f>
        <v/>
      </c>
      <c r="AC84" s="36"/>
      <c r="AD84" s="36"/>
      <c r="AE84" s="37"/>
      <c r="AF84" s="36"/>
      <c r="AG84" s="37"/>
      <c r="AH84" s="37"/>
      <c r="AI84" s="37"/>
      <c r="AJ84" s="37"/>
      <c r="AK84" s="38"/>
      <c r="AL84" s="37"/>
      <c r="AM84" s="37"/>
      <c r="AN84" s="41" t="str">
        <f aca="false">IF(AK84="","",AK84+90)</f>
        <v/>
      </c>
      <c r="AO84" s="39" t="str">
        <f aca="true">IF(C84="","",IF(AK84="","NOT REVIEWED",IF(TODAY()&gt;AN84,"OVERDUE",IF(AN84-TODAY()&lt;=14,"Due Soon","Current"))))</f>
        <v/>
      </c>
      <c r="AP84" s="36"/>
    </row>
    <row r="85" customFormat="false" ht="15" hidden="false" customHeight="false" outlineLevel="0" collapsed="false">
      <c r="A85" s="36"/>
      <c r="B85" s="36"/>
      <c r="C85" s="36"/>
      <c r="D85" s="37"/>
      <c r="E85" s="38"/>
      <c r="F85" s="38"/>
      <c r="G85" s="36"/>
      <c r="H85" s="37"/>
      <c r="I85" s="39" t="str">
        <f aca="true">IF(F85="","",TODAY()-F85)</f>
        <v/>
      </c>
      <c r="J85" s="40" t="str">
        <f aca="false">IFERROR(INDEX('Azure Resource Map'!$H$2:$H$2001,MATCH($C85,'Azure Resource Map'!$A$2:$A$2001,0)),"")</f>
        <v/>
      </c>
      <c r="K85" s="40" t="str">
        <f aca="false">IFERROR(INDEX('Azure Resource Map'!$I$2:$I$2001,MATCH($C85,'Azure Resource Map'!$A$2:$A$2001,0)),"")</f>
        <v/>
      </c>
      <c r="L85" s="39" t="str">
        <f aca="false">IFERROR(INDEX('Azure Resource Map'!$J$2:$J$2001,MATCH($C85,'Azure Resource Map'!$A$2:$A$2001,0)),"")</f>
        <v/>
      </c>
      <c r="M85" s="40" t="str">
        <f aca="false">IFERROR(INDEX('Azure Resource Map'!$K$2:$K$2001,MATCH($C85,'Azure Resource Map'!$A$2:$A$2001,0)),"")</f>
        <v/>
      </c>
      <c r="N85" s="39" t="str">
        <f aca="false">IFERROR(INDEX('Azure Resource Map'!$L$2:$L$2001,MATCH($C85,'Azure Resource Map'!$A$2:$A$2001,0)),"")</f>
        <v/>
      </c>
      <c r="O85" s="39" t="str">
        <f aca="false">IFERROR(INDEX('Azure Resource Map'!$M$2:$M$2001,MATCH($C85,'Azure Resource Map'!$A$2:$A$2001,0)),"")</f>
        <v/>
      </c>
      <c r="P85" s="40" t="str">
        <f aca="false">IFERROR(INDEX('Azure Resource Map'!$D$2:$D$2001,MATCH($C85,'Azure Resource Map'!$A$2:$A$2001,0)),"")</f>
        <v/>
      </c>
      <c r="Q85" s="39" t="str">
        <f aca="false">IFERROR(INDEX('Azure Resource Map'!$E$2:$E$2001,MATCH($C85,'Azure Resource Map'!$A$2:$A$2001,0)),"")</f>
        <v/>
      </c>
      <c r="R85" s="39" t="str">
        <f aca="false">IFERROR(INDEX('Azure Resource Map'!$F$2:$F$2001,MATCH($C85,'Azure Resource Map'!$A$2:$A$2001,0)),"")</f>
        <v/>
      </c>
      <c r="S85" s="37"/>
      <c r="T85" s="39" t="str">
        <f aca="false">IF($C85="","",IF(ISNUMBER(MATCH($C85,'CA Exclusion Map'!$A$2:$A$2001,0)),"Yes","No"))</f>
        <v/>
      </c>
      <c r="U85" s="39" t="str">
        <f aca="false">IFERROR(INDEX('CA Exclusion Map'!$D$2:$D$2001,MATCH($C85,'CA Exclusion Map'!$A$2:$A$2001,0)),"")</f>
        <v/>
      </c>
      <c r="V85" s="40" t="str">
        <f aca="false">IFERROR(INDEX('CA Exclusion Map'!$E$2:$E$2001,MATCH($C85,'CA Exclusion Map'!$A$2:$A$2001,0)),"")</f>
        <v/>
      </c>
      <c r="W85" s="40" t="str">
        <f aca="false">IFERROR(INDEX('CA Exclusion Map'!$F$2:$F$2001,MATCH($C85,'CA Exclusion Map'!$A$2:$A$2001,0)),"")</f>
        <v/>
      </c>
      <c r="X85" s="36"/>
      <c r="Y85" s="37"/>
      <c r="Z85" s="38"/>
      <c r="AA85" s="38"/>
      <c r="AB85" s="39" t="str">
        <f aca="true">IF(T85="","",IF(T85&lt;&gt;"Yes","N/A",IF(AA85="","NO EXPIRY SET",IF(TODAY()&gt;AA85,"EXPIRED",IF(AA85-TODAY()&lt;=30,"Expiring Soon","Active")))))</f>
        <v/>
      </c>
      <c r="AC85" s="36"/>
      <c r="AD85" s="36"/>
      <c r="AE85" s="37"/>
      <c r="AF85" s="36"/>
      <c r="AG85" s="37"/>
      <c r="AH85" s="37"/>
      <c r="AI85" s="37"/>
      <c r="AJ85" s="37"/>
      <c r="AK85" s="38"/>
      <c r="AL85" s="37"/>
      <c r="AM85" s="37"/>
      <c r="AN85" s="41" t="str">
        <f aca="false">IF(AK85="","",AK85+90)</f>
        <v/>
      </c>
      <c r="AO85" s="39" t="str">
        <f aca="true">IF(C85="","",IF(AK85="","NOT REVIEWED",IF(TODAY()&gt;AN85,"OVERDUE",IF(AN85-TODAY()&lt;=14,"Due Soon","Current"))))</f>
        <v/>
      </c>
      <c r="AP85" s="36"/>
    </row>
    <row r="86" customFormat="false" ht="15" hidden="false" customHeight="false" outlineLevel="0" collapsed="false">
      <c r="A86" s="36"/>
      <c r="B86" s="36"/>
      <c r="C86" s="36"/>
      <c r="D86" s="37"/>
      <c r="E86" s="38"/>
      <c r="F86" s="38"/>
      <c r="G86" s="36"/>
      <c r="H86" s="37"/>
      <c r="I86" s="39" t="str">
        <f aca="true">IF(F86="","",TODAY()-F86)</f>
        <v/>
      </c>
      <c r="J86" s="40" t="str">
        <f aca="false">IFERROR(INDEX('Azure Resource Map'!$H$2:$H$2001,MATCH($C86,'Azure Resource Map'!$A$2:$A$2001,0)),"")</f>
        <v/>
      </c>
      <c r="K86" s="40" t="str">
        <f aca="false">IFERROR(INDEX('Azure Resource Map'!$I$2:$I$2001,MATCH($C86,'Azure Resource Map'!$A$2:$A$2001,0)),"")</f>
        <v/>
      </c>
      <c r="L86" s="39" t="str">
        <f aca="false">IFERROR(INDEX('Azure Resource Map'!$J$2:$J$2001,MATCH($C86,'Azure Resource Map'!$A$2:$A$2001,0)),"")</f>
        <v/>
      </c>
      <c r="M86" s="40" t="str">
        <f aca="false">IFERROR(INDEX('Azure Resource Map'!$K$2:$K$2001,MATCH($C86,'Azure Resource Map'!$A$2:$A$2001,0)),"")</f>
        <v/>
      </c>
      <c r="N86" s="39" t="str">
        <f aca="false">IFERROR(INDEX('Azure Resource Map'!$L$2:$L$2001,MATCH($C86,'Azure Resource Map'!$A$2:$A$2001,0)),"")</f>
        <v/>
      </c>
      <c r="O86" s="39" t="str">
        <f aca="false">IFERROR(INDEX('Azure Resource Map'!$M$2:$M$2001,MATCH($C86,'Azure Resource Map'!$A$2:$A$2001,0)),"")</f>
        <v/>
      </c>
      <c r="P86" s="40" t="str">
        <f aca="false">IFERROR(INDEX('Azure Resource Map'!$D$2:$D$2001,MATCH($C86,'Azure Resource Map'!$A$2:$A$2001,0)),"")</f>
        <v/>
      </c>
      <c r="Q86" s="39" t="str">
        <f aca="false">IFERROR(INDEX('Azure Resource Map'!$E$2:$E$2001,MATCH($C86,'Azure Resource Map'!$A$2:$A$2001,0)),"")</f>
        <v/>
      </c>
      <c r="R86" s="39" t="str">
        <f aca="false">IFERROR(INDEX('Azure Resource Map'!$F$2:$F$2001,MATCH($C86,'Azure Resource Map'!$A$2:$A$2001,0)),"")</f>
        <v/>
      </c>
      <c r="S86" s="37"/>
      <c r="T86" s="39" t="str">
        <f aca="false">IF($C86="","",IF(ISNUMBER(MATCH($C86,'CA Exclusion Map'!$A$2:$A$2001,0)),"Yes","No"))</f>
        <v/>
      </c>
      <c r="U86" s="39" t="str">
        <f aca="false">IFERROR(INDEX('CA Exclusion Map'!$D$2:$D$2001,MATCH($C86,'CA Exclusion Map'!$A$2:$A$2001,0)),"")</f>
        <v/>
      </c>
      <c r="V86" s="40" t="str">
        <f aca="false">IFERROR(INDEX('CA Exclusion Map'!$E$2:$E$2001,MATCH($C86,'CA Exclusion Map'!$A$2:$A$2001,0)),"")</f>
        <v/>
      </c>
      <c r="W86" s="40" t="str">
        <f aca="false">IFERROR(INDEX('CA Exclusion Map'!$F$2:$F$2001,MATCH($C86,'CA Exclusion Map'!$A$2:$A$2001,0)),"")</f>
        <v/>
      </c>
      <c r="X86" s="36"/>
      <c r="Y86" s="37"/>
      <c r="Z86" s="38"/>
      <c r="AA86" s="38"/>
      <c r="AB86" s="39" t="str">
        <f aca="true">IF(T86="","",IF(T86&lt;&gt;"Yes","N/A",IF(AA86="","NO EXPIRY SET",IF(TODAY()&gt;AA86,"EXPIRED",IF(AA86-TODAY()&lt;=30,"Expiring Soon","Active")))))</f>
        <v/>
      </c>
      <c r="AC86" s="36"/>
      <c r="AD86" s="36"/>
      <c r="AE86" s="37"/>
      <c r="AF86" s="36"/>
      <c r="AG86" s="37"/>
      <c r="AH86" s="37"/>
      <c r="AI86" s="37"/>
      <c r="AJ86" s="37"/>
      <c r="AK86" s="38"/>
      <c r="AL86" s="37"/>
      <c r="AM86" s="37"/>
      <c r="AN86" s="41" t="str">
        <f aca="false">IF(AK86="","",AK86+90)</f>
        <v/>
      </c>
      <c r="AO86" s="39" t="str">
        <f aca="true">IF(C86="","",IF(AK86="","NOT REVIEWED",IF(TODAY()&gt;AN86,"OVERDUE",IF(AN86-TODAY()&lt;=14,"Due Soon","Current"))))</f>
        <v/>
      </c>
      <c r="AP86" s="36"/>
    </row>
    <row r="87" customFormat="false" ht="15" hidden="false" customHeight="false" outlineLevel="0" collapsed="false">
      <c r="A87" s="36"/>
      <c r="B87" s="36"/>
      <c r="C87" s="36"/>
      <c r="D87" s="37"/>
      <c r="E87" s="38"/>
      <c r="F87" s="38"/>
      <c r="G87" s="36"/>
      <c r="H87" s="37"/>
      <c r="I87" s="39" t="str">
        <f aca="true">IF(F87="","",TODAY()-F87)</f>
        <v/>
      </c>
      <c r="J87" s="40" t="str">
        <f aca="false">IFERROR(INDEX('Azure Resource Map'!$H$2:$H$2001,MATCH($C87,'Azure Resource Map'!$A$2:$A$2001,0)),"")</f>
        <v/>
      </c>
      <c r="K87" s="40" t="str">
        <f aca="false">IFERROR(INDEX('Azure Resource Map'!$I$2:$I$2001,MATCH($C87,'Azure Resource Map'!$A$2:$A$2001,0)),"")</f>
        <v/>
      </c>
      <c r="L87" s="39" t="str">
        <f aca="false">IFERROR(INDEX('Azure Resource Map'!$J$2:$J$2001,MATCH($C87,'Azure Resource Map'!$A$2:$A$2001,0)),"")</f>
        <v/>
      </c>
      <c r="M87" s="40" t="str">
        <f aca="false">IFERROR(INDEX('Azure Resource Map'!$K$2:$K$2001,MATCH($C87,'Azure Resource Map'!$A$2:$A$2001,0)),"")</f>
        <v/>
      </c>
      <c r="N87" s="39" t="str">
        <f aca="false">IFERROR(INDEX('Azure Resource Map'!$L$2:$L$2001,MATCH($C87,'Azure Resource Map'!$A$2:$A$2001,0)),"")</f>
        <v/>
      </c>
      <c r="O87" s="39" t="str">
        <f aca="false">IFERROR(INDEX('Azure Resource Map'!$M$2:$M$2001,MATCH($C87,'Azure Resource Map'!$A$2:$A$2001,0)),"")</f>
        <v/>
      </c>
      <c r="P87" s="40" t="str">
        <f aca="false">IFERROR(INDEX('Azure Resource Map'!$D$2:$D$2001,MATCH($C87,'Azure Resource Map'!$A$2:$A$2001,0)),"")</f>
        <v/>
      </c>
      <c r="Q87" s="39" t="str">
        <f aca="false">IFERROR(INDEX('Azure Resource Map'!$E$2:$E$2001,MATCH($C87,'Azure Resource Map'!$A$2:$A$2001,0)),"")</f>
        <v/>
      </c>
      <c r="R87" s="39" t="str">
        <f aca="false">IFERROR(INDEX('Azure Resource Map'!$F$2:$F$2001,MATCH($C87,'Azure Resource Map'!$A$2:$A$2001,0)),"")</f>
        <v/>
      </c>
      <c r="S87" s="37"/>
      <c r="T87" s="39" t="str">
        <f aca="false">IF($C87="","",IF(ISNUMBER(MATCH($C87,'CA Exclusion Map'!$A$2:$A$2001,0)),"Yes","No"))</f>
        <v/>
      </c>
      <c r="U87" s="39" t="str">
        <f aca="false">IFERROR(INDEX('CA Exclusion Map'!$D$2:$D$2001,MATCH($C87,'CA Exclusion Map'!$A$2:$A$2001,0)),"")</f>
        <v/>
      </c>
      <c r="V87" s="40" t="str">
        <f aca="false">IFERROR(INDEX('CA Exclusion Map'!$E$2:$E$2001,MATCH($C87,'CA Exclusion Map'!$A$2:$A$2001,0)),"")</f>
        <v/>
      </c>
      <c r="W87" s="40" t="str">
        <f aca="false">IFERROR(INDEX('CA Exclusion Map'!$F$2:$F$2001,MATCH($C87,'CA Exclusion Map'!$A$2:$A$2001,0)),"")</f>
        <v/>
      </c>
      <c r="X87" s="36"/>
      <c r="Y87" s="37"/>
      <c r="Z87" s="38"/>
      <c r="AA87" s="38"/>
      <c r="AB87" s="39" t="str">
        <f aca="true">IF(T87="","",IF(T87&lt;&gt;"Yes","N/A",IF(AA87="","NO EXPIRY SET",IF(TODAY()&gt;AA87,"EXPIRED",IF(AA87-TODAY()&lt;=30,"Expiring Soon","Active")))))</f>
        <v/>
      </c>
      <c r="AC87" s="36"/>
      <c r="AD87" s="36"/>
      <c r="AE87" s="37"/>
      <c r="AF87" s="36"/>
      <c r="AG87" s="37"/>
      <c r="AH87" s="37"/>
      <c r="AI87" s="37"/>
      <c r="AJ87" s="37"/>
      <c r="AK87" s="38"/>
      <c r="AL87" s="37"/>
      <c r="AM87" s="37"/>
      <c r="AN87" s="41" t="str">
        <f aca="false">IF(AK87="","",AK87+90)</f>
        <v/>
      </c>
      <c r="AO87" s="39" t="str">
        <f aca="true">IF(C87="","",IF(AK87="","NOT REVIEWED",IF(TODAY()&gt;AN87,"OVERDUE",IF(AN87-TODAY()&lt;=14,"Due Soon","Current"))))</f>
        <v/>
      </c>
      <c r="AP87" s="36"/>
    </row>
    <row r="88" customFormat="false" ht="15" hidden="false" customHeight="false" outlineLevel="0" collapsed="false">
      <c r="A88" s="36"/>
      <c r="B88" s="36"/>
      <c r="C88" s="36"/>
      <c r="D88" s="37"/>
      <c r="E88" s="38"/>
      <c r="F88" s="38"/>
      <c r="G88" s="36"/>
      <c r="H88" s="37"/>
      <c r="I88" s="39" t="str">
        <f aca="true">IF(F88="","",TODAY()-F88)</f>
        <v/>
      </c>
      <c r="J88" s="40" t="str">
        <f aca="false">IFERROR(INDEX('Azure Resource Map'!$H$2:$H$2001,MATCH($C88,'Azure Resource Map'!$A$2:$A$2001,0)),"")</f>
        <v/>
      </c>
      <c r="K88" s="40" t="str">
        <f aca="false">IFERROR(INDEX('Azure Resource Map'!$I$2:$I$2001,MATCH($C88,'Azure Resource Map'!$A$2:$A$2001,0)),"")</f>
        <v/>
      </c>
      <c r="L88" s="39" t="str">
        <f aca="false">IFERROR(INDEX('Azure Resource Map'!$J$2:$J$2001,MATCH($C88,'Azure Resource Map'!$A$2:$A$2001,0)),"")</f>
        <v/>
      </c>
      <c r="M88" s="40" t="str">
        <f aca="false">IFERROR(INDEX('Azure Resource Map'!$K$2:$K$2001,MATCH($C88,'Azure Resource Map'!$A$2:$A$2001,0)),"")</f>
        <v/>
      </c>
      <c r="N88" s="39" t="str">
        <f aca="false">IFERROR(INDEX('Azure Resource Map'!$L$2:$L$2001,MATCH($C88,'Azure Resource Map'!$A$2:$A$2001,0)),"")</f>
        <v/>
      </c>
      <c r="O88" s="39" t="str">
        <f aca="false">IFERROR(INDEX('Azure Resource Map'!$M$2:$M$2001,MATCH($C88,'Azure Resource Map'!$A$2:$A$2001,0)),"")</f>
        <v/>
      </c>
      <c r="P88" s="40" t="str">
        <f aca="false">IFERROR(INDEX('Azure Resource Map'!$D$2:$D$2001,MATCH($C88,'Azure Resource Map'!$A$2:$A$2001,0)),"")</f>
        <v/>
      </c>
      <c r="Q88" s="39" t="str">
        <f aca="false">IFERROR(INDEX('Azure Resource Map'!$E$2:$E$2001,MATCH($C88,'Azure Resource Map'!$A$2:$A$2001,0)),"")</f>
        <v/>
      </c>
      <c r="R88" s="39" t="str">
        <f aca="false">IFERROR(INDEX('Azure Resource Map'!$F$2:$F$2001,MATCH($C88,'Azure Resource Map'!$A$2:$A$2001,0)),"")</f>
        <v/>
      </c>
      <c r="S88" s="37"/>
      <c r="T88" s="39" t="str">
        <f aca="false">IF($C88="","",IF(ISNUMBER(MATCH($C88,'CA Exclusion Map'!$A$2:$A$2001,0)),"Yes","No"))</f>
        <v/>
      </c>
      <c r="U88" s="39" t="str">
        <f aca="false">IFERROR(INDEX('CA Exclusion Map'!$D$2:$D$2001,MATCH($C88,'CA Exclusion Map'!$A$2:$A$2001,0)),"")</f>
        <v/>
      </c>
      <c r="V88" s="40" t="str">
        <f aca="false">IFERROR(INDEX('CA Exclusion Map'!$E$2:$E$2001,MATCH($C88,'CA Exclusion Map'!$A$2:$A$2001,0)),"")</f>
        <v/>
      </c>
      <c r="W88" s="40" t="str">
        <f aca="false">IFERROR(INDEX('CA Exclusion Map'!$F$2:$F$2001,MATCH($C88,'CA Exclusion Map'!$A$2:$A$2001,0)),"")</f>
        <v/>
      </c>
      <c r="X88" s="36"/>
      <c r="Y88" s="37"/>
      <c r="Z88" s="38"/>
      <c r="AA88" s="38"/>
      <c r="AB88" s="39" t="str">
        <f aca="true">IF(T88="","",IF(T88&lt;&gt;"Yes","N/A",IF(AA88="","NO EXPIRY SET",IF(TODAY()&gt;AA88,"EXPIRED",IF(AA88-TODAY()&lt;=30,"Expiring Soon","Active")))))</f>
        <v/>
      </c>
      <c r="AC88" s="36"/>
      <c r="AD88" s="36"/>
      <c r="AE88" s="37"/>
      <c r="AF88" s="36"/>
      <c r="AG88" s="37"/>
      <c r="AH88" s="37"/>
      <c r="AI88" s="37"/>
      <c r="AJ88" s="37"/>
      <c r="AK88" s="38"/>
      <c r="AL88" s="37"/>
      <c r="AM88" s="37"/>
      <c r="AN88" s="41" t="str">
        <f aca="false">IF(AK88="","",AK88+90)</f>
        <v/>
      </c>
      <c r="AO88" s="39" t="str">
        <f aca="true">IF(C88="","",IF(AK88="","NOT REVIEWED",IF(TODAY()&gt;AN88,"OVERDUE",IF(AN88-TODAY()&lt;=14,"Due Soon","Current"))))</f>
        <v/>
      </c>
      <c r="AP88" s="36"/>
    </row>
    <row r="89" customFormat="false" ht="15" hidden="false" customHeight="false" outlineLevel="0" collapsed="false">
      <c r="A89" s="36"/>
      <c r="B89" s="36"/>
      <c r="C89" s="36"/>
      <c r="D89" s="37"/>
      <c r="E89" s="38"/>
      <c r="F89" s="38"/>
      <c r="G89" s="36"/>
      <c r="H89" s="37"/>
      <c r="I89" s="39" t="str">
        <f aca="true">IF(F89="","",TODAY()-F89)</f>
        <v/>
      </c>
      <c r="J89" s="40" t="str">
        <f aca="false">IFERROR(INDEX('Azure Resource Map'!$H$2:$H$2001,MATCH($C89,'Azure Resource Map'!$A$2:$A$2001,0)),"")</f>
        <v/>
      </c>
      <c r="K89" s="40" t="str">
        <f aca="false">IFERROR(INDEX('Azure Resource Map'!$I$2:$I$2001,MATCH($C89,'Azure Resource Map'!$A$2:$A$2001,0)),"")</f>
        <v/>
      </c>
      <c r="L89" s="39" t="str">
        <f aca="false">IFERROR(INDEX('Azure Resource Map'!$J$2:$J$2001,MATCH($C89,'Azure Resource Map'!$A$2:$A$2001,0)),"")</f>
        <v/>
      </c>
      <c r="M89" s="40" t="str">
        <f aca="false">IFERROR(INDEX('Azure Resource Map'!$K$2:$K$2001,MATCH($C89,'Azure Resource Map'!$A$2:$A$2001,0)),"")</f>
        <v/>
      </c>
      <c r="N89" s="39" t="str">
        <f aca="false">IFERROR(INDEX('Azure Resource Map'!$L$2:$L$2001,MATCH($C89,'Azure Resource Map'!$A$2:$A$2001,0)),"")</f>
        <v/>
      </c>
      <c r="O89" s="39" t="str">
        <f aca="false">IFERROR(INDEX('Azure Resource Map'!$M$2:$M$2001,MATCH($C89,'Azure Resource Map'!$A$2:$A$2001,0)),"")</f>
        <v/>
      </c>
      <c r="P89" s="40" t="str">
        <f aca="false">IFERROR(INDEX('Azure Resource Map'!$D$2:$D$2001,MATCH($C89,'Azure Resource Map'!$A$2:$A$2001,0)),"")</f>
        <v/>
      </c>
      <c r="Q89" s="39" t="str">
        <f aca="false">IFERROR(INDEX('Azure Resource Map'!$E$2:$E$2001,MATCH($C89,'Azure Resource Map'!$A$2:$A$2001,0)),"")</f>
        <v/>
      </c>
      <c r="R89" s="39" t="str">
        <f aca="false">IFERROR(INDEX('Azure Resource Map'!$F$2:$F$2001,MATCH($C89,'Azure Resource Map'!$A$2:$A$2001,0)),"")</f>
        <v/>
      </c>
      <c r="S89" s="37"/>
      <c r="T89" s="39" t="str">
        <f aca="false">IF($C89="","",IF(ISNUMBER(MATCH($C89,'CA Exclusion Map'!$A$2:$A$2001,0)),"Yes","No"))</f>
        <v/>
      </c>
      <c r="U89" s="39" t="str">
        <f aca="false">IFERROR(INDEX('CA Exclusion Map'!$D$2:$D$2001,MATCH($C89,'CA Exclusion Map'!$A$2:$A$2001,0)),"")</f>
        <v/>
      </c>
      <c r="V89" s="40" t="str">
        <f aca="false">IFERROR(INDEX('CA Exclusion Map'!$E$2:$E$2001,MATCH($C89,'CA Exclusion Map'!$A$2:$A$2001,0)),"")</f>
        <v/>
      </c>
      <c r="W89" s="40" t="str">
        <f aca="false">IFERROR(INDEX('CA Exclusion Map'!$F$2:$F$2001,MATCH($C89,'CA Exclusion Map'!$A$2:$A$2001,0)),"")</f>
        <v/>
      </c>
      <c r="X89" s="36"/>
      <c r="Y89" s="37"/>
      <c r="Z89" s="38"/>
      <c r="AA89" s="38"/>
      <c r="AB89" s="39" t="str">
        <f aca="true">IF(T89="","",IF(T89&lt;&gt;"Yes","N/A",IF(AA89="","NO EXPIRY SET",IF(TODAY()&gt;AA89,"EXPIRED",IF(AA89-TODAY()&lt;=30,"Expiring Soon","Active")))))</f>
        <v/>
      </c>
      <c r="AC89" s="36"/>
      <c r="AD89" s="36"/>
      <c r="AE89" s="37"/>
      <c r="AF89" s="36"/>
      <c r="AG89" s="37"/>
      <c r="AH89" s="37"/>
      <c r="AI89" s="37"/>
      <c r="AJ89" s="37"/>
      <c r="AK89" s="38"/>
      <c r="AL89" s="37"/>
      <c r="AM89" s="37"/>
      <c r="AN89" s="41" t="str">
        <f aca="false">IF(AK89="","",AK89+90)</f>
        <v/>
      </c>
      <c r="AO89" s="39" t="str">
        <f aca="true">IF(C89="","",IF(AK89="","NOT REVIEWED",IF(TODAY()&gt;AN89,"OVERDUE",IF(AN89-TODAY()&lt;=14,"Due Soon","Current"))))</f>
        <v/>
      </c>
      <c r="AP89" s="36"/>
    </row>
    <row r="90" customFormat="false" ht="15" hidden="false" customHeight="false" outlineLevel="0" collapsed="false">
      <c r="A90" s="36"/>
      <c r="B90" s="36"/>
      <c r="C90" s="36"/>
      <c r="D90" s="37"/>
      <c r="E90" s="38"/>
      <c r="F90" s="38"/>
      <c r="G90" s="36"/>
      <c r="H90" s="37"/>
      <c r="I90" s="39" t="str">
        <f aca="true">IF(F90="","",TODAY()-F90)</f>
        <v/>
      </c>
      <c r="J90" s="40" t="str">
        <f aca="false">IFERROR(INDEX('Azure Resource Map'!$H$2:$H$2001,MATCH($C90,'Azure Resource Map'!$A$2:$A$2001,0)),"")</f>
        <v/>
      </c>
      <c r="K90" s="40" t="str">
        <f aca="false">IFERROR(INDEX('Azure Resource Map'!$I$2:$I$2001,MATCH($C90,'Azure Resource Map'!$A$2:$A$2001,0)),"")</f>
        <v/>
      </c>
      <c r="L90" s="39" t="str">
        <f aca="false">IFERROR(INDEX('Azure Resource Map'!$J$2:$J$2001,MATCH($C90,'Azure Resource Map'!$A$2:$A$2001,0)),"")</f>
        <v/>
      </c>
      <c r="M90" s="40" t="str">
        <f aca="false">IFERROR(INDEX('Azure Resource Map'!$K$2:$K$2001,MATCH($C90,'Azure Resource Map'!$A$2:$A$2001,0)),"")</f>
        <v/>
      </c>
      <c r="N90" s="39" t="str">
        <f aca="false">IFERROR(INDEX('Azure Resource Map'!$L$2:$L$2001,MATCH($C90,'Azure Resource Map'!$A$2:$A$2001,0)),"")</f>
        <v/>
      </c>
      <c r="O90" s="39" t="str">
        <f aca="false">IFERROR(INDEX('Azure Resource Map'!$M$2:$M$2001,MATCH($C90,'Azure Resource Map'!$A$2:$A$2001,0)),"")</f>
        <v/>
      </c>
      <c r="P90" s="40" t="str">
        <f aca="false">IFERROR(INDEX('Azure Resource Map'!$D$2:$D$2001,MATCH($C90,'Azure Resource Map'!$A$2:$A$2001,0)),"")</f>
        <v/>
      </c>
      <c r="Q90" s="39" t="str">
        <f aca="false">IFERROR(INDEX('Azure Resource Map'!$E$2:$E$2001,MATCH($C90,'Azure Resource Map'!$A$2:$A$2001,0)),"")</f>
        <v/>
      </c>
      <c r="R90" s="39" t="str">
        <f aca="false">IFERROR(INDEX('Azure Resource Map'!$F$2:$F$2001,MATCH($C90,'Azure Resource Map'!$A$2:$A$2001,0)),"")</f>
        <v/>
      </c>
      <c r="S90" s="37"/>
      <c r="T90" s="39" t="str">
        <f aca="false">IF($C90="","",IF(ISNUMBER(MATCH($C90,'CA Exclusion Map'!$A$2:$A$2001,0)),"Yes","No"))</f>
        <v/>
      </c>
      <c r="U90" s="39" t="str">
        <f aca="false">IFERROR(INDEX('CA Exclusion Map'!$D$2:$D$2001,MATCH($C90,'CA Exclusion Map'!$A$2:$A$2001,0)),"")</f>
        <v/>
      </c>
      <c r="V90" s="40" t="str">
        <f aca="false">IFERROR(INDEX('CA Exclusion Map'!$E$2:$E$2001,MATCH($C90,'CA Exclusion Map'!$A$2:$A$2001,0)),"")</f>
        <v/>
      </c>
      <c r="W90" s="40" t="str">
        <f aca="false">IFERROR(INDEX('CA Exclusion Map'!$F$2:$F$2001,MATCH($C90,'CA Exclusion Map'!$A$2:$A$2001,0)),"")</f>
        <v/>
      </c>
      <c r="X90" s="36"/>
      <c r="Y90" s="37"/>
      <c r="Z90" s="38"/>
      <c r="AA90" s="38"/>
      <c r="AB90" s="39" t="str">
        <f aca="true">IF(T90="","",IF(T90&lt;&gt;"Yes","N/A",IF(AA90="","NO EXPIRY SET",IF(TODAY()&gt;AA90,"EXPIRED",IF(AA90-TODAY()&lt;=30,"Expiring Soon","Active")))))</f>
        <v/>
      </c>
      <c r="AC90" s="36"/>
      <c r="AD90" s="36"/>
      <c r="AE90" s="37"/>
      <c r="AF90" s="36"/>
      <c r="AG90" s="37"/>
      <c r="AH90" s="37"/>
      <c r="AI90" s="37"/>
      <c r="AJ90" s="37"/>
      <c r="AK90" s="38"/>
      <c r="AL90" s="37"/>
      <c r="AM90" s="37"/>
      <c r="AN90" s="41" t="str">
        <f aca="false">IF(AK90="","",AK90+90)</f>
        <v/>
      </c>
      <c r="AO90" s="39" t="str">
        <f aca="true">IF(C90="","",IF(AK90="","NOT REVIEWED",IF(TODAY()&gt;AN90,"OVERDUE",IF(AN90-TODAY()&lt;=14,"Due Soon","Current"))))</f>
        <v/>
      </c>
      <c r="AP90" s="36"/>
    </row>
    <row r="91" customFormat="false" ht="15" hidden="false" customHeight="false" outlineLevel="0" collapsed="false">
      <c r="A91" s="36"/>
      <c r="B91" s="36"/>
      <c r="C91" s="36"/>
      <c r="D91" s="37"/>
      <c r="E91" s="38"/>
      <c r="F91" s="38"/>
      <c r="G91" s="36"/>
      <c r="H91" s="37"/>
      <c r="I91" s="39" t="str">
        <f aca="true">IF(F91="","",TODAY()-F91)</f>
        <v/>
      </c>
      <c r="J91" s="40" t="str">
        <f aca="false">IFERROR(INDEX('Azure Resource Map'!$H$2:$H$2001,MATCH($C91,'Azure Resource Map'!$A$2:$A$2001,0)),"")</f>
        <v/>
      </c>
      <c r="K91" s="40" t="str">
        <f aca="false">IFERROR(INDEX('Azure Resource Map'!$I$2:$I$2001,MATCH($C91,'Azure Resource Map'!$A$2:$A$2001,0)),"")</f>
        <v/>
      </c>
      <c r="L91" s="39" t="str">
        <f aca="false">IFERROR(INDEX('Azure Resource Map'!$J$2:$J$2001,MATCH($C91,'Azure Resource Map'!$A$2:$A$2001,0)),"")</f>
        <v/>
      </c>
      <c r="M91" s="40" t="str">
        <f aca="false">IFERROR(INDEX('Azure Resource Map'!$K$2:$K$2001,MATCH($C91,'Azure Resource Map'!$A$2:$A$2001,0)),"")</f>
        <v/>
      </c>
      <c r="N91" s="39" t="str">
        <f aca="false">IFERROR(INDEX('Azure Resource Map'!$L$2:$L$2001,MATCH($C91,'Azure Resource Map'!$A$2:$A$2001,0)),"")</f>
        <v/>
      </c>
      <c r="O91" s="39" t="str">
        <f aca="false">IFERROR(INDEX('Azure Resource Map'!$M$2:$M$2001,MATCH($C91,'Azure Resource Map'!$A$2:$A$2001,0)),"")</f>
        <v/>
      </c>
      <c r="P91" s="40" t="str">
        <f aca="false">IFERROR(INDEX('Azure Resource Map'!$D$2:$D$2001,MATCH($C91,'Azure Resource Map'!$A$2:$A$2001,0)),"")</f>
        <v/>
      </c>
      <c r="Q91" s="39" t="str">
        <f aca="false">IFERROR(INDEX('Azure Resource Map'!$E$2:$E$2001,MATCH($C91,'Azure Resource Map'!$A$2:$A$2001,0)),"")</f>
        <v/>
      </c>
      <c r="R91" s="39" t="str">
        <f aca="false">IFERROR(INDEX('Azure Resource Map'!$F$2:$F$2001,MATCH($C91,'Azure Resource Map'!$A$2:$A$2001,0)),"")</f>
        <v/>
      </c>
      <c r="S91" s="37"/>
      <c r="T91" s="39" t="str">
        <f aca="false">IF($C91="","",IF(ISNUMBER(MATCH($C91,'CA Exclusion Map'!$A$2:$A$2001,0)),"Yes","No"))</f>
        <v/>
      </c>
      <c r="U91" s="39" t="str">
        <f aca="false">IFERROR(INDEX('CA Exclusion Map'!$D$2:$D$2001,MATCH($C91,'CA Exclusion Map'!$A$2:$A$2001,0)),"")</f>
        <v/>
      </c>
      <c r="V91" s="40" t="str">
        <f aca="false">IFERROR(INDEX('CA Exclusion Map'!$E$2:$E$2001,MATCH($C91,'CA Exclusion Map'!$A$2:$A$2001,0)),"")</f>
        <v/>
      </c>
      <c r="W91" s="40" t="str">
        <f aca="false">IFERROR(INDEX('CA Exclusion Map'!$F$2:$F$2001,MATCH($C91,'CA Exclusion Map'!$A$2:$A$2001,0)),"")</f>
        <v/>
      </c>
      <c r="X91" s="36"/>
      <c r="Y91" s="37"/>
      <c r="Z91" s="38"/>
      <c r="AA91" s="38"/>
      <c r="AB91" s="39" t="str">
        <f aca="true">IF(T91="","",IF(T91&lt;&gt;"Yes","N/A",IF(AA91="","NO EXPIRY SET",IF(TODAY()&gt;AA91,"EXPIRED",IF(AA91-TODAY()&lt;=30,"Expiring Soon","Active")))))</f>
        <v/>
      </c>
      <c r="AC91" s="36"/>
      <c r="AD91" s="36"/>
      <c r="AE91" s="37"/>
      <c r="AF91" s="36"/>
      <c r="AG91" s="37"/>
      <c r="AH91" s="37"/>
      <c r="AI91" s="37"/>
      <c r="AJ91" s="37"/>
      <c r="AK91" s="38"/>
      <c r="AL91" s="37"/>
      <c r="AM91" s="37"/>
      <c r="AN91" s="41" t="str">
        <f aca="false">IF(AK91="","",AK91+90)</f>
        <v/>
      </c>
      <c r="AO91" s="39" t="str">
        <f aca="true">IF(C91="","",IF(AK91="","NOT REVIEWED",IF(TODAY()&gt;AN91,"OVERDUE",IF(AN91-TODAY()&lt;=14,"Due Soon","Current"))))</f>
        <v/>
      </c>
      <c r="AP91" s="36"/>
    </row>
    <row r="92" customFormat="false" ht="15" hidden="false" customHeight="false" outlineLevel="0" collapsed="false">
      <c r="A92" s="36"/>
      <c r="B92" s="36"/>
      <c r="C92" s="36"/>
      <c r="D92" s="37"/>
      <c r="E92" s="38"/>
      <c r="F92" s="38"/>
      <c r="G92" s="36"/>
      <c r="H92" s="37"/>
      <c r="I92" s="39" t="str">
        <f aca="true">IF(F92="","",TODAY()-F92)</f>
        <v/>
      </c>
      <c r="J92" s="40" t="str">
        <f aca="false">IFERROR(INDEX('Azure Resource Map'!$H$2:$H$2001,MATCH($C92,'Azure Resource Map'!$A$2:$A$2001,0)),"")</f>
        <v/>
      </c>
      <c r="K92" s="40" t="str">
        <f aca="false">IFERROR(INDEX('Azure Resource Map'!$I$2:$I$2001,MATCH($C92,'Azure Resource Map'!$A$2:$A$2001,0)),"")</f>
        <v/>
      </c>
      <c r="L92" s="39" t="str">
        <f aca="false">IFERROR(INDEX('Azure Resource Map'!$J$2:$J$2001,MATCH($C92,'Azure Resource Map'!$A$2:$A$2001,0)),"")</f>
        <v/>
      </c>
      <c r="M92" s="40" t="str">
        <f aca="false">IFERROR(INDEX('Azure Resource Map'!$K$2:$K$2001,MATCH($C92,'Azure Resource Map'!$A$2:$A$2001,0)),"")</f>
        <v/>
      </c>
      <c r="N92" s="39" t="str">
        <f aca="false">IFERROR(INDEX('Azure Resource Map'!$L$2:$L$2001,MATCH($C92,'Azure Resource Map'!$A$2:$A$2001,0)),"")</f>
        <v/>
      </c>
      <c r="O92" s="39" t="str">
        <f aca="false">IFERROR(INDEX('Azure Resource Map'!$M$2:$M$2001,MATCH($C92,'Azure Resource Map'!$A$2:$A$2001,0)),"")</f>
        <v/>
      </c>
      <c r="P92" s="40" t="str">
        <f aca="false">IFERROR(INDEX('Azure Resource Map'!$D$2:$D$2001,MATCH($C92,'Azure Resource Map'!$A$2:$A$2001,0)),"")</f>
        <v/>
      </c>
      <c r="Q92" s="39" t="str">
        <f aca="false">IFERROR(INDEX('Azure Resource Map'!$E$2:$E$2001,MATCH($C92,'Azure Resource Map'!$A$2:$A$2001,0)),"")</f>
        <v/>
      </c>
      <c r="R92" s="39" t="str">
        <f aca="false">IFERROR(INDEX('Azure Resource Map'!$F$2:$F$2001,MATCH($C92,'Azure Resource Map'!$A$2:$A$2001,0)),"")</f>
        <v/>
      </c>
      <c r="S92" s="37"/>
      <c r="T92" s="39" t="str">
        <f aca="false">IF($C92="","",IF(ISNUMBER(MATCH($C92,'CA Exclusion Map'!$A$2:$A$2001,0)),"Yes","No"))</f>
        <v/>
      </c>
      <c r="U92" s="39" t="str">
        <f aca="false">IFERROR(INDEX('CA Exclusion Map'!$D$2:$D$2001,MATCH($C92,'CA Exclusion Map'!$A$2:$A$2001,0)),"")</f>
        <v/>
      </c>
      <c r="V92" s="40" t="str">
        <f aca="false">IFERROR(INDEX('CA Exclusion Map'!$E$2:$E$2001,MATCH($C92,'CA Exclusion Map'!$A$2:$A$2001,0)),"")</f>
        <v/>
      </c>
      <c r="W92" s="40" t="str">
        <f aca="false">IFERROR(INDEX('CA Exclusion Map'!$F$2:$F$2001,MATCH($C92,'CA Exclusion Map'!$A$2:$A$2001,0)),"")</f>
        <v/>
      </c>
      <c r="X92" s="36"/>
      <c r="Y92" s="37"/>
      <c r="Z92" s="38"/>
      <c r="AA92" s="38"/>
      <c r="AB92" s="39" t="str">
        <f aca="true">IF(T92="","",IF(T92&lt;&gt;"Yes","N/A",IF(AA92="","NO EXPIRY SET",IF(TODAY()&gt;AA92,"EXPIRED",IF(AA92-TODAY()&lt;=30,"Expiring Soon","Active")))))</f>
        <v/>
      </c>
      <c r="AC92" s="36"/>
      <c r="AD92" s="36"/>
      <c r="AE92" s="37"/>
      <c r="AF92" s="36"/>
      <c r="AG92" s="37"/>
      <c r="AH92" s="37"/>
      <c r="AI92" s="37"/>
      <c r="AJ92" s="37"/>
      <c r="AK92" s="38"/>
      <c r="AL92" s="37"/>
      <c r="AM92" s="37"/>
      <c r="AN92" s="41" t="str">
        <f aca="false">IF(AK92="","",AK92+90)</f>
        <v/>
      </c>
      <c r="AO92" s="39" t="str">
        <f aca="true">IF(C92="","",IF(AK92="","NOT REVIEWED",IF(TODAY()&gt;AN92,"OVERDUE",IF(AN92-TODAY()&lt;=14,"Due Soon","Current"))))</f>
        <v/>
      </c>
      <c r="AP92" s="36"/>
    </row>
    <row r="93" customFormat="false" ht="15" hidden="false" customHeight="false" outlineLevel="0" collapsed="false">
      <c r="A93" s="36"/>
      <c r="B93" s="36"/>
      <c r="C93" s="36"/>
      <c r="D93" s="37"/>
      <c r="E93" s="38"/>
      <c r="F93" s="38"/>
      <c r="G93" s="36"/>
      <c r="H93" s="37"/>
      <c r="I93" s="39" t="str">
        <f aca="true">IF(F93="","",TODAY()-F93)</f>
        <v/>
      </c>
      <c r="J93" s="40" t="str">
        <f aca="false">IFERROR(INDEX('Azure Resource Map'!$H$2:$H$2001,MATCH($C93,'Azure Resource Map'!$A$2:$A$2001,0)),"")</f>
        <v/>
      </c>
      <c r="K93" s="40" t="str">
        <f aca="false">IFERROR(INDEX('Azure Resource Map'!$I$2:$I$2001,MATCH($C93,'Azure Resource Map'!$A$2:$A$2001,0)),"")</f>
        <v/>
      </c>
      <c r="L93" s="39" t="str">
        <f aca="false">IFERROR(INDEX('Azure Resource Map'!$J$2:$J$2001,MATCH($C93,'Azure Resource Map'!$A$2:$A$2001,0)),"")</f>
        <v/>
      </c>
      <c r="M93" s="40" t="str">
        <f aca="false">IFERROR(INDEX('Azure Resource Map'!$K$2:$K$2001,MATCH($C93,'Azure Resource Map'!$A$2:$A$2001,0)),"")</f>
        <v/>
      </c>
      <c r="N93" s="39" t="str">
        <f aca="false">IFERROR(INDEX('Azure Resource Map'!$L$2:$L$2001,MATCH($C93,'Azure Resource Map'!$A$2:$A$2001,0)),"")</f>
        <v/>
      </c>
      <c r="O93" s="39" t="str">
        <f aca="false">IFERROR(INDEX('Azure Resource Map'!$M$2:$M$2001,MATCH($C93,'Azure Resource Map'!$A$2:$A$2001,0)),"")</f>
        <v/>
      </c>
      <c r="P93" s="40" t="str">
        <f aca="false">IFERROR(INDEX('Azure Resource Map'!$D$2:$D$2001,MATCH($C93,'Azure Resource Map'!$A$2:$A$2001,0)),"")</f>
        <v/>
      </c>
      <c r="Q93" s="39" t="str">
        <f aca="false">IFERROR(INDEX('Azure Resource Map'!$E$2:$E$2001,MATCH($C93,'Azure Resource Map'!$A$2:$A$2001,0)),"")</f>
        <v/>
      </c>
      <c r="R93" s="39" t="str">
        <f aca="false">IFERROR(INDEX('Azure Resource Map'!$F$2:$F$2001,MATCH($C93,'Azure Resource Map'!$A$2:$A$2001,0)),"")</f>
        <v/>
      </c>
      <c r="S93" s="37"/>
      <c r="T93" s="39" t="str">
        <f aca="false">IF($C93="","",IF(ISNUMBER(MATCH($C93,'CA Exclusion Map'!$A$2:$A$2001,0)),"Yes","No"))</f>
        <v/>
      </c>
      <c r="U93" s="39" t="str">
        <f aca="false">IFERROR(INDEX('CA Exclusion Map'!$D$2:$D$2001,MATCH($C93,'CA Exclusion Map'!$A$2:$A$2001,0)),"")</f>
        <v/>
      </c>
      <c r="V93" s="40" t="str">
        <f aca="false">IFERROR(INDEX('CA Exclusion Map'!$E$2:$E$2001,MATCH($C93,'CA Exclusion Map'!$A$2:$A$2001,0)),"")</f>
        <v/>
      </c>
      <c r="W93" s="40" t="str">
        <f aca="false">IFERROR(INDEX('CA Exclusion Map'!$F$2:$F$2001,MATCH($C93,'CA Exclusion Map'!$A$2:$A$2001,0)),"")</f>
        <v/>
      </c>
      <c r="X93" s="36"/>
      <c r="Y93" s="37"/>
      <c r="Z93" s="38"/>
      <c r="AA93" s="38"/>
      <c r="AB93" s="39" t="str">
        <f aca="true">IF(T93="","",IF(T93&lt;&gt;"Yes","N/A",IF(AA93="","NO EXPIRY SET",IF(TODAY()&gt;AA93,"EXPIRED",IF(AA93-TODAY()&lt;=30,"Expiring Soon","Active")))))</f>
        <v/>
      </c>
      <c r="AC93" s="36"/>
      <c r="AD93" s="36"/>
      <c r="AE93" s="37"/>
      <c r="AF93" s="36"/>
      <c r="AG93" s="37"/>
      <c r="AH93" s="37"/>
      <c r="AI93" s="37"/>
      <c r="AJ93" s="37"/>
      <c r="AK93" s="38"/>
      <c r="AL93" s="37"/>
      <c r="AM93" s="37"/>
      <c r="AN93" s="41" t="str">
        <f aca="false">IF(AK93="","",AK93+90)</f>
        <v/>
      </c>
      <c r="AO93" s="39" t="str">
        <f aca="true">IF(C93="","",IF(AK93="","NOT REVIEWED",IF(TODAY()&gt;AN93,"OVERDUE",IF(AN93-TODAY()&lt;=14,"Due Soon","Current"))))</f>
        <v/>
      </c>
      <c r="AP93" s="36"/>
    </row>
    <row r="94" customFormat="false" ht="15" hidden="false" customHeight="false" outlineLevel="0" collapsed="false">
      <c r="A94" s="36"/>
      <c r="B94" s="36"/>
      <c r="C94" s="36"/>
      <c r="D94" s="37"/>
      <c r="E94" s="38"/>
      <c r="F94" s="38"/>
      <c r="G94" s="36"/>
      <c r="H94" s="37"/>
      <c r="I94" s="39" t="str">
        <f aca="true">IF(F94="","",TODAY()-F94)</f>
        <v/>
      </c>
      <c r="J94" s="40" t="str">
        <f aca="false">IFERROR(INDEX('Azure Resource Map'!$H$2:$H$2001,MATCH($C94,'Azure Resource Map'!$A$2:$A$2001,0)),"")</f>
        <v/>
      </c>
      <c r="K94" s="40" t="str">
        <f aca="false">IFERROR(INDEX('Azure Resource Map'!$I$2:$I$2001,MATCH($C94,'Azure Resource Map'!$A$2:$A$2001,0)),"")</f>
        <v/>
      </c>
      <c r="L94" s="39" t="str">
        <f aca="false">IFERROR(INDEX('Azure Resource Map'!$J$2:$J$2001,MATCH($C94,'Azure Resource Map'!$A$2:$A$2001,0)),"")</f>
        <v/>
      </c>
      <c r="M94" s="40" t="str">
        <f aca="false">IFERROR(INDEX('Azure Resource Map'!$K$2:$K$2001,MATCH($C94,'Azure Resource Map'!$A$2:$A$2001,0)),"")</f>
        <v/>
      </c>
      <c r="N94" s="39" t="str">
        <f aca="false">IFERROR(INDEX('Azure Resource Map'!$L$2:$L$2001,MATCH($C94,'Azure Resource Map'!$A$2:$A$2001,0)),"")</f>
        <v/>
      </c>
      <c r="O94" s="39" t="str">
        <f aca="false">IFERROR(INDEX('Azure Resource Map'!$M$2:$M$2001,MATCH($C94,'Azure Resource Map'!$A$2:$A$2001,0)),"")</f>
        <v/>
      </c>
      <c r="P94" s="40" t="str">
        <f aca="false">IFERROR(INDEX('Azure Resource Map'!$D$2:$D$2001,MATCH($C94,'Azure Resource Map'!$A$2:$A$2001,0)),"")</f>
        <v/>
      </c>
      <c r="Q94" s="39" t="str">
        <f aca="false">IFERROR(INDEX('Azure Resource Map'!$E$2:$E$2001,MATCH($C94,'Azure Resource Map'!$A$2:$A$2001,0)),"")</f>
        <v/>
      </c>
      <c r="R94" s="39" t="str">
        <f aca="false">IFERROR(INDEX('Azure Resource Map'!$F$2:$F$2001,MATCH($C94,'Azure Resource Map'!$A$2:$A$2001,0)),"")</f>
        <v/>
      </c>
      <c r="S94" s="37"/>
      <c r="T94" s="39" t="str">
        <f aca="false">IF($C94="","",IF(ISNUMBER(MATCH($C94,'CA Exclusion Map'!$A$2:$A$2001,0)),"Yes","No"))</f>
        <v/>
      </c>
      <c r="U94" s="39" t="str">
        <f aca="false">IFERROR(INDEX('CA Exclusion Map'!$D$2:$D$2001,MATCH($C94,'CA Exclusion Map'!$A$2:$A$2001,0)),"")</f>
        <v/>
      </c>
      <c r="V94" s="40" t="str">
        <f aca="false">IFERROR(INDEX('CA Exclusion Map'!$E$2:$E$2001,MATCH($C94,'CA Exclusion Map'!$A$2:$A$2001,0)),"")</f>
        <v/>
      </c>
      <c r="W94" s="40" t="str">
        <f aca="false">IFERROR(INDEX('CA Exclusion Map'!$F$2:$F$2001,MATCH($C94,'CA Exclusion Map'!$A$2:$A$2001,0)),"")</f>
        <v/>
      </c>
      <c r="X94" s="36"/>
      <c r="Y94" s="37"/>
      <c r="Z94" s="38"/>
      <c r="AA94" s="38"/>
      <c r="AB94" s="39" t="str">
        <f aca="true">IF(T94="","",IF(T94&lt;&gt;"Yes","N/A",IF(AA94="","NO EXPIRY SET",IF(TODAY()&gt;AA94,"EXPIRED",IF(AA94-TODAY()&lt;=30,"Expiring Soon","Active")))))</f>
        <v/>
      </c>
      <c r="AC94" s="36"/>
      <c r="AD94" s="36"/>
      <c r="AE94" s="37"/>
      <c r="AF94" s="36"/>
      <c r="AG94" s="37"/>
      <c r="AH94" s="37"/>
      <c r="AI94" s="37"/>
      <c r="AJ94" s="37"/>
      <c r="AK94" s="38"/>
      <c r="AL94" s="37"/>
      <c r="AM94" s="37"/>
      <c r="AN94" s="41" t="str">
        <f aca="false">IF(AK94="","",AK94+90)</f>
        <v/>
      </c>
      <c r="AO94" s="39" t="str">
        <f aca="true">IF(C94="","",IF(AK94="","NOT REVIEWED",IF(TODAY()&gt;AN94,"OVERDUE",IF(AN94-TODAY()&lt;=14,"Due Soon","Current"))))</f>
        <v/>
      </c>
      <c r="AP94" s="36"/>
    </row>
    <row r="95" customFormat="false" ht="15" hidden="false" customHeight="false" outlineLevel="0" collapsed="false">
      <c r="A95" s="36"/>
      <c r="B95" s="36"/>
      <c r="C95" s="36"/>
      <c r="D95" s="37"/>
      <c r="E95" s="38"/>
      <c r="F95" s="38"/>
      <c r="G95" s="36"/>
      <c r="H95" s="37"/>
      <c r="I95" s="39" t="str">
        <f aca="true">IF(F95="","",TODAY()-F95)</f>
        <v/>
      </c>
      <c r="J95" s="40" t="str">
        <f aca="false">IFERROR(INDEX('Azure Resource Map'!$H$2:$H$2001,MATCH($C95,'Azure Resource Map'!$A$2:$A$2001,0)),"")</f>
        <v/>
      </c>
      <c r="K95" s="40" t="str">
        <f aca="false">IFERROR(INDEX('Azure Resource Map'!$I$2:$I$2001,MATCH($C95,'Azure Resource Map'!$A$2:$A$2001,0)),"")</f>
        <v/>
      </c>
      <c r="L95" s="39" t="str">
        <f aca="false">IFERROR(INDEX('Azure Resource Map'!$J$2:$J$2001,MATCH($C95,'Azure Resource Map'!$A$2:$A$2001,0)),"")</f>
        <v/>
      </c>
      <c r="M95" s="40" t="str">
        <f aca="false">IFERROR(INDEX('Azure Resource Map'!$K$2:$K$2001,MATCH($C95,'Azure Resource Map'!$A$2:$A$2001,0)),"")</f>
        <v/>
      </c>
      <c r="N95" s="39" t="str">
        <f aca="false">IFERROR(INDEX('Azure Resource Map'!$L$2:$L$2001,MATCH($C95,'Azure Resource Map'!$A$2:$A$2001,0)),"")</f>
        <v/>
      </c>
      <c r="O95" s="39" t="str">
        <f aca="false">IFERROR(INDEX('Azure Resource Map'!$M$2:$M$2001,MATCH($C95,'Azure Resource Map'!$A$2:$A$2001,0)),"")</f>
        <v/>
      </c>
      <c r="P95" s="40" t="str">
        <f aca="false">IFERROR(INDEX('Azure Resource Map'!$D$2:$D$2001,MATCH($C95,'Azure Resource Map'!$A$2:$A$2001,0)),"")</f>
        <v/>
      </c>
      <c r="Q95" s="39" t="str">
        <f aca="false">IFERROR(INDEX('Azure Resource Map'!$E$2:$E$2001,MATCH($C95,'Azure Resource Map'!$A$2:$A$2001,0)),"")</f>
        <v/>
      </c>
      <c r="R95" s="39" t="str">
        <f aca="false">IFERROR(INDEX('Azure Resource Map'!$F$2:$F$2001,MATCH($C95,'Azure Resource Map'!$A$2:$A$2001,0)),"")</f>
        <v/>
      </c>
      <c r="S95" s="37"/>
      <c r="T95" s="39" t="str">
        <f aca="false">IF($C95="","",IF(ISNUMBER(MATCH($C95,'CA Exclusion Map'!$A$2:$A$2001,0)),"Yes","No"))</f>
        <v/>
      </c>
      <c r="U95" s="39" t="str">
        <f aca="false">IFERROR(INDEX('CA Exclusion Map'!$D$2:$D$2001,MATCH($C95,'CA Exclusion Map'!$A$2:$A$2001,0)),"")</f>
        <v/>
      </c>
      <c r="V95" s="40" t="str">
        <f aca="false">IFERROR(INDEX('CA Exclusion Map'!$E$2:$E$2001,MATCH($C95,'CA Exclusion Map'!$A$2:$A$2001,0)),"")</f>
        <v/>
      </c>
      <c r="W95" s="40" t="str">
        <f aca="false">IFERROR(INDEX('CA Exclusion Map'!$F$2:$F$2001,MATCH($C95,'CA Exclusion Map'!$A$2:$A$2001,0)),"")</f>
        <v/>
      </c>
      <c r="X95" s="36"/>
      <c r="Y95" s="37"/>
      <c r="Z95" s="38"/>
      <c r="AA95" s="38"/>
      <c r="AB95" s="39" t="str">
        <f aca="true">IF(T95="","",IF(T95&lt;&gt;"Yes","N/A",IF(AA95="","NO EXPIRY SET",IF(TODAY()&gt;AA95,"EXPIRED",IF(AA95-TODAY()&lt;=30,"Expiring Soon","Active")))))</f>
        <v/>
      </c>
      <c r="AC95" s="36"/>
      <c r="AD95" s="36"/>
      <c r="AE95" s="37"/>
      <c r="AF95" s="36"/>
      <c r="AG95" s="37"/>
      <c r="AH95" s="37"/>
      <c r="AI95" s="37"/>
      <c r="AJ95" s="37"/>
      <c r="AK95" s="38"/>
      <c r="AL95" s="37"/>
      <c r="AM95" s="37"/>
      <c r="AN95" s="41" t="str">
        <f aca="false">IF(AK95="","",AK95+90)</f>
        <v/>
      </c>
      <c r="AO95" s="39" t="str">
        <f aca="true">IF(C95="","",IF(AK95="","NOT REVIEWED",IF(TODAY()&gt;AN95,"OVERDUE",IF(AN95-TODAY()&lt;=14,"Due Soon","Current"))))</f>
        <v/>
      </c>
      <c r="AP95" s="36"/>
    </row>
    <row r="96" customFormat="false" ht="15" hidden="false" customHeight="false" outlineLevel="0" collapsed="false">
      <c r="A96" s="36"/>
      <c r="B96" s="36"/>
      <c r="C96" s="36"/>
      <c r="D96" s="37"/>
      <c r="E96" s="38"/>
      <c r="F96" s="38"/>
      <c r="G96" s="36"/>
      <c r="H96" s="37"/>
      <c r="I96" s="39" t="str">
        <f aca="true">IF(F96="","",TODAY()-F96)</f>
        <v/>
      </c>
      <c r="J96" s="40" t="str">
        <f aca="false">IFERROR(INDEX('Azure Resource Map'!$H$2:$H$2001,MATCH($C96,'Azure Resource Map'!$A$2:$A$2001,0)),"")</f>
        <v/>
      </c>
      <c r="K96" s="40" t="str">
        <f aca="false">IFERROR(INDEX('Azure Resource Map'!$I$2:$I$2001,MATCH($C96,'Azure Resource Map'!$A$2:$A$2001,0)),"")</f>
        <v/>
      </c>
      <c r="L96" s="39" t="str">
        <f aca="false">IFERROR(INDEX('Azure Resource Map'!$J$2:$J$2001,MATCH($C96,'Azure Resource Map'!$A$2:$A$2001,0)),"")</f>
        <v/>
      </c>
      <c r="M96" s="40" t="str">
        <f aca="false">IFERROR(INDEX('Azure Resource Map'!$K$2:$K$2001,MATCH($C96,'Azure Resource Map'!$A$2:$A$2001,0)),"")</f>
        <v/>
      </c>
      <c r="N96" s="39" t="str">
        <f aca="false">IFERROR(INDEX('Azure Resource Map'!$L$2:$L$2001,MATCH($C96,'Azure Resource Map'!$A$2:$A$2001,0)),"")</f>
        <v/>
      </c>
      <c r="O96" s="39" t="str">
        <f aca="false">IFERROR(INDEX('Azure Resource Map'!$M$2:$M$2001,MATCH($C96,'Azure Resource Map'!$A$2:$A$2001,0)),"")</f>
        <v/>
      </c>
      <c r="P96" s="40" t="str">
        <f aca="false">IFERROR(INDEX('Azure Resource Map'!$D$2:$D$2001,MATCH($C96,'Azure Resource Map'!$A$2:$A$2001,0)),"")</f>
        <v/>
      </c>
      <c r="Q96" s="39" t="str">
        <f aca="false">IFERROR(INDEX('Azure Resource Map'!$E$2:$E$2001,MATCH($C96,'Azure Resource Map'!$A$2:$A$2001,0)),"")</f>
        <v/>
      </c>
      <c r="R96" s="39" t="str">
        <f aca="false">IFERROR(INDEX('Azure Resource Map'!$F$2:$F$2001,MATCH($C96,'Azure Resource Map'!$A$2:$A$2001,0)),"")</f>
        <v/>
      </c>
      <c r="S96" s="37"/>
      <c r="T96" s="39" t="str">
        <f aca="false">IF($C96="","",IF(ISNUMBER(MATCH($C96,'CA Exclusion Map'!$A$2:$A$2001,0)),"Yes","No"))</f>
        <v/>
      </c>
      <c r="U96" s="39" t="str">
        <f aca="false">IFERROR(INDEX('CA Exclusion Map'!$D$2:$D$2001,MATCH($C96,'CA Exclusion Map'!$A$2:$A$2001,0)),"")</f>
        <v/>
      </c>
      <c r="V96" s="40" t="str">
        <f aca="false">IFERROR(INDEX('CA Exclusion Map'!$E$2:$E$2001,MATCH($C96,'CA Exclusion Map'!$A$2:$A$2001,0)),"")</f>
        <v/>
      </c>
      <c r="W96" s="40" t="str">
        <f aca="false">IFERROR(INDEX('CA Exclusion Map'!$F$2:$F$2001,MATCH($C96,'CA Exclusion Map'!$A$2:$A$2001,0)),"")</f>
        <v/>
      </c>
      <c r="X96" s="36"/>
      <c r="Y96" s="37"/>
      <c r="Z96" s="38"/>
      <c r="AA96" s="38"/>
      <c r="AB96" s="39" t="str">
        <f aca="true">IF(T96="","",IF(T96&lt;&gt;"Yes","N/A",IF(AA96="","NO EXPIRY SET",IF(TODAY()&gt;AA96,"EXPIRED",IF(AA96-TODAY()&lt;=30,"Expiring Soon","Active")))))</f>
        <v/>
      </c>
      <c r="AC96" s="36"/>
      <c r="AD96" s="36"/>
      <c r="AE96" s="37"/>
      <c r="AF96" s="36"/>
      <c r="AG96" s="37"/>
      <c r="AH96" s="37"/>
      <c r="AI96" s="37"/>
      <c r="AJ96" s="37"/>
      <c r="AK96" s="38"/>
      <c r="AL96" s="37"/>
      <c r="AM96" s="37"/>
      <c r="AN96" s="41" t="str">
        <f aca="false">IF(AK96="","",AK96+90)</f>
        <v/>
      </c>
      <c r="AO96" s="39" t="str">
        <f aca="true">IF(C96="","",IF(AK96="","NOT REVIEWED",IF(TODAY()&gt;AN96,"OVERDUE",IF(AN96-TODAY()&lt;=14,"Due Soon","Current"))))</f>
        <v/>
      </c>
      <c r="AP96" s="36"/>
    </row>
    <row r="97" customFormat="false" ht="15" hidden="false" customHeight="false" outlineLevel="0" collapsed="false">
      <c r="A97" s="36"/>
      <c r="B97" s="36"/>
      <c r="C97" s="36"/>
      <c r="D97" s="37"/>
      <c r="E97" s="38"/>
      <c r="F97" s="38"/>
      <c r="G97" s="36"/>
      <c r="H97" s="37"/>
      <c r="I97" s="39" t="str">
        <f aca="true">IF(F97="","",TODAY()-F97)</f>
        <v/>
      </c>
      <c r="J97" s="40" t="str">
        <f aca="false">IFERROR(INDEX('Azure Resource Map'!$H$2:$H$2001,MATCH($C97,'Azure Resource Map'!$A$2:$A$2001,0)),"")</f>
        <v/>
      </c>
      <c r="K97" s="40" t="str">
        <f aca="false">IFERROR(INDEX('Azure Resource Map'!$I$2:$I$2001,MATCH($C97,'Azure Resource Map'!$A$2:$A$2001,0)),"")</f>
        <v/>
      </c>
      <c r="L97" s="39" t="str">
        <f aca="false">IFERROR(INDEX('Azure Resource Map'!$J$2:$J$2001,MATCH($C97,'Azure Resource Map'!$A$2:$A$2001,0)),"")</f>
        <v/>
      </c>
      <c r="M97" s="40" t="str">
        <f aca="false">IFERROR(INDEX('Azure Resource Map'!$K$2:$K$2001,MATCH($C97,'Azure Resource Map'!$A$2:$A$2001,0)),"")</f>
        <v/>
      </c>
      <c r="N97" s="39" t="str">
        <f aca="false">IFERROR(INDEX('Azure Resource Map'!$L$2:$L$2001,MATCH($C97,'Azure Resource Map'!$A$2:$A$2001,0)),"")</f>
        <v/>
      </c>
      <c r="O97" s="39" t="str">
        <f aca="false">IFERROR(INDEX('Azure Resource Map'!$M$2:$M$2001,MATCH($C97,'Azure Resource Map'!$A$2:$A$2001,0)),"")</f>
        <v/>
      </c>
      <c r="P97" s="40" t="str">
        <f aca="false">IFERROR(INDEX('Azure Resource Map'!$D$2:$D$2001,MATCH($C97,'Azure Resource Map'!$A$2:$A$2001,0)),"")</f>
        <v/>
      </c>
      <c r="Q97" s="39" t="str">
        <f aca="false">IFERROR(INDEX('Azure Resource Map'!$E$2:$E$2001,MATCH($C97,'Azure Resource Map'!$A$2:$A$2001,0)),"")</f>
        <v/>
      </c>
      <c r="R97" s="39" t="str">
        <f aca="false">IFERROR(INDEX('Azure Resource Map'!$F$2:$F$2001,MATCH($C97,'Azure Resource Map'!$A$2:$A$2001,0)),"")</f>
        <v/>
      </c>
      <c r="S97" s="37"/>
      <c r="T97" s="39" t="str">
        <f aca="false">IF($C97="","",IF(ISNUMBER(MATCH($C97,'CA Exclusion Map'!$A$2:$A$2001,0)),"Yes","No"))</f>
        <v/>
      </c>
      <c r="U97" s="39" t="str">
        <f aca="false">IFERROR(INDEX('CA Exclusion Map'!$D$2:$D$2001,MATCH($C97,'CA Exclusion Map'!$A$2:$A$2001,0)),"")</f>
        <v/>
      </c>
      <c r="V97" s="40" t="str">
        <f aca="false">IFERROR(INDEX('CA Exclusion Map'!$E$2:$E$2001,MATCH($C97,'CA Exclusion Map'!$A$2:$A$2001,0)),"")</f>
        <v/>
      </c>
      <c r="W97" s="40" t="str">
        <f aca="false">IFERROR(INDEX('CA Exclusion Map'!$F$2:$F$2001,MATCH($C97,'CA Exclusion Map'!$A$2:$A$2001,0)),"")</f>
        <v/>
      </c>
      <c r="X97" s="36"/>
      <c r="Y97" s="37"/>
      <c r="Z97" s="38"/>
      <c r="AA97" s="38"/>
      <c r="AB97" s="39" t="str">
        <f aca="true">IF(T97="","",IF(T97&lt;&gt;"Yes","N/A",IF(AA97="","NO EXPIRY SET",IF(TODAY()&gt;AA97,"EXPIRED",IF(AA97-TODAY()&lt;=30,"Expiring Soon","Active")))))</f>
        <v/>
      </c>
      <c r="AC97" s="36"/>
      <c r="AD97" s="36"/>
      <c r="AE97" s="37"/>
      <c r="AF97" s="36"/>
      <c r="AG97" s="37"/>
      <c r="AH97" s="37"/>
      <c r="AI97" s="37"/>
      <c r="AJ97" s="37"/>
      <c r="AK97" s="38"/>
      <c r="AL97" s="37"/>
      <c r="AM97" s="37"/>
      <c r="AN97" s="41" t="str">
        <f aca="false">IF(AK97="","",AK97+90)</f>
        <v/>
      </c>
      <c r="AO97" s="39" t="str">
        <f aca="true">IF(C97="","",IF(AK97="","NOT REVIEWED",IF(TODAY()&gt;AN97,"OVERDUE",IF(AN97-TODAY()&lt;=14,"Due Soon","Current"))))</f>
        <v/>
      </c>
      <c r="AP97" s="36"/>
    </row>
    <row r="98" customFormat="false" ht="15" hidden="false" customHeight="false" outlineLevel="0" collapsed="false">
      <c r="A98" s="36"/>
      <c r="B98" s="36"/>
      <c r="C98" s="36"/>
      <c r="D98" s="37"/>
      <c r="E98" s="38"/>
      <c r="F98" s="38"/>
      <c r="G98" s="36"/>
      <c r="H98" s="37"/>
      <c r="I98" s="39" t="str">
        <f aca="true">IF(F98="","",TODAY()-F98)</f>
        <v/>
      </c>
      <c r="J98" s="40" t="str">
        <f aca="false">IFERROR(INDEX('Azure Resource Map'!$H$2:$H$2001,MATCH($C98,'Azure Resource Map'!$A$2:$A$2001,0)),"")</f>
        <v/>
      </c>
      <c r="K98" s="40" t="str">
        <f aca="false">IFERROR(INDEX('Azure Resource Map'!$I$2:$I$2001,MATCH($C98,'Azure Resource Map'!$A$2:$A$2001,0)),"")</f>
        <v/>
      </c>
      <c r="L98" s="39" t="str">
        <f aca="false">IFERROR(INDEX('Azure Resource Map'!$J$2:$J$2001,MATCH($C98,'Azure Resource Map'!$A$2:$A$2001,0)),"")</f>
        <v/>
      </c>
      <c r="M98" s="40" t="str">
        <f aca="false">IFERROR(INDEX('Azure Resource Map'!$K$2:$K$2001,MATCH($C98,'Azure Resource Map'!$A$2:$A$2001,0)),"")</f>
        <v/>
      </c>
      <c r="N98" s="39" t="str">
        <f aca="false">IFERROR(INDEX('Azure Resource Map'!$L$2:$L$2001,MATCH($C98,'Azure Resource Map'!$A$2:$A$2001,0)),"")</f>
        <v/>
      </c>
      <c r="O98" s="39" t="str">
        <f aca="false">IFERROR(INDEX('Azure Resource Map'!$M$2:$M$2001,MATCH($C98,'Azure Resource Map'!$A$2:$A$2001,0)),"")</f>
        <v/>
      </c>
      <c r="P98" s="40" t="str">
        <f aca="false">IFERROR(INDEX('Azure Resource Map'!$D$2:$D$2001,MATCH($C98,'Azure Resource Map'!$A$2:$A$2001,0)),"")</f>
        <v/>
      </c>
      <c r="Q98" s="39" t="str">
        <f aca="false">IFERROR(INDEX('Azure Resource Map'!$E$2:$E$2001,MATCH($C98,'Azure Resource Map'!$A$2:$A$2001,0)),"")</f>
        <v/>
      </c>
      <c r="R98" s="39" t="str">
        <f aca="false">IFERROR(INDEX('Azure Resource Map'!$F$2:$F$2001,MATCH($C98,'Azure Resource Map'!$A$2:$A$2001,0)),"")</f>
        <v/>
      </c>
      <c r="S98" s="37"/>
      <c r="T98" s="39" t="str">
        <f aca="false">IF($C98="","",IF(ISNUMBER(MATCH($C98,'CA Exclusion Map'!$A$2:$A$2001,0)),"Yes","No"))</f>
        <v/>
      </c>
      <c r="U98" s="39" t="str">
        <f aca="false">IFERROR(INDEX('CA Exclusion Map'!$D$2:$D$2001,MATCH($C98,'CA Exclusion Map'!$A$2:$A$2001,0)),"")</f>
        <v/>
      </c>
      <c r="V98" s="40" t="str">
        <f aca="false">IFERROR(INDEX('CA Exclusion Map'!$E$2:$E$2001,MATCH($C98,'CA Exclusion Map'!$A$2:$A$2001,0)),"")</f>
        <v/>
      </c>
      <c r="W98" s="40" t="str">
        <f aca="false">IFERROR(INDEX('CA Exclusion Map'!$F$2:$F$2001,MATCH($C98,'CA Exclusion Map'!$A$2:$A$2001,0)),"")</f>
        <v/>
      </c>
      <c r="X98" s="36"/>
      <c r="Y98" s="37"/>
      <c r="Z98" s="38"/>
      <c r="AA98" s="38"/>
      <c r="AB98" s="39" t="str">
        <f aca="true">IF(T98="","",IF(T98&lt;&gt;"Yes","N/A",IF(AA98="","NO EXPIRY SET",IF(TODAY()&gt;AA98,"EXPIRED",IF(AA98-TODAY()&lt;=30,"Expiring Soon","Active")))))</f>
        <v/>
      </c>
      <c r="AC98" s="36"/>
      <c r="AD98" s="36"/>
      <c r="AE98" s="37"/>
      <c r="AF98" s="36"/>
      <c r="AG98" s="37"/>
      <c r="AH98" s="37"/>
      <c r="AI98" s="37"/>
      <c r="AJ98" s="37"/>
      <c r="AK98" s="38"/>
      <c r="AL98" s="37"/>
      <c r="AM98" s="37"/>
      <c r="AN98" s="41" t="str">
        <f aca="false">IF(AK98="","",AK98+90)</f>
        <v/>
      </c>
      <c r="AO98" s="39" t="str">
        <f aca="true">IF(C98="","",IF(AK98="","NOT REVIEWED",IF(TODAY()&gt;AN98,"OVERDUE",IF(AN98-TODAY()&lt;=14,"Due Soon","Current"))))</f>
        <v/>
      </c>
      <c r="AP98" s="36"/>
    </row>
    <row r="99" customFormat="false" ht="15" hidden="false" customHeight="false" outlineLevel="0" collapsed="false">
      <c r="A99" s="36"/>
      <c r="B99" s="36"/>
      <c r="C99" s="36"/>
      <c r="D99" s="37"/>
      <c r="E99" s="38"/>
      <c r="F99" s="38"/>
      <c r="G99" s="36"/>
      <c r="H99" s="37"/>
      <c r="I99" s="39" t="str">
        <f aca="true">IF(F99="","",TODAY()-F99)</f>
        <v/>
      </c>
      <c r="J99" s="40" t="str">
        <f aca="false">IFERROR(INDEX('Azure Resource Map'!$H$2:$H$2001,MATCH($C99,'Azure Resource Map'!$A$2:$A$2001,0)),"")</f>
        <v/>
      </c>
      <c r="K99" s="40" t="str">
        <f aca="false">IFERROR(INDEX('Azure Resource Map'!$I$2:$I$2001,MATCH($C99,'Azure Resource Map'!$A$2:$A$2001,0)),"")</f>
        <v/>
      </c>
      <c r="L99" s="39" t="str">
        <f aca="false">IFERROR(INDEX('Azure Resource Map'!$J$2:$J$2001,MATCH($C99,'Azure Resource Map'!$A$2:$A$2001,0)),"")</f>
        <v/>
      </c>
      <c r="M99" s="40" t="str">
        <f aca="false">IFERROR(INDEX('Azure Resource Map'!$K$2:$K$2001,MATCH($C99,'Azure Resource Map'!$A$2:$A$2001,0)),"")</f>
        <v/>
      </c>
      <c r="N99" s="39" t="str">
        <f aca="false">IFERROR(INDEX('Azure Resource Map'!$L$2:$L$2001,MATCH($C99,'Azure Resource Map'!$A$2:$A$2001,0)),"")</f>
        <v/>
      </c>
      <c r="O99" s="39" t="str">
        <f aca="false">IFERROR(INDEX('Azure Resource Map'!$M$2:$M$2001,MATCH($C99,'Azure Resource Map'!$A$2:$A$2001,0)),"")</f>
        <v/>
      </c>
      <c r="P99" s="40" t="str">
        <f aca="false">IFERROR(INDEX('Azure Resource Map'!$D$2:$D$2001,MATCH($C99,'Azure Resource Map'!$A$2:$A$2001,0)),"")</f>
        <v/>
      </c>
      <c r="Q99" s="39" t="str">
        <f aca="false">IFERROR(INDEX('Azure Resource Map'!$E$2:$E$2001,MATCH($C99,'Azure Resource Map'!$A$2:$A$2001,0)),"")</f>
        <v/>
      </c>
      <c r="R99" s="39" t="str">
        <f aca="false">IFERROR(INDEX('Azure Resource Map'!$F$2:$F$2001,MATCH($C99,'Azure Resource Map'!$A$2:$A$2001,0)),"")</f>
        <v/>
      </c>
      <c r="S99" s="37"/>
      <c r="T99" s="39" t="str">
        <f aca="false">IF($C99="","",IF(ISNUMBER(MATCH($C99,'CA Exclusion Map'!$A$2:$A$2001,0)),"Yes","No"))</f>
        <v/>
      </c>
      <c r="U99" s="39" t="str">
        <f aca="false">IFERROR(INDEX('CA Exclusion Map'!$D$2:$D$2001,MATCH($C99,'CA Exclusion Map'!$A$2:$A$2001,0)),"")</f>
        <v/>
      </c>
      <c r="V99" s="40" t="str">
        <f aca="false">IFERROR(INDEX('CA Exclusion Map'!$E$2:$E$2001,MATCH($C99,'CA Exclusion Map'!$A$2:$A$2001,0)),"")</f>
        <v/>
      </c>
      <c r="W99" s="40" t="str">
        <f aca="false">IFERROR(INDEX('CA Exclusion Map'!$F$2:$F$2001,MATCH($C99,'CA Exclusion Map'!$A$2:$A$2001,0)),"")</f>
        <v/>
      </c>
      <c r="X99" s="36"/>
      <c r="Y99" s="37"/>
      <c r="Z99" s="38"/>
      <c r="AA99" s="38"/>
      <c r="AB99" s="39" t="str">
        <f aca="true">IF(T99="","",IF(T99&lt;&gt;"Yes","N/A",IF(AA99="","NO EXPIRY SET",IF(TODAY()&gt;AA99,"EXPIRED",IF(AA99-TODAY()&lt;=30,"Expiring Soon","Active")))))</f>
        <v/>
      </c>
      <c r="AC99" s="36"/>
      <c r="AD99" s="36"/>
      <c r="AE99" s="37"/>
      <c r="AF99" s="36"/>
      <c r="AG99" s="37"/>
      <c r="AH99" s="37"/>
      <c r="AI99" s="37"/>
      <c r="AJ99" s="37"/>
      <c r="AK99" s="38"/>
      <c r="AL99" s="37"/>
      <c r="AM99" s="37"/>
      <c r="AN99" s="41" t="str">
        <f aca="false">IF(AK99="","",AK99+90)</f>
        <v/>
      </c>
      <c r="AO99" s="39" t="str">
        <f aca="true">IF(C99="","",IF(AK99="","NOT REVIEWED",IF(TODAY()&gt;AN99,"OVERDUE",IF(AN99-TODAY()&lt;=14,"Due Soon","Current"))))</f>
        <v/>
      </c>
      <c r="AP99" s="36"/>
    </row>
    <row r="100" customFormat="false" ht="15" hidden="false" customHeight="false" outlineLevel="0" collapsed="false">
      <c r="A100" s="36"/>
      <c r="B100" s="36"/>
      <c r="C100" s="36"/>
      <c r="D100" s="37"/>
      <c r="E100" s="38"/>
      <c r="F100" s="38"/>
      <c r="G100" s="36"/>
      <c r="H100" s="37"/>
      <c r="I100" s="39" t="str">
        <f aca="true">IF(F100="","",TODAY()-F100)</f>
        <v/>
      </c>
      <c r="J100" s="40" t="str">
        <f aca="false">IFERROR(INDEX('Azure Resource Map'!$H$2:$H$2001,MATCH($C100,'Azure Resource Map'!$A$2:$A$2001,0)),"")</f>
        <v/>
      </c>
      <c r="K100" s="40" t="str">
        <f aca="false">IFERROR(INDEX('Azure Resource Map'!$I$2:$I$2001,MATCH($C100,'Azure Resource Map'!$A$2:$A$2001,0)),"")</f>
        <v/>
      </c>
      <c r="L100" s="39" t="str">
        <f aca="false">IFERROR(INDEX('Azure Resource Map'!$J$2:$J$2001,MATCH($C100,'Azure Resource Map'!$A$2:$A$2001,0)),"")</f>
        <v/>
      </c>
      <c r="M100" s="40" t="str">
        <f aca="false">IFERROR(INDEX('Azure Resource Map'!$K$2:$K$2001,MATCH($C100,'Azure Resource Map'!$A$2:$A$2001,0)),"")</f>
        <v/>
      </c>
      <c r="N100" s="39" t="str">
        <f aca="false">IFERROR(INDEX('Azure Resource Map'!$L$2:$L$2001,MATCH($C100,'Azure Resource Map'!$A$2:$A$2001,0)),"")</f>
        <v/>
      </c>
      <c r="O100" s="39" t="str">
        <f aca="false">IFERROR(INDEX('Azure Resource Map'!$M$2:$M$2001,MATCH($C100,'Azure Resource Map'!$A$2:$A$2001,0)),"")</f>
        <v/>
      </c>
      <c r="P100" s="40" t="str">
        <f aca="false">IFERROR(INDEX('Azure Resource Map'!$D$2:$D$2001,MATCH($C100,'Azure Resource Map'!$A$2:$A$2001,0)),"")</f>
        <v/>
      </c>
      <c r="Q100" s="39" t="str">
        <f aca="false">IFERROR(INDEX('Azure Resource Map'!$E$2:$E$2001,MATCH($C100,'Azure Resource Map'!$A$2:$A$2001,0)),"")</f>
        <v/>
      </c>
      <c r="R100" s="39" t="str">
        <f aca="false">IFERROR(INDEX('Azure Resource Map'!$F$2:$F$2001,MATCH($C100,'Azure Resource Map'!$A$2:$A$2001,0)),"")</f>
        <v/>
      </c>
      <c r="S100" s="37"/>
      <c r="T100" s="39" t="str">
        <f aca="false">IF($C100="","",IF(ISNUMBER(MATCH($C100,'CA Exclusion Map'!$A$2:$A$2001,0)),"Yes","No"))</f>
        <v/>
      </c>
      <c r="U100" s="39" t="str">
        <f aca="false">IFERROR(INDEX('CA Exclusion Map'!$D$2:$D$2001,MATCH($C100,'CA Exclusion Map'!$A$2:$A$2001,0)),"")</f>
        <v/>
      </c>
      <c r="V100" s="40" t="str">
        <f aca="false">IFERROR(INDEX('CA Exclusion Map'!$E$2:$E$2001,MATCH($C100,'CA Exclusion Map'!$A$2:$A$2001,0)),"")</f>
        <v/>
      </c>
      <c r="W100" s="40" t="str">
        <f aca="false">IFERROR(INDEX('CA Exclusion Map'!$F$2:$F$2001,MATCH($C100,'CA Exclusion Map'!$A$2:$A$2001,0)),"")</f>
        <v/>
      </c>
      <c r="X100" s="36"/>
      <c r="Y100" s="37"/>
      <c r="Z100" s="38"/>
      <c r="AA100" s="38"/>
      <c r="AB100" s="39" t="str">
        <f aca="true">IF(T100="","",IF(T100&lt;&gt;"Yes","N/A",IF(AA100="","NO EXPIRY SET",IF(TODAY()&gt;AA100,"EXPIRED",IF(AA100-TODAY()&lt;=30,"Expiring Soon","Active")))))</f>
        <v/>
      </c>
      <c r="AC100" s="36"/>
      <c r="AD100" s="36"/>
      <c r="AE100" s="37"/>
      <c r="AF100" s="36"/>
      <c r="AG100" s="37"/>
      <c r="AH100" s="37"/>
      <c r="AI100" s="37"/>
      <c r="AJ100" s="37"/>
      <c r="AK100" s="38"/>
      <c r="AL100" s="37"/>
      <c r="AM100" s="37"/>
      <c r="AN100" s="41" t="str">
        <f aca="false">IF(AK100="","",AK100+90)</f>
        <v/>
      </c>
      <c r="AO100" s="39" t="str">
        <f aca="true">IF(C100="","",IF(AK100="","NOT REVIEWED",IF(TODAY()&gt;AN100,"OVERDUE",IF(AN100-TODAY()&lt;=14,"Due Soon","Current"))))</f>
        <v/>
      </c>
      <c r="AP100" s="36"/>
    </row>
    <row r="101" customFormat="false" ht="15" hidden="false" customHeight="false" outlineLevel="0" collapsed="false">
      <c r="A101" s="36"/>
      <c r="B101" s="36"/>
      <c r="C101" s="36"/>
      <c r="D101" s="37"/>
      <c r="E101" s="38"/>
      <c r="F101" s="38"/>
      <c r="G101" s="36"/>
      <c r="H101" s="37"/>
      <c r="I101" s="39" t="str">
        <f aca="true">IF(F101="","",TODAY()-F101)</f>
        <v/>
      </c>
      <c r="J101" s="40" t="str">
        <f aca="false">IFERROR(INDEX('Azure Resource Map'!$H$2:$H$2001,MATCH($C101,'Azure Resource Map'!$A$2:$A$2001,0)),"")</f>
        <v/>
      </c>
      <c r="K101" s="40" t="str">
        <f aca="false">IFERROR(INDEX('Azure Resource Map'!$I$2:$I$2001,MATCH($C101,'Azure Resource Map'!$A$2:$A$2001,0)),"")</f>
        <v/>
      </c>
      <c r="L101" s="39" t="str">
        <f aca="false">IFERROR(INDEX('Azure Resource Map'!$J$2:$J$2001,MATCH($C101,'Azure Resource Map'!$A$2:$A$2001,0)),"")</f>
        <v/>
      </c>
      <c r="M101" s="40" t="str">
        <f aca="false">IFERROR(INDEX('Azure Resource Map'!$K$2:$K$2001,MATCH($C101,'Azure Resource Map'!$A$2:$A$2001,0)),"")</f>
        <v/>
      </c>
      <c r="N101" s="39" t="str">
        <f aca="false">IFERROR(INDEX('Azure Resource Map'!$L$2:$L$2001,MATCH($C101,'Azure Resource Map'!$A$2:$A$2001,0)),"")</f>
        <v/>
      </c>
      <c r="O101" s="39" t="str">
        <f aca="false">IFERROR(INDEX('Azure Resource Map'!$M$2:$M$2001,MATCH($C101,'Azure Resource Map'!$A$2:$A$2001,0)),"")</f>
        <v/>
      </c>
      <c r="P101" s="40" t="str">
        <f aca="false">IFERROR(INDEX('Azure Resource Map'!$D$2:$D$2001,MATCH($C101,'Azure Resource Map'!$A$2:$A$2001,0)),"")</f>
        <v/>
      </c>
      <c r="Q101" s="39" t="str">
        <f aca="false">IFERROR(INDEX('Azure Resource Map'!$E$2:$E$2001,MATCH($C101,'Azure Resource Map'!$A$2:$A$2001,0)),"")</f>
        <v/>
      </c>
      <c r="R101" s="39" t="str">
        <f aca="false">IFERROR(INDEX('Azure Resource Map'!$F$2:$F$2001,MATCH($C101,'Azure Resource Map'!$A$2:$A$2001,0)),"")</f>
        <v/>
      </c>
      <c r="S101" s="37"/>
      <c r="T101" s="39" t="str">
        <f aca="false">IF($C101="","",IF(ISNUMBER(MATCH($C101,'CA Exclusion Map'!$A$2:$A$2001,0)),"Yes","No"))</f>
        <v/>
      </c>
      <c r="U101" s="39" t="str">
        <f aca="false">IFERROR(INDEX('CA Exclusion Map'!$D$2:$D$2001,MATCH($C101,'CA Exclusion Map'!$A$2:$A$2001,0)),"")</f>
        <v/>
      </c>
      <c r="V101" s="40" t="str">
        <f aca="false">IFERROR(INDEX('CA Exclusion Map'!$E$2:$E$2001,MATCH($C101,'CA Exclusion Map'!$A$2:$A$2001,0)),"")</f>
        <v/>
      </c>
      <c r="W101" s="40" t="str">
        <f aca="false">IFERROR(INDEX('CA Exclusion Map'!$F$2:$F$2001,MATCH($C101,'CA Exclusion Map'!$A$2:$A$2001,0)),"")</f>
        <v/>
      </c>
      <c r="X101" s="36"/>
      <c r="Y101" s="37"/>
      <c r="Z101" s="38"/>
      <c r="AA101" s="38"/>
      <c r="AB101" s="39" t="str">
        <f aca="true">IF(T101="","",IF(T101&lt;&gt;"Yes","N/A",IF(AA101="","NO EXPIRY SET",IF(TODAY()&gt;AA101,"EXPIRED",IF(AA101-TODAY()&lt;=30,"Expiring Soon","Active")))))</f>
        <v/>
      </c>
      <c r="AC101" s="36"/>
      <c r="AD101" s="36"/>
      <c r="AE101" s="37"/>
      <c r="AF101" s="36"/>
      <c r="AG101" s="37"/>
      <c r="AH101" s="37"/>
      <c r="AI101" s="37"/>
      <c r="AJ101" s="37"/>
      <c r="AK101" s="38"/>
      <c r="AL101" s="37"/>
      <c r="AM101" s="37"/>
      <c r="AN101" s="41" t="str">
        <f aca="false">IF(AK101="","",AK101+90)</f>
        <v/>
      </c>
      <c r="AO101" s="39" t="str">
        <f aca="true">IF(C101="","",IF(AK101="","NOT REVIEWED",IF(TODAY()&gt;AN101,"OVERDUE",IF(AN101-TODAY()&lt;=14,"Due Soon","Current"))))</f>
        <v/>
      </c>
      <c r="AP101" s="36"/>
    </row>
    <row r="102" customFormat="false" ht="15" hidden="false" customHeight="false" outlineLevel="0" collapsed="false">
      <c r="A102" s="36"/>
      <c r="B102" s="36"/>
      <c r="C102" s="36"/>
      <c r="D102" s="37"/>
      <c r="E102" s="38"/>
      <c r="F102" s="38"/>
      <c r="G102" s="36"/>
      <c r="H102" s="37"/>
      <c r="I102" s="39" t="str">
        <f aca="true">IF(F102="","",TODAY()-F102)</f>
        <v/>
      </c>
      <c r="J102" s="40" t="str">
        <f aca="false">IFERROR(INDEX('Azure Resource Map'!$H$2:$H$2001,MATCH($C102,'Azure Resource Map'!$A$2:$A$2001,0)),"")</f>
        <v/>
      </c>
      <c r="K102" s="40" t="str">
        <f aca="false">IFERROR(INDEX('Azure Resource Map'!$I$2:$I$2001,MATCH($C102,'Azure Resource Map'!$A$2:$A$2001,0)),"")</f>
        <v/>
      </c>
      <c r="L102" s="39" t="str">
        <f aca="false">IFERROR(INDEX('Azure Resource Map'!$J$2:$J$2001,MATCH($C102,'Azure Resource Map'!$A$2:$A$2001,0)),"")</f>
        <v/>
      </c>
      <c r="M102" s="40" t="str">
        <f aca="false">IFERROR(INDEX('Azure Resource Map'!$K$2:$K$2001,MATCH($C102,'Azure Resource Map'!$A$2:$A$2001,0)),"")</f>
        <v/>
      </c>
      <c r="N102" s="39" t="str">
        <f aca="false">IFERROR(INDEX('Azure Resource Map'!$L$2:$L$2001,MATCH($C102,'Azure Resource Map'!$A$2:$A$2001,0)),"")</f>
        <v/>
      </c>
      <c r="O102" s="39" t="str">
        <f aca="false">IFERROR(INDEX('Azure Resource Map'!$M$2:$M$2001,MATCH($C102,'Azure Resource Map'!$A$2:$A$2001,0)),"")</f>
        <v/>
      </c>
      <c r="P102" s="40" t="str">
        <f aca="false">IFERROR(INDEX('Azure Resource Map'!$D$2:$D$2001,MATCH($C102,'Azure Resource Map'!$A$2:$A$2001,0)),"")</f>
        <v/>
      </c>
      <c r="Q102" s="39" t="str">
        <f aca="false">IFERROR(INDEX('Azure Resource Map'!$E$2:$E$2001,MATCH($C102,'Azure Resource Map'!$A$2:$A$2001,0)),"")</f>
        <v/>
      </c>
      <c r="R102" s="39" t="str">
        <f aca="false">IFERROR(INDEX('Azure Resource Map'!$F$2:$F$2001,MATCH($C102,'Azure Resource Map'!$A$2:$A$2001,0)),"")</f>
        <v/>
      </c>
      <c r="S102" s="37"/>
      <c r="T102" s="39" t="str">
        <f aca="false">IF($C102="","",IF(ISNUMBER(MATCH($C102,'CA Exclusion Map'!$A$2:$A$2001,0)),"Yes","No"))</f>
        <v/>
      </c>
      <c r="U102" s="39" t="str">
        <f aca="false">IFERROR(INDEX('CA Exclusion Map'!$D$2:$D$2001,MATCH($C102,'CA Exclusion Map'!$A$2:$A$2001,0)),"")</f>
        <v/>
      </c>
      <c r="V102" s="40" t="str">
        <f aca="false">IFERROR(INDEX('CA Exclusion Map'!$E$2:$E$2001,MATCH($C102,'CA Exclusion Map'!$A$2:$A$2001,0)),"")</f>
        <v/>
      </c>
      <c r="W102" s="40" t="str">
        <f aca="false">IFERROR(INDEX('CA Exclusion Map'!$F$2:$F$2001,MATCH($C102,'CA Exclusion Map'!$A$2:$A$2001,0)),"")</f>
        <v/>
      </c>
      <c r="X102" s="36"/>
      <c r="Y102" s="37"/>
      <c r="Z102" s="38"/>
      <c r="AA102" s="38"/>
      <c r="AB102" s="39" t="str">
        <f aca="true">IF(T102="","",IF(T102&lt;&gt;"Yes","N/A",IF(AA102="","NO EXPIRY SET",IF(TODAY()&gt;AA102,"EXPIRED",IF(AA102-TODAY()&lt;=30,"Expiring Soon","Active")))))</f>
        <v/>
      </c>
      <c r="AC102" s="36"/>
      <c r="AD102" s="36"/>
      <c r="AE102" s="37"/>
      <c r="AF102" s="36"/>
      <c r="AG102" s="37"/>
      <c r="AH102" s="37"/>
      <c r="AI102" s="37"/>
      <c r="AJ102" s="37"/>
      <c r="AK102" s="38"/>
      <c r="AL102" s="37"/>
      <c r="AM102" s="37"/>
      <c r="AN102" s="41" t="str">
        <f aca="false">IF(AK102="","",AK102+90)</f>
        <v/>
      </c>
      <c r="AO102" s="39" t="str">
        <f aca="true">IF(C102="","",IF(AK102="","NOT REVIEWED",IF(TODAY()&gt;AN102,"OVERDUE",IF(AN102-TODAY()&lt;=14,"Due Soon","Current"))))</f>
        <v/>
      </c>
      <c r="AP102" s="36"/>
    </row>
    <row r="103" customFormat="false" ht="15" hidden="false" customHeight="false" outlineLevel="0" collapsed="false">
      <c r="A103" s="36"/>
      <c r="B103" s="36"/>
      <c r="C103" s="36"/>
      <c r="D103" s="37"/>
      <c r="E103" s="38"/>
      <c r="F103" s="38"/>
      <c r="G103" s="36"/>
      <c r="H103" s="37"/>
      <c r="I103" s="39" t="str">
        <f aca="true">IF(F103="","",TODAY()-F103)</f>
        <v/>
      </c>
      <c r="J103" s="40" t="str">
        <f aca="false">IFERROR(INDEX('Azure Resource Map'!$H$2:$H$2001,MATCH($C103,'Azure Resource Map'!$A$2:$A$2001,0)),"")</f>
        <v/>
      </c>
      <c r="K103" s="40" t="str">
        <f aca="false">IFERROR(INDEX('Azure Resource Map'!$I$2:$I$2001,MATCH($C103,'Azure Resource Map'!$A$2:$A$2001,0)),"")</f>
        <v/>
      </c>
      <c r="L103" s="39" t="str">
        <f aca="false">IFERROR(INDEX('Azure Resource Map'!$J$2:$J$2001,MATCH($C103,'Azure Resource Map'!$A$2:$A$2001,0)),"")</f>
        <v/>
      </c>
      <c r="M103" s="40" t="str">
        <f aca="false">IFERROR(INDEX('Azure Resource Map'!$K$2:$K$2001,MATCH($C103,'Azure Resource Map'!$A$2:$A$2001,0)),"")</f>
        <v/>
      </c>
      <c r="N103" s="39" t="str">
        <f aca="false">IFERROR(INDEX('Azure Resource Map'!$L$2:$L$2001,MATCH($C103,'Azure Resource Map'!$A$2:$A$2001,0)),"")</f>
        <v/>
      </c>
      <c r="O103" s="39" t="str">
        <f aca="false">IFERROR(INDEX('Azure Resource Map'!$M$2:$M$2001,MATCH($C103,'Azure Resource Map'!$A$2:$A$2001,0)),"")</f>
        <v/>
      </c>
      <c r="P103" s="40" t="str">
        <f aca="false">IFERROR(INDEX('Azure Resource Map'!$D$2:$D$2001,MATCH($C103,'Azure Resource Map'!$A$2:$A$2001,0)),"")</f>
        <v/>
      </c>
      <c r="Q103" s="39" t="str">
        <f aca="false">IFERROR(INDEX('Azure Resource Map'!$E$2:$E$2001,MATCH($C103,'Azure Resource Map'!$A$2:$A$2001,0)),"")</f>
        <v/>
      </c>
      <c r="R103" s="39" t="str">
        <f aca="false">IFERROR(INDEX('Azure Resource Map'!$F$2:$F$2001,MATCH($C103,'Azure Resource Map'!$A$2:$A$2001,0)),"")</f>
        <v/>
      </c>
      <c r="S103" s="37"/>
      <c r="T103" s="39" t="str">
        <f aca="false">IF($C103="","",IF(ISNUMBER(MATCH($C103,'CA Exclusion Map'!$A$2:$A$2001,0)),"Yes","No"))</f>
        <v/>
      </c>
      <c r="U103" s="39" t="str">
        <f aca="false">IFERROR(INDEX('CA Exclusion Map'!$D$2:$D$2001,MATCH($C103,'CA Exclusion Map'!$A$2:$A$2001,0)),"")</f>
        <v/>
      </c>
      <c r="V103" s="40" t="str">
        <f aca="false">IFERROR(INDEX('CA Exclusion Map'!$E$2:$E$2001,MATCH($C103,'CA Exclusion Map'!$A$2:$A$2001,0)),"")</f>
        <v/>
      </c>
      <c r="W103" s="40" t="str">
        <f aca="false">IFERROR(INDEX('CA Exclusion Map'!$F$2:$F$2001,MATCH($C103,'CA Exclusion Map'!$A$2:$A$2001,0)),"")</f>
        <v/>
      </c>
      <c r="X103" s="36"/>
      <c r="Y103" s="37"/>
      <c r="Z103" s="38"/>
      <c r="AA103" s="38"/>
      <c r="AB103" s="39" t="str">
        <f aca="true">IF(T103="","",IF(T103&lt;&gt;"Yes","N/A",IF(AA103="","NO EXPIRY SET",IF(TODAY()&gt;AA103,"EXPIRED",IF(AA103-TODAY()&lt;=30,"Expiring Soon","Active")))))</f>
        <v/>
      </c>
      <c r="AC103" s="36"/>
      <c r="AD103" s="36"/>
      <c r="AE103" s="37"/>
      <c r="AF103" s="36"/>
      <c r="AG103" s="37"/>
      <c r="AH103" s="37"/>
      <c r="AI103" s="37"/>
      <c r="AJ103" s="37"/>
      <c r="AK103" s="38"/>
      <c r="AL103" s="37"/>
      <c r="AM103" s="37"/>
      <c r="AN103" s="41" t="str">
        <f aca="false">IF(AK103="","",AK103+90)</f>
        <v/>
      </c>
      <c r="AO103" s="39" t="str">
        <f aca="true">IF(C103="","",IF(AK103="","NOT REVIEWED",IF(TODAY()&gt;AN103,"OVERDUE",IF(AN103-TODAY()&lt;=14,"Due Soon","Current"))))</f>
        <v/>
      </c>
      <c r="AP103" s="36"/>
    </row>
    <row r="104" customFormat="false" ht="15" hidden="false" customHeight="false" outlineLevel="0" collapsed="false">
      <c r="A104" s="36"/>
      <c r="B104" s="36"/>
      <c r="C104" s="36"/>
      <c r="D104" s="37"/>
      <c r="E104" s="38"/>
      <c r="F104" s="38"/>
      <c r="G104" s="36"/>
      <c r="H104" s="37"/>
      <c r="I104" s="39" t="str">
        <f aca="true">IF(F104="","",TODAY()-F104)</f>
        <v/>
      </c>
      <c r="J104" s="40" t="str">
        <f aca="false">IFERROR(INDEX('Azure Resource Map'!$H$2:$H$2001,MATCH($C104,'Azure Resource Map'!$A$2:$A$2001,0)),"")</f>
        <v/>
      </c>
      <c r="K104" s="40" t="str">
        <f aca="false">IFERROR(INDEX('Azure Resource Map'!$I$2:$I$2001,MATCH($C104,'Azure Resource Map'!$A$2:$A$2001,0)),"")</f>
        <v/>
      </c>
      <c r="L104" s="39" t="str">
        <f aca="false">IFERROR(INDEX('Azure Resource Map'!$J$2:$J$2001,MATCH($C104,'Azure Resource Map'!$A$2:$A$2001,0)),"")</f>
        <v/>
      </c>
      <c r="M104" s="40" t="str">
        <f aca="false">IFERROR(INDEX('Azure Resource Map'!$K$2:$K$2001,MATCH($C104,'Azure Resource Map'!$A$2:$A$2001,0)),"")</f>
        <v/>
      </c>
      <c r="N104" s="39" t="str">
        <f aca="false">IFERROR(INDEX('Azure Resource Map'!$L$2:$L$2001,MATCH($C104,'Azure Resource Map'!$A$2:$A$2001,0)),"")</f>
        <v/>
      </c>
      <c r="O104" s="39" t="str">
        <f aca="false">IFERROR(INDEX('Azure Resource Map'!$M$2:$M$2001,MATCH($C104,'Azure Resource Map'!$A$2:$A$2001,0)),"")</f>
        <v/>
      </c>
      <c r="P104" s="40" t="str">
        <f aca="false">IFERROR(INDEX('Azure Resource Map'!$D$2:$D$2001,MATCH($C104,'Azure Resource Map'!$A$2:$A$2001,0)),"")</f>
        <v/>
      </c>
      <c r="Q104" s="39" t="str">
        <f aca="false">IFERROR(INDEX('Azure Resource Map'!$E$2:$E$2001,MATCH($C104,'Azure Resource Map'!$A$2:$A$2001,0)),"")</f>
        <v/>
      </c>
      <c r="R104" s="39" t="str">
        <f aca="false">IFERROR(INDEX('Azure Resource Map'!$F$2:$F$2001,MATCH($C104,'Azure Resource Map'!$A$2:$A$2001,0)),"")</f>
        <v/>
      </c>
      <c r="S104" s="37"/>
      <c r="T104" s="39" t="str">
        <f aca="false">IF($C104="","",IF(ISNUMBER(MATCH($C104,'CA Exclusion Map'!$A$2:$A$2001,0)),"Yes","No"))</f>
        <v/>
      </c>
      <c r="U104" s="39" t="str">
        <f aca="false">IFERROR(INDEX('CA Exclusion Map'!$D$2:$D$2001,MATCH($C104,'CA Exclusion Map'!$A$2:$A$2001,0)),"")</f>
        <v/>
      </c>
      <c r="V104" s="40" t="str">
        <f aca="false">IFERROR(INDEX('CA Exclusion Map'!$E$2:$E$2001,MATCH($C104,'CA Exclusion Map'!$A$2:$A$2001,0)),"")</f>
        <v/>
      </c>
      <c r="W104" s="40" t="str">
        <f aca="false">IFERROR(INDEX('CA Exclusion Map'!$F$2:$F$2001,MATCH($C104,'CA Exclusion Map'!$A$2:$A$2001,0)),"")</f>
        <v/>
      </c>
      <c r="X104" s="36"/>
      <c r="Y104" s="37"/>
      <c r="Z104" s="38"/>
      <c r="AA104" s="38"/>
      <c r="AB104" s="39" t="str">
        <f aca="true">IF(T104="","",IF(T104&lt;&gt;"Yes","N/A",IF(AA104="","NO EXPIRY SET",IF(TODAY()&gt;AA104,"EXPIRED",IF(AA104-TODAY()&lt;=30,"Expiring Soon","Active")))))</f>
        <v/>
      </c>
      <c r="AC104" s="36"/>
      <c r="AD104" s="36"/>
      <c r="AE104" s="37"/>
      <c r="AF104" s="36"/>
      <c r="AG104" s="37"/>
      <c r="AH104" s="37"/>
      <c r="AI104" s="37"/>
      <c r="AJ104" s="37"/>
      <c r="AK104" s="38"/>
      <c r="AL104" s="37"/>
      <c r="AM104" s="37"/>
      <c r="AN104" s="41" t="str">
        <f aca="false">IF(AK104="","",AK104+90)</f>
        <v/>
      </c>
      <c r="AO104" s="39" t="str">
        <f aca="true">IF(C104="","",IF(AK104="","NOT REVIEWED",IF(TODAY()&gt;AN104,"OVERDUE",IF(AN104-TODAY()&lt;=14,"Due Soon","Current"))))</f>
        <v/>
      </c>
      <c r="AP104" s="36"/>
    </row>
    <row r="105" customFormat="false" ht="15" hidden="false" customHeight="false" outlineLevel="0" collapsed="false">
      <c r="A105" s="36"/>
      <c r="B105" s="36"/>
      <c r="C105" s="36"/>
      <c r="D105" s="37"/>
      <c r="E105" s="38"/>
      <c r="F105" s="38"/>
      <c r="G105" s="36"/>
      <c r="H105" s="37"/>
      <c r="I105" s="39" t="str">
        <f aca="true">IF(F105="","",TODAY()-F105)</f>
        <v/>
      </c>
      <c r="J105" s="40" t="str">
        <f aca="false">IFERROR(INDEX('Azure Resource Map'!$H$2:$H$2001,MATCH($C105,'Azure Resource Map'!$A$2:$A$2001,0)),"")</f>
        <v/>
      </c>
      <c r="K105" s="40" t="str">
        <f aca="false">IFERROR(INDEX('Azure Resource Map'!$I$2:$I$2001,MATCH($C105,'Azure Resource Map'!$A$2:$A$2001,0)),"")</f>
        <v/>
      </c>
      <c r="L105" s="39" t="str">
        <f aca="false">IFERROR(INDEX('Azure Resource Map'!$J$2:$J$2001,MATCH($C105,'Azure Resource Map'!$A$2:$A$2001,0)),"")</f>
        <v/>
      </c>
      <c r="M105" s="40" t="str">
        <f aca="false">IFERROR(INDEX('Azure Resource Map'!$K$2:$K$2001,MATCH($C105,'Azure Resource Map'!$A$2:$A$2001,0)),"")</f>
        <v/>
      </c>
      <c r="N105" s="39" t="str">
        <f aca="false">IFERROR(INDEX('Azure Resource Map'!$L$2:$L$2001,MATCH($C105,'Azure Resource Map'!$A$2:$A$2001,0)),"")</f>
        <v/>
      </c>
      <c r="O105" s="39" t="str">
        <f aca="false">IFERROR(INDEX('Azure Resource Map'!$M$2:$M$2001,MATCH($C105,'Azure Resource Map'!$A$2:$A$2001,0)),"")</f>
        <v/>
      </c>
      <c r="P105" s="40" t="str">
        <f aca="false">IFERROR(INDEX('Azure Resource Map'!$D$2:$D$2001,MATCH($C105,'Azure Resource Map'!$A$2:$A$2001,0)),"")</f>
        <v/>
      </c>
      <c r="Q105" s="39" t="str">
        <f aca="false">IFERROR(INDEX('Azure Resource Map'!$E$2:$E$2001,MATCH($C105,'Azure Resource Map'!$A$2:$A$2001,0)),"")</f>
        <v/>
      </c>
      <c r="R105" s="39" t="str">
        <f aca="false">IFERROR(INDEX('Azure Resource Map'!$F$2:$F$2001,MATCH($C105,'Azure Resource Map'!$A$2:$A$2001,0)),"")</f>
        <v/>
      </c>
      <c r="S105" s="37"/>
      <c r="T105" s="39" t="str">
        <f aca="false">IF($C105="","",IF(ISNUMBER(MATCH($C105,'CA Exclusion Map'!$A$2:$A$2001,0)),"Yes","No"))</f>
        <v/>
      </c>
      <c r="U105" s="39" t="str">
        <f aca="false">IFERROR(INDEX('CA Exclusion Map'!$D$2:$D$2001,MATCH($C105,'CA Exclusion Map'!$A$2:$A$2001,0)),"")</f>
        <v/>
      </c>
      <c r="V105" s="40" t="str">
        <f aca="false">IFERROR(INDEX('CA Exclusion Map'!$E$2:$E$2001,MATCH($C105,'CA Exclusion Map'!$A$2:$A$2001,0)),"")</f>
        <v/>
      </c>
      <c r="W105" s="40" t="str">
        <f aca="false">IFERROR(INDEX('CA Exclusion Map'!$F$2:$F$2001,MATCH($C105,'CA Exclusion Map'!$A$2:$A$2001,0)),"")</f>
        <v/>
      </c>
      <c r="X105" s="36"/>
      <c r="Y105" s="37"/>
      <c r="Z105" s="38"/>
      <c r="AA105" s="38"/>
      <c r="AB105" s="39" t="str">
        <f aca="true">IF(T105="","",IF(T105&lt;&gt;"Yes","N/A",IF(AA105="","NO EXPIRY SET",IF(TODAY()&gt;AA105,"EXPIRED",IF(AA105-TODAY()&lt;=30,"Expiring Soon","Active")))))</f>
        <v/>
      </c>
      <c r="AC105" s="36"/>
      <c r="AD105" s="36"/>
      <c r="AE105" s="37"/>
      <c r="AF105" s="36"/>
      <c r="AG105" s="37"/>
      <c r="AH105" s="37"/>
      <c r="AI105" s="37"/>
      <c r="AJ105" s="37"/>
      <c r="AK105" s="38"/>
      <c r="AL105" s="37"/>
      <c r="AM105" s="37"/>
      <c r="AN105" s="41" t="str">
        <f aca="false">IF(AK105="","",AK105+90)</f>
        <v/>
      </c>
      <c r="AO105" s="39" t="str">
        <f aca="true">IF(C105="","",IF(AK105="","NOT REVIEWED",IF(TODAY()&gt;AN105,"OVERDUE",IF(AN105-TODAY()&lt;=14,"Due Soon","Current"))))</f>
        <v/>
      </c>
      <c r="AP105" s="36"/>
    </row>
    <row r="106" customFormat="false" ht="15" hidden="false" customHeight="false" outlineLevel="0" collapsed="false">
      <c r="A106" s="36"/>
      <c r="B106" s="36"/>
      <c r="C106" s="36"/>
      <c r="D106" s="37"/>
      <c r="E106" s="38"/>
      <c r="F106" s="38"/>
      <c r="G106" s="36"/>
      <c r="H106" s="37"/>
      <c r="I106" s="39" t="str">
        <f aca="true">IF(F106="","",TODAY()-F106)</f>
        <v/>
      </c>
      <c r="J106" s="40" t="str">
        <f aca="false">IFERROR(INDEX('Azure Resource Map'!$H$2:$H$2001,MATCH($C106,'Azure Resource Map'!$A$2:$A$2001,0)),"")</f>
        <v/>
      </c>
      <c r="K106" s="40" t="str">
        <f aca="false">IFERROR(INDEX('Azure Resource Map'!$I$2:$I$2001,MATCH($C106,'Azure Resource Map'!$A$2:$A$2001,0)),"")</f>
        <v/>
      </c>
      <c r="L106" s="39" t="str">
        <f aca="false">IFERROR(INDEX('Azure Resource Map'!$J$2:$J$2001,MATCH($C106,'Azure Resource Map'!$A$2:$A$2001,0)),"")</f>
        <v/>
      </c>
      <c r="M106" s="40" t="str">
        <f aca="false">IFERROR(INDEX('Azure Resource Map'!$K$2:$K$2001,MATCH($C106,'Azure Resource Map'!$A$2:$A$2001,0)),"")</f>
        <v/>
      </c>
      <c r="N106" s="39" t="str">
        <f aca="false">IFERROR(INDEX('Azure Resource Map'!$L$2:$L$2001,MATCH($C106,'Azure Resource Map'!$A$2:$A$2001,0)),"")</f>
        <v/>
      </c>
      <c r="O106" s="39" t="str">
        <f aca="false">IFERROR(INDEX('Azure Resource Map'!$M$2:$M$2001,MATCH($C106,'Azure Resource Map'!$A$2:$A$2001,0)),"")</f>
        <v/>
      </c>
      <c r="P106" s="40" t="str">
        <f aca="false">IFERROR(INDEX('Azure Resource Map'!$D$2:$D$2001,MATCH($C106,'Azure Resource Map'!$A$2:$A$2001,0)),"")</f>
        <v/>
      </c>
      <c r="Q106" s="39" t="str">
        <f aca="false">IFERROR(INDEX('Azure Resource Map'!$E$2:$E$2001,MATCH($C106,'Azure Resource Map'!$A$2:$A$2001,0)),"")</f>
        <v/>
      </c>
      <c r="R106" s="39" t="str">
        <f aca="false">IFERROR(INDEX('Azure Resource Map'!$F$2:$F$2001,MATCH($C106,'Azure Resource Map'!$A$2:$A$2001,0)),"")</f>
        <v/>
      </c>
      <c r="S106" s="37"/>
      <c r="T106" s="39" t="str">
        <f aca="false">IF($C106="","",IF(ISNUMBER(MATCH($C106,'CA Exclusion Map'!$A$2:$A$2001,0)),"Yes","No"))</f>
        <v/>
      </c>
      <c r="U106" s="39" t="str">
        <f aca="false">IFERROR(INDEX('CA Exclusion Map'!$D$2:$D$2001,MATCH($C106,'CA Exclusion Map'!$A$2:$A$2001,0)),"")</f>
        <v/>
      </c>
      <c r="V106" s="40" t="str">
        <f aca="false">IFERROR(INDEX('CA Exclusion Map'!$E$2:$E$2001,MATCH($C106,'CA Exclusion Map'!$A$2:$A$2001,0)),"")</f>
        <v/>
      </c>
      <c r="W106" s="40" t="str">
        <f aca="false">IFERROR(INDEX('CA Exclusion Map'!$F$2:$F$2001,MATCH($C106,'CA Exclusion Map'!$A$2:$A$2001,0)),"")</f>
        <v/>
      </c>
      <c r="X106" s="36"/>
      <c r="Y106" s="37"/>
      <c r="Z106" s="38"/>
      <c r="AA106" s="38"/>
      <c r="AB106" s="39" t="str">
        <f aca="true">IF(T106="","",IF(T106&lt;&gt;"Yes","N/A",IF(AA106="","NO EXPIRY SET",IF(TODAY()&gt;AA106,"EXPIRED",IF(AA106-TODAY()&lt;=30,"Expiring Soon","Active")))))</f>
        <v/>
      </c>
      <c r="AC106" s="36"/>
      <c r="AD106" s="36"/>
      <c r="AE106" s="37"/>
      <c r="AF106" s="36"/>
      <c r="AG106" s="37"/>
      <c r="AH106" s="37"/>
      <c r="AI106" s="37"/>
      <c r="AJ106" s="37"/>
      <c r="AK106" s="38"/>
      <c r="AL106" s="37"/>
      <c r="AM106" s="37"/>
      <c r="AN106" s="41" t="str">
        <f aca="false">IF(AK106="","",AK106+90)</f>
        <v/>
      </c>
      <c r="AO106" s="39" t="str">
        <f aca="true">IF(C106="","",IF(AK106="","NOT REVIEWED",IF(TODAY()&gt;AN106,"OVERDUE",IF(AN106-TODAY()&lt;=14,"Due Soon","Current"))))</f>
        <v/>
      </c>
      <c r="AP106" s="36"/>
    </row>
    <row r="107" customFormat="false" ht="15" hidden="false" customHeight="false" outlineLevel="0" collapsed="false">
      <c r="A107" s="36"/>
      <c r="B107" s="36"/>
      <c r="C107" s="36"/>
      <c r="D107" s="37"/>
      <c r="E107" s="38"/>
      <c r="F107" s="38"/>
      <c r="G107" s="36"/>
      <c r="H107" s="37"/>
      <c r="I107" s="39" t="str">
        <f aca="true">IF(F107="","",TODAY()-F107)</f>
        <v/>
      </c>
      <c r="J107" s="40" t="str">
        <f aca="false">IFERROR(INDEX('Azure Resource Map'!$H$2:$H$2001,MATCH($C107,'Azure Resource Map'!$A$2:$A$2001,0)),"")</f>
        <v/>
      </c>
      <c r="K107" s="40" t="str">
        <f aca="false">IFERROR(INDEX('Azure Resource Map'!$I$2:$I$2001,MATCH($C107,'Azure Resource Map'!$A$2:$A$2001,0)),"")</f>
        <v/>
      </c>
      <c r="L107" s="39" t="str">
        <f aca="false">IFERROR(INDEX('Azure Resource Map'!$J$2:$J$2001,MATCH($C107,'Azure Resource Map'!$A$2:$A$2001,0)),"")</f>
        <v/>
      </c>
      <c r="M107" s="40" t="str">
        <f aca="false">IFERROR(INDEX('Azure Resource Map'!$K$2:$K$2001,MATCH($C107,'Azure Resource Map'!$A$2:$A$2001,0)),"")</f>
        <v/>
      </c>
      <c r="N107" s="39" t="str">
        <f aca="false">IFERROR(INDEX('Azure Resource Map'!$L$2:$L$2001,MATCH($C107,'Azure Resource Map'!$A$2:$A$2001,0)),"")</f>
        <v/>
      </c>
      <c r="O107" s="39" t="str">
        <f aca="false">IFERROR(INDEX('Azure Resource Map'!$M$2:$M$2001,MATCH($C107,'Azure Resource Map'!$A$2:$A$2001,0)),"")</f>
        <v/>
      </c>
      <c r="P107" s="40" t="str">
        <f aca="false">IFERROR(INDEX('Azure Resource Map'!$D$2:$D$2001,MATCH($C107,'Azure Resource Map'!$A$2:$A$2001,0)),"")</f>
        <v/>
      </c>
      <c r="Q107" s="39" t="str">
        <f aca="false">IFERROR(INDEX('Azure Resource Map'!$E$2:$E$2001,MATCH($C107,'Azure Resource Map'!$A$2:$A$2001,0)),"")</f>
        <v/>
      </c>
      <c r="R107" s="39" t="str">
        <f aca="false">IFERROR(INDEX('Azure Resource Map'!$F$2:$F$2001,MATCH($C107,'Azure Resource Map'!$A$2:$A$2001,0)),"")</f>
        <v/>
      </c>
      <c r="S107" s="37"/>
      <c r="T107" s="39" t="str">
        <f aca="false">IF($C107="","",IF(ISNUMBER(MATCH($C107,'CA Exclusion Map'!$A$2:$A$2001,0)),"Yes","No"))</f>
        <v/>
      </c>
      <c r="U107" s="39" t="str">
        <f aca="false">IFERROR(INDEX('CA Exclusion Map'!$D$2:$D$2001,MATCH($C107,'CA Exclusion Map'!$A$2:$A$2001,0)),"")</f>
        <v/>
      </c>
      <c r="V107" s="40" t="str">
        <f aca="false">IFERROR(INDEX('CA Exclusion Map'!$E$2:$E$2001,MATCH($C107,'CA Exclusion Map'!$A$2:$A$2001,0)),"")</f>
        <v/>
      </c>
      <c r="W107" s="40" t="str">
        <f aca="false">IFERROR(INDEX('CA Exclusion Map'!$F$2:$F$2001,MATCH($C107,'CA Exclusion Map'!$A$2:$A$2001,0)),"")</f>
        <v/>
      </c>
      <c r="X107" s="36"/>
      <c r="Y107" s="37"/>
      <c r="Z107" s="38"/>
      <c r="AA107" s="38"/>
      <c r="AB107" s="39" t="str">
        <f aca="true">IF(T107="","",IF(T107&lt;&gt;"Yes","N/A",IF(AA107="","NO EXPIRY SET",IF(TODAY()&gt;AA107,"EXPIRED",IF(AA107-TODAY()&lt;=30,"Expiring Soon","Active")))))</f>
        <v/>
      </c>
      <c r="AC107" s="36"/>
      <c r="AD107" s="36"/>
      <c r="AE107" s="37"/>
      <c r="AF107" s="36"/>
      <c r="AG107" s="37"/>
      <c r="AH107" s="37"/>
      <c r="AI107" s="37"/>
      <c r="AJ107" s="37"/>
      <c r="AK107" s="38"/>
      <c r="AL107" s="37"/>
      <c r="AM107" s="37"/>
      <c r="AN107" s="41" t="str">
        <f aca="false">IF(AK107="","",AK107+90)</f>
        <v/>
      </c>
      <c r="AO107" s="39" t="str">
        <f aca="true">IF(C107="","",IF(AK107="","NOT REVIEWED",IF(TODAY()&gt;AN107,"OVERDUE",IF(AN107-TODAY()&lt;=14,"Due Soon","Current"))))</f>
        <v/>
      </c>
      <c r="AP107" s="36"/>
    </row>
    <row r="108" customFormat="false" ht="15" hidden="false" customHeight="false" outlineLevel="0" collapsed="false">
      <c r="A108" s="36"/>
      <c r="B108" s="36"/>
      <c r="C108" s="36"/>
      <c r="D108" s="37"/>
      <c r="E108" s="38"/>
      <c r="F108" s="38"/>
      <c r="G108" s="36"/>
      <c r="H108" s="37"/>
      <c r="I108" s="39" t="str">
        <f aca="true">IF(F108="","",TODAY()-F108)</f>
        <v/>
      </c>
      <c r="J108" s="40" t="str">
        <f aca="false">IFERROR(INDEX('Azure Resource Map'!$H$2:$H$2001,MATCH($C108,'Azure Resource Map'!$A$2:$A$2001,0)),"")</f>
        <v/>
      </c>
      <c r="K108" s="40" t="str">
        <f aca="false">IFERROR(INDEX('Azure Resource Map'!$I$2:$I$2001,MATCH($C108,'Azure Resource Map'!$A$2:$A$2001,0)),"")</f>
        <v/>
      </c>
      <c r="L108" s="39" t="str">
        <f aca="false">IFERROR(INDEX('Azure Resource Map'!$J$2:$J$2001,MATCH($C108,'Azure Resource Map'!$A$2:$A$2001,0)),"")</f>
        <v/>
      </c>
      <c r="M108" s="40" t="str">
        <f aca="false">IFERROR(INDEX('Azure Resource Map'!$K$2:$K$2001,MATCH($C108,'Azure Resource Map'!$A$2:$A$2001,0)),"")</f>
        <v/>
      </c>
      <c r="N108" s="39" t="str">
        <f aca="false">IFERROR(INDEX('Azure Resource Map'!$L$2:$L$2001,MATCH($C108,'Azure Resource Map'!$A$2:$A$2001,0)),"")</f>
        <v/>
      </c>
      <c r="O108" s="39" t="str">
        <f aca="false">IFERROR(INDEX('Azure Resource Map'!$M$2:$M$2001,MATCH($C108,'Azure Resource Map'!$A$2:$A$2001,0)),"")</f>
        <v/>
      </c>
      <c r="P108" s="40" t="str">
        <f aca="false">IFERROR(INDEX('Azure Resource Map'!$D$2:$D$2001,MATCH($C108,'Azure Resource Map'!$A$2:$A$2001,0)),"")</f>
        <v/>
      </c>
      <c r="Q108" s="39" t="str">
        <f aca="false">IFERROR(INDEX('Azure Resource Map'!$E$2:$E$2001,MATCH($C108,'Azure Resource Map'!$A$2:$A$2001,0)),"")</f>
        <v/>
      </c>
      <c r="R108" s="39" t="str">
        <f aca="false">IFERROR(INDEX('Azure Resource Map'!$F$2:$F$2001,MATCH($C108,'Azure Resource Map'!$A$2:$A$2001,0)),"")</f>
        <v/>
      </c>
      <c r="S108" s="37"/>
      <c r="T108" s="39" t="str">
        <f aca="false">IF($C108="","",IF(ISNUMBER(MATCH($C108,'CA Exclusion Map'!$A$2:$A$2001,0)),"Yes","No"))</f>
        <v/>
      </c>
      <c r="U108" s="39" t="str">
        <f aca="false">IFERROR(INDEX('CA Exclusion Map'!$D$2:$D$2001,MATCH($C108,'CA Exclusion Map'!$A$2:$A$2001,0)),"")</f>
        <v/>
      </c>
      <c r="V108" s="40" t="str">
        <f aca="false">IFERROR(INDEX('CA Exclusion Map'!$E$2:$E$2001,MATCH($C108,'CA Exclusion Map'!$A$2:$A$2001,0)),"")</f>
        <v/>
      </c>
      <c r="W108" s="40" t="str">
        <f aca="false">IFERROR(INDEX('CA Exclusion Map'!$F$2:$F$2001,MATCH($C108,'CA Exclusion Map'!$A$2:$A$2001,0)),"")</f>
        <v/>
      </c>
      <c r="X108" s="36"/>
      <c r="Y108" s="37"/>
      <c r="Z108" s="38"/>
      <c r="AA108" s="38"/>
      <c r="AB108" s="39" t="str">
        <f aca="true">IF(T108="","",IF(T108&lt;&gt;"Yes","N/A",IF(AA108="","NO EXPIRY SET",IF(TODAY()&gt;AA108,"EXPIRED",IF(AA108-TODAY()&lt;=30,"Expiring Soon","Active")))))</f>
        <v/>
      </c>
      <c r="AC108" s="36"/>
      <c r="AD108" s="36"/>
      <c r="AE108" s="37"/>
      <c r="AF108" s="36"/>
      <c r="AG108" s="37"/>
      <c r="AH108" s="37"/>
      <c r="AI108" s="37"/>
      <c r="AJ108" s="37"/>
      <c r="AK108" s="38"/>
      <c r="AL108" s="37"/>
      <c r="AM108" s="37"/>
      <c r="AN108" s="41" t="str">
        <f aca="false">IF(AK108="","",AK108+90)</f>
        <v/>
      </c>
      <c r="AO108" s="39" t="str">
        <f aca="true">IF(C108="","",IF(AK108="","NOT REVIEWED",IF(TODAY()&gt;AN108,"OVERDUE",IF(AN108-TODAY()&lt;=14,"Due Soon","Current"))))</f>
        <v/>
      </c>
      <c r="AP108" s="36"/>
    </row>
    <row r="109" customFormat="false" ht="15" hidden="false" customHeight="false" outlineLevel="0" collapsed="false">
      <c r="A109" s="36"/>
      <c r="B109" s="36"/>
      <c r="C109" s="36"/>
      <c r="D109" s="37"/>
      <c r="E109" s="38"/>
      <c r="F109" s="38"/>
      <c r="G109" s="36"/>
      <c r="H109" s="37"/>
      <c r="I109" s="39" t="str">
        <f aca="true">IF(F109="","",TODAY()-F109)</f>
        <v/>
      </c>
      <c r="J109" s="40" t="str">
        <f aca="false">IFERROR(INDEX('Azure Resource Map'!$H$2:$H$2001,MATCH($C109,'Azure Resource Map'!$A$2:$A$2001,0)),"")</f>
        <v/>
      </c>
      <c r="K109" s="40" t="str">
        <f aca="false">IFERROR(INDEX('Azure Resource Map'!$I$2:$I$2001,MATCH($C109,'Azure Resource Map'!$A$2:$A$2001,0)),"")</f>
        <v/>
      </c>
      <c r="L109" s="39" t="str">
        <f aca="false">IFERROR(INDEX('Azure Resource Map'!$J$2:$J$2001,MATCH($C109,'Azure Resource Map'!$A$2:$A$2001,0)),"")</f>
        <v/>
      </c>
      <c r="M109" s="40" t="str">
        <f aca="false">IFERROR(INDEX('Azure Resource Map'!$K$2:$K$2001,MATCH($C109,'Azure Resource Map'!$A$2:$A$2001,0)),"")</f>
        <v/>
      </c>
      <c r="N109" s="39" t="str">
        <f aca="false">IFERROR(INDEX('Azure Resource Map'!$L$2:$L$2001,MATCH($C109,'Azure Resource Map'!$A$2:$A$2001,0)),"")</f>
        <v/>
      </c>
      <c r="O109" s="39" t="str">
        <f aca="false">IFERROR(INDEX('Azure Resource Map'!$M$2:$M$2001,MATCH($C109,'Azure Resource Map'!$A$2:$A$2001,0)),"")</f>
        <v/>
      </c>
      <c r="P109" s="40" t="str">
        <f aca="false">IFERROR(INDEX('Azure Resource Map'!$D$2:$D$2001,MATCH($C109,'Azure Resource Map'!$A$2:$A$2001,0)),"")</f>
        <v/>
      </c>
      <c r="Q109" s="39" t="str">
        <f aca="false">IFERROR(INDEX('Azure Resource Map'!$E$2:$E$2001,MATCH($C109,'Azure Resource Map'!$A$2:$A$2001,0)),"")</f>
        <v/>
      </c>
      <c r="R109" s="39" t="str">
        <f aca="false">IFERROR(INDEX('Azure Resource Map'!$F$2:$F$2001,MATCH($C109,'Azure Resource Map'!$A$2:$A$2001,0)),"")</f>
        <v/>
      </c>
      <c r="S109" s="37"/>
      <c r="T109" s="39" t="str">
        <f aca="false">IF($C109="","",IF(ISNUMBER(MATCH($C109,'CA Exclusion Map'!$A$2:$A$2001,0)),"Yes","No"))</f>
        <v/>
      </c>
      <c r="U109" s="39" t="str">
        <f aca="false">IFERROR(INDEX('CA Exclusion Map'!$D$2:$D$2001,MATCH($C109,'CA Exclusion Map'!$A$2:$A$2001,0)),"")</f>
        <v/>
      </c>
      <c r="V109" s="40" t="str">
        <f aca="false">IFERROR(INDEX('CA Exclusion Map'!$E$2:$E$2001,MATCH($C109,'CA Exclusion Map'!$A$2:$A$2001,0)),"")</f>
        <v/>
      </c>
      <c r="W109" s="40" t="str">
        <f aca="false">IFERROR(INDEX('CA Exclusion Map'!$F$2:$F$2001,MATCH($C109,'CA Exclusion Map'!$A$2:$A$2001,0)),"")</f>
        <v/>
      </c>
      <c r="X109" s="36"/>
      <c r="Y109" s="37"/>
      <c r="Z109" s="38"/>
      <c r="AA109" s="38"/>
      <c r="AB109" s="39" t="str">
        <f aca="true">IF(T109="","",IF(T109&lt;&gt;"Yes","N/A",IF(AA109="","NO EXPIRY SET",IF(TODAY()&gt;AA109,"EXPIRED",IF(AA109-TODAY()&lt;=30,"Expiring Soon","Active")))))</f>
        <v/>
      </c>
      <c r="AC109" s="36"/>
      <c r="AD109" s="36"/>
      <c r="AE109" s="37"/>
      <c r="AF109" s="36"/>
      <c r="AG109" s="37"/>
      <c r="AH109" s="37"/>
      <c r="AI109" s="37"/>
      <c r="AJ109" s="37"/>
      <c r="AK109" s="38"/>
      <c r="AL109" s="37"/>
      <c r="AM109" s="37"/>
      <c r="AN109" s="41" t="str">
        <f aca="false">IF(AK109="","",AK109+90)</f>
        <v/>
      </c>
      <c r="AO109" s="39" t="str">
        <f aca="true">IF(C109="","",IF(AK109="","NOT REVIEWED",IF(TODAY()&gt;AN109,"OVERDUE",IF(AN109-TODAY()&lt;=14,"Due Soon","Current"))))</f>
        <v/>
      </c>
      <c r="AP109" s="36"/>
    </row>
    <row r="110" customFormat="false" ht="15" hidden="false" customHeight="false" outlineLevel="0" collapsed="false">
      <c r="A110" s="36"/>
      <c r="B110" s="36"/>
      <c r="C110" s="36"/>
      <c r="D110" s="37"/>
      <c r="E110" s="38"/>
      <c r="F110" s="38"/>
      <c r="G110" s="36"/>
      <c r="H110" s="37"/>
      <c r="I110" s="39" t="str">
        <f aca="true">IF(F110="","",TODAY()-F110)</f>
        <v/>
      </c>
      <c r="J110" s="40" t="str">
        <f aca="false">IFERROR(INDEX('Azure Resource Map'!$H$2:$H$2001,MATCH($C110,'Azure Resource Map'!$A$2:$A$2001,0)),"")</f>
        <v/>
      </c>
      <c r="K110" s="40" t="str">
        <f aca="false">IFERROR(INDEX('Azure Resource Map'!$I$2:$I$2001,MATCH($C110,'Azure Resource Map'!$A$2:$A$2001,0)),"")</f>
        <v/>
      </c>
      <c r="L110" s="39" t="str">
        <f aca="false">IFERROR(INDEX('Azure Resource Map'!$J$2:$J$2001,MATCH($C110,'Azure Resource Map'!$A$2:$A$2001,0)),"")</f>
        <v/>
      </c>
      <c r="M110" s="40" t="str">
        <f aca="false">IFERROR(INDEX('Azure Resource Map'!$K$2:$K$2001,MATCH($C110,'Azure Resource Map'!$A$2:$A$2001,0)),"")</f>
        <v/>
      </c>
      <c r="N110" s="39" t="str">
        <f aca="false">IFERROR(INDEX('Azure Resource Map'!$L$2:$L$2001,MATCH($C110,'Azure Resource Map'!$A$2:$A$2001,0)),"")</f>
        <v/>
      </c>
      <c r="O110" s="39" t="str">
        <f aca="false">IFERROR(INDEX('Azure Resource Map'!$M$2:$M$2001,MATCH($C110,'Azure Resource Map'!$A$2:$A$2001,0)),"")</f>
        <v/>
      </c>
      <c r="P110" s="40" t="str">
        <f aca="false">IFERROR(INDEX('Azure Resource Map'!$D$2:$D$2001,MATCH($C110,'Azure Resource Map'!$A$2:$A$2001,0)),"")</f>
        <v/>
      </c>
      <c r="Q110" s="39" t="str">
        <f aca="false">IFERROR(INDEX('Azure Resource Map'!$E$2:$E$2001,MATCH($C110,'Azure Resource Map'!$A$2:$A$2001,0)),"")</f>
        <v/>
      </c>
      <c r="R110" s="39" t="str">
        <f aca="false">IFERROR(INDEX('Azure Resource Map'!$F$2:$F$2001,MATCH($C110,'Azure Resource Map'!$A$2:$A$2001,0)),"")</f>
        <v/>
      </c>
      <c r="S110" s="37"/>
      <c r="T110" s="39" t="str">
        <f aca="false">IF($C110="","",IF(ISNUMBER(MATCH($C110,'CA Exclusion Map'!$A$2:$A$2001,0)),"Yes","No"))</f>
        <v/>
      </c>
      <c r="U110" s="39" t="str">
        <f aca="false">IFERROR(INDEX('CA Exclusion Map'!$D$2:$D$2001,MATCH($C110,'CA Exclusion Map'!$A$2:$A$2001,0)),"")</f>
        <v/>
      </c>
      <c r="V110" s="40" t="str">
        <f aca="false">IFERROR(INDEX('CA Exclusion Map'!$E$2:$E$2001,MATCH($C110,'CA Exclusion Map'!$A$2:$A$2001,0)),"")</f>
        <v/>
      </c>
      <c r="W110" s="40" t="str">
        <f aca="false">IFERROR(INDEX('CA Exclusion Map'!$F$2:$F$2001,MATCH($C110,'CA Exclusion Map'!$A$2:$A$2001,0)),"")</f>
        <v/>
      </c>
      <c r="X110" s="36"/>
      <c r="Y110" s="37"/>
      <c r="Z110" s="38"/>
      <c r="AA110" s="38"/>
      <c r="AB110" s="39" t="str">
        <f aca="true">IF(T110="","",IF(T110&lt;&gt;"Yes","N/A",IF(AA110="","NO EXPIRY SET",IF(TODAY()&gt;AA110,"EXPIRED",IF(AA110-TODAY()&lt;=30,"Expiring Soon","Active")))))</f>
        <v/>
      </c>
      <c r="AC110" s="36"/>
      <c r="AD110" s="36"/>
      <c r="AE110" s="37"/>
      <c r="AF110" s="36"/>
      <c r="AG110" s="37"/>
      <c r="AH110" s="37"/>
      <c r="AI110" s="37"/>
      <c r="AJ110" s="37"/>
      <c r="AK110" s="38"/>
      <c r="AL110" s="37"/>
      <c r="AM110" s="37"/>
      <c r="AN110" s="41" t="str">
        <f aca="false">IF(AK110="","",AK110+90)</f>
        <v/>
      </c>
      <c r="AO110" s="39" t="str">
        <f aca="true">IF(C110="","",IF(AK110="","NOT REVIEWED",IF(TODAY()&gt;AN110,"OVERDUE",IF(AN110-TODAY()&lt;=14,"Due Soon","Current"))))</f>
        <v/>
      </c>
      <c r="AP110" s="36"/>
    </row>
    <row r="111" customFormat="false" ht="15" hidden="false" customHeight="false" outlineLevel="0" collapsed="false">
      <c r="A111" s="36"/>
      <c r="B111" s="36"/>
      <c r="C111" s="36"/>
      <c r="D111" s="37"/>
      <c r="E111" s="38"/>
      <c r="F111" s="38"/>
      <c r="G111" s="36"/>
      <c r="H111" s="37"/>
      <c r="I111" s="39" t="str">
        <f aca="true">IF(F111="","",TODAY()-F111)</f>
        <v/>
      </c>
      <c r="J111" s="40" t="str">
        <f aca="false">IFERROR(INDEX('Azure Resource Map'!$H$2:$H$2001,MATCH($C111,'Azure Resource Map'!$A$2:$A$2001,0)),"")</f>
        <v/>
      </c>
      <c r="K111" s="40" t="str">
        <f aca="false">IFERROR(INDEX('Azure Resource Map'!$I$2:$I$2001,MATCH($C111,'Azure Resource Map'!$A$2:$A$2001,0)),"")</f>
        <v/>
      </c>
      <c r="L111" s="39" t="str">
        <f aca="false">IFERROR(INDEX('Azure Resource Map'!$J$2:$J$2001,MATCH($C111,'Azure Resource Map'!$A$2:$A$2001,0)),"")</f>
        <v/>
      </c>
      <c r="M111" s="40" t="str">
        <f aca="false">IFERROR(INDEX('Azure Resource Map'!$K$2:$K$2001,MATCH($C111,'Azure Resource Map'!$A$2:$A$2001,0)),"")</f>
        <v/>
      </c>
      <c r="N111" s="39" t="str">
        <f aca="false">IFERROR(INDEX('Azure Resource Map'!$L$2:$L$2001,MATCH($C111,'Azure Resource Map'!$A$2:$A$2001,0)),"")</f>
        <v/>
      </c>
      <c r="O111" s="39" t="str">
        <f aca="false">IFERROR(INDEX('Azure Resource Map'!$M$2:$M$2001,MATCH($C111,'Azure Resource Map'!$A$2:$A$2001,0)),"")</f>
        <v/>
      </c>
      <c r="P111" s="40" t="str">
        <f aca="false">IFERROR(INDEX('Azure Resource Map'!$D$2:$D$2001,MATCH($C111,'Azure Resource Map'!$A$2:$A$2001,0)),"")</f>
        <v/>
      </c>
      <c r="Q111" s="39" t="str">
        <f aca="false">IFERROR(INDEX('Azure Resource Map'!$E$2:$E$2001,MATCH($C111,'Azure Resource Map'!$A$2:$A$2001,0)),"")</f>
        <v/>
      </c>
      <c r="R111" s="39" t="str">
        <f aca="false">IFERROR(INDEX('Azure Resource Map'!$F$2:$F$2001,MATCH($C111,'Azure Resource Map'!$A$2:$A$2001,0)),"")</f>
        <v/>
      </c>
      <c r="S111" s="37"/>
      <c r="T111" s="39" t="str">
        <f aca="false">IF($C111="","",IF(ISNUMBER(MATCH($C111,'CA Exclusion Map'!$A$2:$A$2001,0)),"Yes","No"))</f>
        <v/>
      </c>
      <c r="U111" s="39" t="str">
        <f aca="false">IFERROR(INDEX('CA Exclusion Map'!$D$2:$D$2001,MATCH($C111,'CA Exclusion Map'!$A$2:$A$2001,0)),"")</f>
        <v/>
      </c>
      <c r="V111" s="40" t="str">
        <f aca="false">IFERROR(INDEX('CA Exclusion Map'!$E$2:$E$2001,MATCH($C111,'CA Exclusion Map'!$A$2:$A$2001,0)),"")</f>
        <v/>
      </c>
      <c r="W111" s="40" t="str">
        <f aca="false">IFERROR(INDEX('CA Exclusion Map'!$F$2:$F$2001,MATCH($C111,'CA Exclusion Map'!$A$2:$A$2001,0)),"")</f>
        <v/>
      </c>
      <c r="X111" s="36"/>
      <c r="Y111" s="37"/>
      <c r="Z111" s="38"/>
      <c r="AA111" s="38"/>
      <c r="AB111" s="39" t="str">
        <f aca="true">IF(T111="","",IF(T111&lt;&gt;"Yes","N/A",IF(AA111="","NO EXPIRY SET",IF(TODAY()&gt;AA111,"EXPIRED",IF(AA111-TODAY()&lt;=30,"Expiring Soon","Active")))))</f>
        <v/>
      </c>
      <c r="AC111" s="36"/>
      <c r="AD111" s="36"/>
      <c r="AE111" s="37"/>
      <c r="AF111" s="36"/>
      <c r="AG111" s="37"/>
      <c r="AH111" s="37"/>
      <c r="AI111" s="37"/>
      <c r="AJ111" s="37"/>
      <c r="AK111" s="38"/>
      <c r="AL111" s="37"/>
      <c r="AM111" s="37"/>
      <c r="AN111" s="41" t="str">
        <f aca="false">IF(AK111="","",AK111+90)</f>
        <v/>
      </c>
      <c r="AO111" s="39" t="str">
        <f aca="true">IF(C111="","",IF(AK111="","NOT REVIEWED",IF(TODAY()&gt;AN111,"OVERDUE",IF(AN111-TODAY()&lt;=14,"Due Soon","Current"))))</f>
        <v/>
      </c>
      <c r="AP111" s="36"/>
    </row>
    <row r="112" customFormat="false" ht="15" hidden="false" customHeight="false" outlineLevel="0" collapsed="false">
      <c r="A112" s="36"/>
      <c r="B112" s="36"/>
      <c r="C112" s="36"/>
      <c r="D112" s="37"/>
      <c r="E112" s="38"/>
      <c r="F112" s="38"/>
      <c r="G112" s="36"/>
      <c r="H112" s="37"/>
      <c r="I112" s="39" t="str">
        <f aca="true">IF(F112="","",TODAY()-F112)</f>
        <v/>
      </c>
      <c r="J112" s="40" t="str">
        <f aca="false">IFERROR(INDEX('Azure Resource Map'!$H$2:$H$2001,MATCH($C112,'Azure Resource Map'!$A$2:$A$2001,0)),"")</f>
        <v/>
      </c>
      <c r="K112" s="40" t="str">
        <f aca="false">IFERROR(INDEX('Azure Resource Map'!$I$2:$I$2001,MATCH($C112,'Azure Resource Map'!$A$2:$A$2001,0)),"")</f>
        <v/>
      </c>
      <c r="L112" s="39" t="str">
        <f aca="false">IFERROR(INDEX('Azure Resource Map'!$J$2:$J$2001,MATCH($C112,'Azure Resource Map'!$A$2:$A$2001,0)),"")</f>
        <v/>
      </c>
      <c r="M112" s="40" t="str">
        <f aca="false">IFERROR(INDEX('Azure Resource Map'!$K$2:$K$2001,MATCH($C112,'Azure Resource Map'!$A$2:$A$2001,0)),"")</f>
        <v/>
      </c>
      <c r="N112" s="39" t="str">
        <f aca="false">IFERROR(INDEX('Azure Resource Map'!$L$2:$L$2001,MATCH($C112,'Azure Resource Map'!$A$2:$A$2001,0)),"")</f>
        <v/>
      </c>
      <c r="O112" s="39" t="str">
        <f aca="false">IFERROR(INDEX('Azure Resource Map'!$M$2:$M$2001,MATCH($C112,'Azure Resource Map'!$A$2:$A$2001,0)),"")</f>
        <v/>
      </c>
      <c r="P112" s="40" t="str">
        <f aca="false">IFERROR(INDEX('Azure Resource Map'!$D$2:$D$2001,MATCH($C112,'Azure Resource Map'!$A$2:$A$2001,0)),"")</f>
        <v/>
      </c>
      <c r="Q112" s="39" t="str">
        <f aca="false">IFERROR(INDEX('Azure Resource Map'!$E$2:$E$2001,MATCH($C112,'Azure Resource Map'!$A$2:$A$2001,0)),"")</f>
        <v/>
      </c>
      <c r="R112" s="39" t="str">
        <f aca="false">IFERROR(INDEX('Azure Resource Map'!$F$2:$F$2001,MATCH($C112,'Azure Resource Map'!$A$2:$A$2001,0)),"")</f>
        <v/>
      </c>
      <c r="S112" s="37"/>
      <c r="T112" s="39" t="str">
        <f aca="false">IF($C112="","",IF(ISNUMBER(MATCH($C112,'CA Exclusion Map'!$A$2:$A$2001,0)),"Yes","No"))</f>
        <v/>
      </c>
      <c r="U112" s="39" t="str">
        <f aca="false">IFERROR(INDEX('CA Exclusion Map'!$D$2:$D$2001,MATCH($C112,'CA Exclusion Map'!$A$2:$A$2001,0)),"")</f>
        <v/>
      </c>
      <c r="V112" s="40" t="str">
        <f aca="false">IFERROR(INDEX('CA Exclusion Map'!$E$2:$E$2001,MATCH($C112,'CA Exclusion Map'!$A$2:$A$2001,0)),"")</f>
        <v/>
      </c>
      <c r="W112" s="40" t="str">
        <f aca="false">IFERROR(INDEX('CA Exclusion Map'!$F$2:$F$2001,MATCH($C112,'CA Exclusion Map'!$A$2:$A$2001,0)),"")</f>
        <v/>
      </c>
      <c r="X112" s="36"/>
      <c r="Y112" s="37"/>
      <c r="Z112" s="38"/>
      <c r="AA112" s="38"/>
      <c r="AB112" s="39" t="str">
        <f aca="true">IF(T112="","",IF(T112&lt;&gt;"Yes","N/A",IF(AA112="","NO EXPIRY SET",IF(TODAY()&gt;AA112,"EXPIRED",IF(AA112-TODAY()&lt;=30,"Expiring Soon","Active")))))</f>
        <v/>
      </c>
      <c r="AC112" s="36"/>
      <c r="AD112" s="36"/>
      <c r="AE112" s="37"/>
      <c r="AF112" s="36"/>
      <c r="AG112" s="37"/>
      <c r="AH112" s="37"/>
      <c r="AI112" s="37"/>
      <c r="AJ112" s="37"/>
      <c r="AK112" s="38"/>
      <c r="AL112" s="37"/>
      <c r="AM112" s="37"/>
      <c r="AN112" s="41" t="str">
        <f aca="false">IF(AK112="","",AK112+90)</f>
        <v/>
      </c>
      <c r="AO112" s="39" t="str">
        <f aca="true">IF(C112="","",IF(AK112="","NOT REVIEWED",IF(TODAY()&gt;AN112,"OVERDUE",IF(AN112-TODAY()&lt;=14,"Due Soon","Current"))))</f>
        <v/>
      </c>
      <c r="AP112" s="36"/>
    </row>
    <row r="113" customFormat="false" ht="15" hidden="false" customHeight="false" outlineLevel="0" collapsed="false">
      <c r="A113" s="36"/>
      <c r="B113" s="36"/>
      <c r="C113" s="36"/>
      <c r="D113" s="37"/>
      <c r="E113" s="38"/>
      <c r="F113" s="38"/>
      <c r="G113" s="36"/>
      <c r="H113" s="37"/>
      <c r="I113" s="39" t="str">
        <f aca="true">IF(F113="","",TODAY()-F113)</f>
        <v/>
      </c>
      <c r="J113" s="40" t="str">
        <f aca="false">IFERROR(INDEX('Azure Resource Map'!$H$2:$H$2001,MATCH($C113,'Azure Resource Map'!$A$2:$A$2001,0)),"")</f>
        <v/>
      </c>
      <c r="K113" s="40" t="str">
        <f aca="false">IFERROR(INDEX('Azure Resource Map'!$I$2:$I$2001,MATCH($C113,'Azure Resource Map'!$A$2:$A$2001,0)),"")</f>
        <v/>
      </c>
      <c r="L113" s="39" t="str">
        <f aca="false">IFERROR(INDEX('Azure Resource Map'!$J$2:$J$2001,MATCH($C113,'Azure Resource Map'!$A$2:$A$2001,0)),"")</f>
        <v/>
      </c>
      <c r="M113" s="40" t="str">
        <f aca="false">IFERROR(INDEX('Azure Resource Map'!$K$2:$K$2001,MATCH($C113,'Azure Resource Map'!$A$2:$A$2001,0)),"")</f>
        <v/>
      </c>
      <c r="N113" s="39" t="str">
        <f aca="false">IFERROR(INDEX('Azure Resource Map'!$L$2:$L$2001,MATCH($C113,'Azure Resource Map'!$A$2:$A$2001,0)),"")</f>
        <v/>
      </c>
      <c r="O113" s="39" t="str">
        <f aca="false">IFERROR(INDEX('Azure Resource Map'!$M$2:$M$2001,MATCH($C113,'Azure Resource Map'!$A$2:$A$2001,0)),"")</f>
        <v/>
      </c>
      <c r="P113" s="40" t="str">
        <f aca="false">IFERROR(INDEX('Azure Resource Map'!$D$2:$D$2001,MATCH($C113,'Azure Resource Map'!$A$2:$A$2001,0)),"")</f>
        <v/>
      </c>
      <c r="Q113" s="39" t="str">
        <f aca="false">IFERROR(INDEX('Azure Resource Map'!$E$2:$E$2001,MATCH($C113,'Azure Resource Map'!$A$2:$A$2001,0)),"")</f>
        <v/>
      </c>
      <c r="R113" s="39" t="str">
        <f aca="false">IFERROR(INDEX('Azure Resource Map'!$F$2:$F$2001,MATCH($C113,'Azure Resource Map'!$A$2:$A$2001,0)),"")</f>
        <v/>
      </c>
      <c r="S113" s="37"/>
      <c r="T113" s="39" t="str">
        <f aca="false">IF($C113="","",IF(ISNUMBER(MATCH($C113,'CA Exclusion Map'!$A$2:$A$2001,0)),"Yes","No"))</f>
        <v/>
      </c>
      <c r="U113" s="39" t="str">
        <f aca="false">IFERROR(INDEX('CA Exclusion Map'!$D$2:$D$2001,MATCH($C113,'CA Exclusion Map'!$A$2:$A$2001,0)),"")</f>
        <v/>
      </c>
      <c r="V113" s="40" t="str">
        <f aca="false">IFERROR(INDEX('CA Exclusion Map'!$E$2:$E$2001,MATCH($C113,'CA Exclusion Map'!$A$2:$A$2001,0)),"")</f>
        <v/>
      </c>
      <c r="W113" s="40" t="str">
        <f aca="false">IFERROR(INDEX('CA Exclusion Map'!$F$2:$F$2001,MATCH($C113,'CA Exclusion Map'!$A$2:$A$2001,0)),"")</f>
        <v/>
      </c>
      <c r="X113" s="36"/>
      <c r="Y113" s="37"/>
      <c r="Z113" s="38"/>
      <c r="AA113" s="38"/>
      <c r="AB113" s="39" t="str">
        <f aca="true">IF(T113="","",IF(T113&lt;&gt;"Yes","N/A",IF(AA113="","NO EXPIRY SET",IF(TODAY()&gt;AA113,"EXPIRED",IF(AA113-TODAY()&lt;=30,"Expiring Soon","Active")))))</f>
        <v/>
      </c>
      <c r="AC113" s="36"/>
      <c r="AD113" s="36"/>
      <c r="AE113" s="37"/>
      <c r="AF113" s="36"/>
      <c r="AG113" s="37"/>
      <c r="AH113" s="37"/>
      <c r="AI113" s="37"/>
      <c r="AJ113" s="37"/>
      <c r="AK113" s="38"/>
      <c r="AL113" s="37"/>
      <c r="AM113" s="37"/>
      <c r="AN113" s="41" t="str">
        <f aca="false">IF(AK113="","",AK113+90)</f>
        <v/>
      </c>
      <c r="AO113" s="39" t="str">
        <f aca="true">IF(C113="","",IF(AK113="","NOT REVIEWED",IF(TODAY()&gt;AN113,"OVERDUE",IF(AN113-TODAY()&lt;=14,"Due Soon","Current"))))</f>
        <v/>
      </c>
      <c r="AP113" s="36"/>
    </row>
    <row r="114" customFormat="false" ht="15" hidden="false" customHeight="false" outlineLevel="0" collapsed="false">
      <c r="A114" s="36"/>
      <c r="B114" s="36"/>
      <c r="C114" s="36"/>
      <c r="D114" s="37"/>
      <c r="E114" s="38"/>
      <c r="F114" s="38"/>
      <c r="G114" s="36"/>
      <c r="H114" s="37"/>
      <c r="I114" s="39" t="str">
        <f aca="true">IF(F114="","",TODAY()-F114)</f>
        <v/>
      </c>
      <c r="J114" s="40" t="str">
        <f aca="false">IFERROR(INDEX('Azure Resource Map'!$H$2:$H$2001,MATCH($C114,'Azure Resource Map'!$A$2:$A$2001,0)),"")</f>
        <v/>
      </c>
      <c r="K114" s="40" t="str">
        <f aca="false">IFERROR(INDEX('Azure Resource Map'!$I$2:$I$2001,MATCH($C114,'Azure Resource Map'!$A$2:$A$2001,0)),"")</f>
        <v/>
      </c>
      <c r="L114" s="39" t="str">
        <f aca="false">IFERROR(INDEX('Azure Resource Map'!$J$2:$J$2001,MATCH($C114,'Azure Resource Map'!$A$2:$A$2001,0)),"")</f>
        <v/>
      </c>
      <c r="M114" s="40" t="str">
        <f aca="false">IFERROR(INDEX('Azure Resource Map'!$K$2:$K$2001,MATCH($C114,'Azure Resource Map'!$A$2:$A$2001,0)),"")</f>
        <v/>
      </c>
      <c r="N114" s="39" t="str">
        <f aca="false">IFERROR(INDEX('Azure Resource Map'!$L$2:$L$2001,MATCH($C114,'Azure Resource Map'!$A$2:$A$2001,0)),"")</f>
        <v/>
      </c>
      <c r="O114" s="39" t="str">
        <f aca="false">IFERROR(INDEX('Azure Resource Map'!$M$2:$M$2001,MATCH($C114,'Azure Resource Map'!$A$2:$A$2001,0)),"")</f>
        <v/>
      </c>
      <c r="P114" s="40" t="str">
        <f aca="false">IFERROR(INDEX('Azure Resource Map'!$D$2:$D$2001,MATCH($C114,'Azure Resource Map'!$A$2:$A$2001,0)),"")</f>
        <v/>
      </c>
      <c r="Q114" s="39" t="str">
        <f aca="false">IFERROR(INDEX('Azure Resource Map'!$E$2:$E$2001,MATCH($C114,'Azure Resource Map'!$A$2:$A$2001,0)),"")</f>
        <v/>
      </c>
      <c r="R114" s="39" t="str">
        <f aca="false">IFERROR(INDEX('Azure Resource Map'!$F$2:$F$2001,MATCH($C114,'Azure Resource Map'!$A$2:$A$2001,0)),"")</f>
        <v/>
      </c>
      <c r="S114" s="37"/>
      <c r="T114" s="39" t="str">
        <f aca="false">IF($C114="","",IF(ISNUMBER(MATCH($C114,'CA Exclusion Map'!$A$2:$A$2001,0)),"Yes","No"))</f>
        <v/>
      </c>
      <c r="U114" s="39" t="str">
        <f aca="false">IFERROR(INDEX('CA Exclusion Map'!$D$2:$D$2001,MATCH($C114,'CA Exclusion Map'!$A$2:$A$2001,0)),"")</f>
        <v/>
      </c>
      <c r="V114" s="40" t="str">
        <f aca="false">IFERROR(INDEX('CA Exclusion Map'!$E$2:$E$2001,MATCH($C114,'CA Exclusion Map'!$A$2:$A$2001,0)),"")</f>
        <v/>
      </c>
      <c r="W114" s="40" t="str">
        <f aca="false">IFERROR(INDEX('CA Exclusion Map'!$F$2:$F$2001,MATCH($C114,'CA Exclusion Map'!$A$2:$A$2001,0)),"")</f>
        <v/>
      </c>
      <c r="X114" s="36"/>
      <c r="Y114" s="37"/>
      <c r="Z114" s="38"/>
      <c r="AA114" s="38"/>
      <c r="AB114" s="39" t="str">
        <f aca="true">IF(T114="","",IF(T114&lt;&gt;"Yes","N/A",IF(AA114="","NO EXPIRY SET",IF(TODAY()&gt;AA114,"EXPIRED",IF(AA114-TODAY()&lt;=30,"Expiring Soon","Active")))))</f>
        <v/>
      </c>
      <c r="AC114" s="36"/>
      <c r="AD114" s="36"/>
      <c r="AE114" s="37"/>
      <c r="AF114" s="36"/>
      <c r="AG114" s="37"/>
      <c r="AH114" s="37"/>
      <c r="AI114" s="37"/>
      <c r="AJ114" s="37"/>
      <c r="AK114" s="38"/>
      <c r="AL114" s="37"/>
      <c r="AM114" s="37"/>
      <c r="AN114" s="41" t="str">
        <f aca="false">IF(AK114="","",AK114+90)</f>
        <v/>
      </c>
      <c r="AO114" s="39" t="str">
        <f aca="true">IF(C114="","",IF(AK114="","NOT REVIEWED",IF(TODAY()&gt;AN114,"OVERDUE",IF(AN114-TODAY()&lt;=14,"Due Soon","Current"))))</f>
        <v/>
      </c>
      <c r="AP114" s="36"/>
    </row>
    <row r="115" customFormat="false" ht="15" hidden="false" customHeight="false" outlineLevel="0" collapsed="false">
      <c r="A115" s="36"/>
      <c r="B115" s="36"/>
      <c r="C115" s="36"/>
      <c r="D115" s="37"/>
      <c r="E115" s="38"/>
      <c r="F115" s="38"/>
      <c r="G115" s="36"/>
      <c r="H115" s="37"/>
      <c r="I115" s="39" t="str">
        <f aca="true">IF(F115="","",TODAY()-F115)</f>
        <v/>
      </c>
      <c r="J115" s="40" t="str">
        <f aca="false">IFERROR(INDEX('Azure Resource Map'!$H$2:$H$2001,MATCH($C115,'Azure Resource Map'!$A$2:$A$2001,0)),"")</f>
        <v/>
      </c>
      <c r="K115" s="40" t="str">
        <f aca="false">IFERROR(INDEX('Azure Resource Map'!$I$2:$I$2001,MATCH($C115,'Azure Resource Map'!$A$2:$A$2001,0)),"")</f>
        <v/>
      </c>
      <c r="L115" s="39" t="str">
        <f aca="false">IFERROR(INDEX('Azure Resource Map'!$J$2:$J$2001,MATCH($C115,'Azure Resource Map'!$A$2:$A$2001,0)),"")</f>
        <v/>
      </c>
      <c r="M115" s="40" t="str">
        <f aca="false">IFERROR(INDEX('Azure Resource Map'!$K$2:$K$2001,MATCH($C115,'Azure Resource Map'!$A$2:$A$2001,0)),"")</f>
        <v/>
      </c>
      <c r="N115" s="39" t="str">
        <f aca="false">IFERROR(INDEX('Azure Resource Map'!$L$2:$L$2001,MATCH($C115,'Azure Resource Map'!$A$2:$A$2001,0)),"")</f>
        <v/>
      </c>
      <c r="O115" s="39" t="str">
        <f aca="false">IFERROR(INDEX('Azure Resource Map'!$M$2:$M$2001,MATCH($C115,'Azure Resource Map'!$A$2:$A$2001,0)),"")</f>
        <v/>
      </c>
      <c r="P115" s="40" t="str">
        <f aca="false">IFERROR(INDEX('Azure Resource Map'!$D$2:$D$2001,MATCH($C115,'Azure Resource Map'!$A$2:$A$2001,0)),"")</f>
        <v/>
      </c>
      <c r="Q115" s="39" t="str">
        <f aca="false">IFERROR(INDEX('Azure Resource Map'!$E$2:$E$2001,MATCH($C115,'Azure Resource Map'!$A$2:$A$2001,0)),"")</f>
        <v/>
      </c>
      <c r="R115" s="39" t="str">
        <f aca="false">IFERROR(INDEX('Azure Resource Map'!$F$2:$F$2001,MATCH($C115,'Azure Resource Map'!$A$2:$A$2001,0)),"")</f>
        <v/>
      </c>
      <c r="S115" s="37"/>
      <c r="T115" s="39" t="str">
        <f aca="false">IF($C115="","",IF(ISNUMBER(MATCH($C115,'CA Exclusion Map'!$A$2:$A$2001,0)),"Yes","No"))</f>
        <v/>
      </c>
      <c r="U115" s="39" t="str">
        <f aca="false">IFERROR(INDEX('CA Exclusion Map'!$D$2:$D$2001,MATCH($C115,'CA Exclusion Map'!$A$2:$A$2001,0)),"")</f>
        <v/>
      </c>
      <c r="V115" s="40" t="str">
        <f aca="false">IFERROR(INDEX('CA Exclusion Map'!$E$2:$E$2001,MATCH($C115,'CA Exclusion Map'!$A$2:$A$2001,0)),"")</f>
        <v/>
      </c>
      <c r="W115" s="40" t="str">
        <f aca="false">IFERROR(INDEX('CA Exclusion Map'!$F$2:$F$2001,MATCH($C115,'CA Exclusion Map'!$A$2:$A$2001,0)),"")</f>
        <v/>
      </c>
      <c r="X115" s="36"/>
      <c r="Y115" s="37"/>
      <c r="Z115" s="38"/>
      <c r="AA115" s="38"/>
      <c r="AB115" s="39" t="str">
        <f aca="true">IF(T115="","",IF(T115&lt;&gt;"Yes","N/A",IF(AA115="","NO EXPIRY SET",IF(TODAY()&gt;AA115,"EXPIRED",IF(AA115-TODAY()&lt;=30,"Expiring Soon","Active")))))</f>
        <v/>
      </c>
      <c r="AC115" s="36"/>
      <c r="AD115" s="36"/>
      <c r="AE115" s="37"/>
      <c r="AF115" s="36"/>
      <c r="AG115" s="37"/>
      <c r="AH115" s="37"/>
      <c r="AI115" s="37"/>
      <c r="AJ115" s="37"/>
      <c r="AK115" s="38"/>
      <c r="AL115" s="37"/>
      <c r="AM115" s="37"/>
      <c r="AN115" s="41" t="str">
        <f aca="false">IF(AK115="","",AK115+90)</f>
        <v/>
      </c>
      <c r="AO115" s="39" t="str">
        <f aca="true">IF(C115="","",IF(AK115="","NOT REVIEWED",IF(TODAY()&gt;AN115,"OVERDUE",IF(AN115-TODAY()&lt;=14,"Due Soon","Current"))))</f>
        <v/>
      </c>
      <c r="AP115" s="36"/>
    </row>
    <row r="116" customFormat="false" ht="15" hidden="false" customHeight="false" outlineLevel="0" collapsed="false">
      <c r="A116" s="36"/>
      <c r="B116" s="36"/>
      <c r="C116" s="36"/>
      <c r="D116" s="37"/>
      <c r="E116" s="38"/>
      <c r="F116" s="38"/>
      <c r="G116" s="36"/>
      <c r="H116" s="37"/>
      <c r="I116" s="39" t="str">
        <f aca="true">IF(F116="","",TODAY()-F116)</f>
        <v/>
      </c>
      <c r="J116" s="40" t="str">
        <f aca="false">IFERROR(INDEX('Azure Resource Map'!$H$2:$H$2001,MATCH($C116,'Azure Resource Map'!$A$2:$A$2001,0)),"")</f>
        <v/>
      </c>
      <c r="K116" s="40" t="str">
        <f aca="false">IFERROR(INDEX('Azure Resource Map'!$I$2:$I$2001,MATCH($C116,'Azure Resource Map'!$A$2:$A$2001,0)),"")</f>
        <v/>
      </c>
      <c r="L116" s="39" t="str">
        <f aca="false">IFERROR(INDEX('Azure Resource Map'!$J$2:$J$2001,MATCH($C116,'Azure Resource Map'!$A$2:$A$2001,0)),"")</f>
        <v/>
      </c>
      <c r="M116" s="40" t="str">
        <f aca="false">IFERROR(INDEX('Azure Resource Map'!$K$2:$K$2001,MATCH($C116,'Azure Resource Map'!$A$2:$A$2001,0)),"")</f>
        <v/>
      </c>
      <c r="N116" s="39" t="str">
        <f aca="false">IFERROR(INDEX('Azure Resource Map'!$L$2:$L$2001,MATCH($C116,'Azure Resource Map'!$A$2:$A$2001,0)),"")</f>
        <v/>
      </c>
      <c r="O116" s="39" t="str">
        <f aca="false">IFERROR(INDEX('Azure Resource Map'!$M$2:$M$2001,MATCH($C116,'Azure Resource Map'!$A$2:$A$2001,0)),"")</f>
        <v/>
      </c>
      <c r="P116" s="40" t="str">
        <f aca="false">IFERROR(INDEX('Azure Resource Map'!$D$2:$D$2001,MATCH($C116,'Azure Resource Map'!$A$2:$A$2001,0)),"")</f>
        <v/>
      </c>
      <c r="Q116" s="39" t="str">
        <f aca="false">IFERROR(INDEX('Azure Resource Map'!$E$2:$E$2001,MATCH($C116,'Azure Resource Map'!$A$2:$A$2001,0)),"")</f>
        <v/>
      </c>
      <c r="R116" s="39" t="str">
        <f aca="false">IFERROR(INDEX('Azure Resource Map'!$F$2:$F$2001,MATCH($C116,'Azure Resource Map'!$A$2:$A$2001,0)),"")</f>
        <v/>
      </c>
      <c r="S116" s="37"/>
      <c r="T116" s="39" t="str">
        <f aca="false">IF($C116="","",IF(ISNUMBER(MATCH($C116,'CA Exclusion Map'!$A$2:$A$2001,0)),"Yes","No"))</f>
        <v/>
      </c>
      <c r="U116" s="39" t="str">
        <f aca="false">IFERROR(INDEX('CA Exclusion Map'!$D$2:$D$2001,MATCH($C116,'CA Exclusion Map'!$A$2:$A$2001,0)),"")</f>
        <v/>
      </c>
      <c r="V116" s="40" t="str">
        <f aca="false">IFERROR(INDEX('CA Exclusion Map'!$E$2:$E$2001,MATCH($C116,'CA Exclusion Map'!$A$2:$A$2001,0)),"")</f>
        <v/>
      </c>
      <c r="W116" s="40" t="str">
        <f aca="false">IFERROR(INDEX('CA Exclusion Map'!$F$2:$F$2001,MATCH($C116,'CA Exclusion Map'!$A$2:$A$2001,0)),"")</f>
        <v/>
      </c>
      <c r="X116" s="36"/>
      <c r="Y116" s="37"/>
      <c r="Z116" s="38"/>
      <c r="AA116" s="38"/>
      <c r="AB116" s="39" t="str">
        <f aca="true">IF(T116="","",IF(T116&lt;&gt;"Yes","N/A",IF(AA116="","NO EXPIRY SET",IF(TODAY()&gt;AA116,"EXPIRED",IF(AA116-TODAY()&lt;=30,"Expiring Soon","Active")))))</f>
        <v/>
      </c>
      <c r="AC116" s="36"/>
      <c r="AD116" s="36"/>
      <c r="AE116" s="37"/>
      <c r="AF116" s="36"/>
      <c r="AG116" s="37"/>
      <c r="AH116" s="37"/>
      <c r="AI116" s="37"/>
      <c r="AJ116" s="37"/>
      <c r="AK116" s="38"/>
      <c r="AL116" s="37"/>
      <c r="AM116" s="37"/>
      <c r="AN116" s="41" t="str">
        <f aca="false">IF(AK116="","",AK116+90)</f>
        <v/>
      </c>
      <c r="AO116" s="39" t="str">
        <f aca="true">IF(C116="","",IF(AK116="","NOT REVIEWED",IF(TODAY()&gt;AN116,"OVERDUE",IF(AN116-TODAY()&lt;=14,"Due Soon","Current"))))</f>
        <v/>
      </c>
      <c r="AP116" s="36"/>
    </row>
    <row r="117" customFormat="false" ht="15" hidden="false" customHeight="false" outlineLevel="0" collapsed="false">
      <c r="A117" s="36"/>
      <c r="B117" s="36"/>
      <c r="C117" s="36"/>
      <c r="D117" s="37"/>
      <c r="E117" s="38"/>
      <c r="F117" s="38"/>
      <c r="G117" s="36"/>
      <c r="H117" s="37"/>
      <c r="I117" s="39" t="str">
        <f aca="true">IF(F117="","",TODAY()-F117)</f>
        <v/>
      </c>
      <c r="J117" s="40" t="str">
        <f aca="false">IFERROR(INDEX('Azure Resource Map'!$H$2:$H$2001,MATCH($C117,'Azure Resource Map'!$A$2:$A$2001,0)),"")</f>
        <v/>
      </c>
      <c r="K117" s="40" t="str">
        <f aca="false">IFERROR(INDEX('Azure Resource Map'!$I$2:$I$2001,MATCH($C117,'Azure Resource Map'!$A$2:$A$2001,0)),"")</f>
        <v/>
      </c>
      <c r="L117" s="39" t="str">
        <f aca="false">IFERROR(INDEX('Azure Resource Map'!$J$2:$J$2001,MATCH($C117,'Azure Resource Map'!$A$2:$A$2001,0)),"")</f>
        <v/>
      </c>
      <c r="M117" s="40" t="str">
        <f aca="false">IFERROR(INDEX('Azure Resource Map'!$K$2:$K$2001,MATCH($C117,'Azure Resource Map'!$A$2:$A$2001,0)),"")</f>
        <v/>
      </c>
      <c r="N117" s="39" t="str">
        <f aca="false">IFERROR(INDEX('Azure Resource Map'!$L$2:$L$2001,MATCH($C117,'Azure Resource Map'!$A$2:$A$2001,0)),"")</f>
        <v/>
      </c>
      <c r="O117" s="39" t="str">
        <f aca="false">IFERROR(INDEX('Azure Resource Map'!$M$2:$M$2001,MATCH($C117,'Azure Resource Map'!$A$2:$A$2001,0)),"")</f>
        <v/>
      </c>
      <c r="P117" s="40" t="str">
        <f aca="false">IFERROR(INDEX('Azure Resource Map'!$D$2:$D$2001,MATCH($C117,'Azure Resource Map'!$A$2:$A$2001,0)),"")</f>
        <v/>
      </c>
      <c r="Q117" s="39" t="str">
        <f aca="false">IFERROR(INDEX('Azure Resource Map'!$E$2:$E$2001,MATCH($C117,'Azure Resource Map'!$A$2:$A$2001,0)),"")</f>
        <v/>
      </c>
      <c r="R117" s="39" t="str">
        <f aca="false">IFERROR(INDEX('Azure Resource Map'!$F$2:$F$2001,MATCH($C117,'Azure Resource Map'!$A$2:$A$2001,0)),"")</f>
        <v/>
      </c>
      <c r="S117" s="37"/>
      <c r="T117" s="39" t="str">
        <f aca="false">IF($C117="","",IF(ISNUMBER(MATCH($C117,'CA Exclusion Map'!$A$2:$A$2001,0)),"Yes","No"))</f>
        <v/>
      </c>
      <c r="U117" s="39" t="str">
        <f aca="false">IFERROR(INDEX('CA Exclusion Map'!$D$2:$D$2001,MATCH($C117,'CA Exclusion Map'!$A$2:$A$2001,0)),"")</f>
        <v/>
      </c>
      <c r="V117" s="40" t="str">
        <f aca="false">IFERROR(INDEX('CA Exclusion Map'!$E$2:$E$2001,MATCH($C117,'CA Exclusion Map'!$A$2:$A$2001,0)),"")</f>
        <v/>
      </c>
      <c r="W117" s="40" t="str">
        <f aca="false">IFERROR(INDEX('CA Exclusion Map'!$F$2:$F$2001,MATCH($C117,'CA Exclusion Map'!$A$2:$A$2001,0)),"")</f>
        <v/>
      </c>
      <c r="X117" s="36"/>
      <c r="Y117" s="37"/>
      <c r="Z117" s="38"/>
      <c r="AA117" s="38"/>
      <c r="AB117" s="39" t="str">
        <f aca="true">IF(T117="","",IF(T117&lt;&gt;"Yes","N/A",IF(AA117="","NO EXPIRY SET",IF(TODAY()&gt;AA117,"EXPIRED",IF(AA117-TODAY()&lt;=30,"Expiring Soon","Active")))))</f>
        <v/>
      </c>
      <c r="AC117" s="36"/>
      <c r="AD117" s="36"/>
      <c r="AE117" s="37"/>
      <c r="AF117" s="36"/>
      <c r="AG117" s="37"/>
      <c r="AH117" s="37"/>
      <c r="AI117" s="37"/>
      <c r="AJ117" s="37"/>
      <c r="AK117" s="38"/>
      <c r="AL117" s="37"/>
      <c r="AM117" s="37"/>
      <c r="AN117" s="41" t="str">
        <f aca="false">IF(AK117="","",AK117+90)</f>
        <v/>
      </c>
      <c r="AO117" s="39" t="str">
        <f aca="true">IF(C117="","",IF(AK117="","NOT REVIEWED",IF(TODAY()&gt;AN117,"OVERDUE",IF(AN117-TODAY()&lt;=14,"Due Soon","Current"))))</f>
        <v/>
      </c>
      <c r="AP117" s="36"/>
    </row>
    <row r="118" customFormat="false" ht="15" hidden="false" customHeight="false" outlineLevel="0" collapsed="false">
      <c r="A118" s="36"/>
      <c r="B118" s="36"/>
      <c r="C118" s="36"/>
      <c r="D118" s="37"/>
      <c r="E118" s="38"/>
      <c r="F118" s="38"/>
      <c r="G118" s="36"/>
      <c r="H118" s="37"/>
      <c r="I118" s="39" t="str">
        <f aca="true">IF(F118="","",TODAY()-F118)</f>
        <v/>
      </c>
      <c r="J118" s="40" t="str">
        <f aca="false">IFERROR(INDEX('Azure Resource Map'!$H$2:$H$2001,MATCH($C118,'Azure Resource Map'!$A$2:$A$2001,0)),"")</f>
        <v/>
      </c>
      <c r="K118" s="40" t="str">
        <f aca="false">IFERROR(INDEX('Azure Resource Map'!$I$2:$I$2001,MATCH($C118,'Azure Resource Map'!$A$2:$A$2001,0)),"")</f>
        <v/>
      </c>
      <c r="L118" s="39" t="str">
        <f aca="false">IFERROR(INDEX('Azure Resource Map'!$J$2:$J$2001,MATCH($C118,'Azure Resource Map'!$A$2:$A$2001,0)),"")</f>
        <v/>
      </c>
      <c r="M118" s="40" t="str">
        <f aca="false">IFERROR(INDEX('Azure Resource Map'!$K$2:$K$2001,MATCH($C118,'Azure Resource Map'!$A$2:$A$2001,0)),"")</f>
        <v/>
      </c>
      <c r="N118" s="39" t="str">
        <f aca="false">IFERROR(INDEX('Azure Resource Map'!$L$2:$L$2001,MATCH($C118,'Azure Resource Map'!$A$2:$A$2001,0)),"")</f>
        <v/>
      </c>
      <c r="O118" s="39" t="str">
        <f aca="false">IFERROR(INDEX('Azure Resource Map'!$M$2:$M$2001,MATCH($C118,'Azure Resource Map'!$A$2:$A$2001,0)),"")</f>
        <v/>
      </c>
      <c r="P118" s="40" t="str">
        <f aca="false">IFERROR(INDEX('Azure Resource Map'!$D$2:$D$2001,MATCH($C118,'Azure Resource Map'!$A$2:$A$2001,0)),"")</f>
        <v/>
      </c>
      <c r="Q118" s="39" t="str">
        <f aca="false">IFERROR(INDEX('Azure Resource Map'!$E$2:$E$2001,MATCH($C118,'Azure Resource Map'!$A$2:$A$2001,0)),"")</f>
        <v/>
      </c>
      <c r="R118" s="39" t="str">
        <f aca="false">IFERROR(INDEX('Azure Resource Map'!$F$2:$F$2001,MATCH($C118,'Azure Resource Map'!$A$2:$A$2001,0)),"")</f>
        <v/>
      </c>
      <c r="S118" s="37"/>
      <c r="T118" s="39" t="str">
        <f aca="false">IF($C118="","",IF(ISNUMBER(MATCH($C118,'CA Exclusion Map'!$A$2:$A$2001,0)),"Yes","No"))</f>
        <v/>
      </c>
      <c r="U118" s="39" t="str">
        <f aca="false">IFERROR(INDEX('CA Exclusion Map'!$D$2:$D$2001,MATCH($C118,'CA Exclusion Map'!$A$2:$A$2001,0)),"")</f>
        <v/>
      </c>
      <c r="V118" s="40" t="str">
        <f aca="false">IFERROR(INDEX('CA Exclusion Map'!$E$2:$E$2001,MATCH($C118,'CA Exclusion Map'!$A$2:$A$2001,0)),"")</f>
        <v/>
      </c>
      <c r="W118" s="40" t="str">
        <f aca="false">IFERROR(INDEX('CA Exclusion Map'!$F$2:$F$2001,MATCH($C118,'CA Exclusion Map'!$A$2:$A$2001,0)),"")</f>
        <v/>
      </c>
      <c r="X118" s="36"/>
      <c r="Y118" s="37"/>
      <c r="Z118" s="38"/>
      <c r="AA118" s="38"/>
      <c r="AB118" s="39" t="str">
        <f aca="true">IF(T118="","",IF(T118&lt;&gt;"Yes","N/A",IF(AA118="","NO EXPIRY SET",IF(TODAY()&gt;AA118,"EXPIRED",IF(AA118-TODAY()&lt;=30,"Expiring Soon","Active")))))</f>
        <v/>
      </c>
      <c r="AC118" s="36"/>
      <c r="AD118" s="36"/>
      <c r="AE118" s="37"/>
      <c r="AF118" s="36"/>
      <c r="AG118" s="37"/>
      <c r="AH118" s="37"/>
      <c r="AI118" s="37"/>
      <c r="AJ118" s="37"/>
      <c r="AK118" s="38"/>
      <c r="AL118" s="37"/>
      <c r="AM118" s="37"/>
      <c r="AN118" s="41" t="str">
        <f aca="false">IF(AK118="","",AK118+90)</f>
        <v/>
      </c>
      <c r="AO118" s="39" t="str">
        <f aca="true">IF(C118="","",IF(AK118="","NOT REVIEWED",IF(TODAY()&gt;AN118,"OVERDUE",IF(AN118-TODAY()&lt;=14,"Due Soon","Current"))))</f>
        <v/>
      </c>
      <c r="AP118" s="36"/>
    </row>
    <row r="119" customFormat="false" ht="15" hidden="false" customHeight="false" outlineLevel="0" collapsed="false">
      <c r="A119" s="36"/>
      <c r="B119" s="36"/>
      <c r="C119" s="36"/>
      <c r="D119" s="37"/>
      <c r="E119" s="38"/>
      <c r="F119" s="38"/>
      <c r="G119" s="36"/>
      <c r="H119" s="37"/>
      <c r="I119" s="39" t="str">
        <f aca="true">IF(F119="","",TODAY()-F119)</f>
        <v/>
      </c>
      <c r="J119" s="40" t="str">
        <f aca="false">IFERROR(INDEX('Azure Resource Map'!$H$2:$H$2001,MATCH($C119,'Azure Resource Map'!$A$2:$A$2001,0)),"")</f>
        <v/>
      </c>
      <c r="K119" s="40" t="str">
        <f aca="false">IFERROR(INDEX('Azure Resource Map'!$I$2:$I$2001,MATCH($C119,'Azure Resource Map'!$A$2:$A$2001,0)),"")</f>
        <v/>
      </c>
      <c r="L119" s="39" t="str">
        <f aca="false">IFERROR(INDEX('Azure Resource Map'!$J$2:$J$2001,MATCH($C119,'Azure Resource Map'!$A$2:$A$2001,0)),"")</f>
        <v/>
      </c>
      <c r="M119" s="40" t="str">
        <f aca="false">IFERROR(INDEX('Azure Resource Map'!$K$2:$K$2001,MATCH($C119,'Azure Resource Map'!$A$2:$A$2001,0)),"")</f>
        <v/>
      </c>
      <c r="N119" s="39" t="str">
        <f aca="false">IFERROR(INDEX('Azure Resource Map'!$L$2:$L$2001,MATCH($C119,'Azure Resource Map'!$A$2:$A$2001,0)),"")</f>
        <v/>
      </c>
      <c r="O119" s="39" t="str">
        <f aca="false">IFERROR(INDEX('Azure Resource Map'!$M$2:$M$2001,MATCH($C119,'Azure Resource Map'!$A$2:$A$2001,0)),"")</f>
        <v/>
      </c>
      <c r="P119" s="40" t="str">
        <f aca="false">IFERROR(INDEX('Azure Resource Map'!$D$2:$D$2001,MATCH($C119,'Azure Resource Map'!$A$2:$A$2001,0)),"")</f>
        <v/>
      </c>
      <c r="Q119" s="39" t="str">
        <f aca="false">IFERROR(INDEX('Azure Resource Map'!$E$2:$E$2001,MATCH($C119,'Azure Resource Map'!$A$2:$A$2001,0)),"")</f>
        <v/>
      </c>
      <c r="R119" s="39" t="str">
        <f aca="false">IFERROR(INDEX('Azure Resource Map'!$F$2:$F$2001,MATCH($C119,'Azure Resource Map'!$A$2:$A$2001,0)),"")</f>
        <v/>
      </c>
      <c r="S119" s="37"/>
      <c r="T119" s="39" t="str">
        <f aca="false">IF($C119="","",IF(ISNUMBER(MATCH($C119,'CA Exclusion Map'!$A$2:$A$2001,0)),"Yes","No"))</f>
        <v/>
      </c>
      <c r="U119" s="39" t="str">
        <f aca="false">IFERROR(INDEX('CA Exclusion Map'!$D$2:$D$2001,MATCH($C119,'CA Exclusion Map'!$A$2:$A$2001,0)),"")</f>
        <v/>
      </c>
      <c r="V119" s="40" t="str">
        <f aca="false">IFERROR(INDEX('CA Exclusion Map'!$E$2:$E$2001,MATCH($C119,'CA Exclusion Map'!$A$2:$A$2001,0)),"")</f>
        <v/>
      </c>
      <c r="W119" s="40" t="str">
        <f aca="false">IFERROR(INDEX('CA Exclusion Map'!$F$2:$F$2001,MATCH($C119,'CA Exclusion Map'!$A$2:$A$2001,0)),"")</f>
        <v/>
      </c>
      <c r="X119" s="36"/>
      <c r="Y119" s="37"/>
      <c r="Z119" s="38"/>
      <c r="AA119" s="38"/>
      <c r="AB119" s="39" t="str">
        <f aca="true">IF(T119="","",IF(T119&lt;&gt;"Yes","N/A",IF(AA119="","NO EXPIRY SET",IF(TODAY()&gt;AA119,"EXPIRED",IF(AA119-TODAY()&lt;=30,"Expiring Soon","Active")))))</f>
        <v/>
      </c>
      <c r="AC119" s="36"/>
      <c r="AD119" s="36"/>
      <c r="AE119" s="37"/>
      <c r="AF119" s="36"/>
      <c r="AG119" s="37"/>
      <c r="AH119" s="37"/>
      <c r="AI119" s="37"/>
      <c r="AJ119" s="37"/>
      <c r="AK119" s="38"/>
      <c r="AL119" s="37"/>
      <c r="AM119" s="37"/>
      <c r="AN119" s="41" t="str">
        <f aca="false">IF(AK119="","",AK119+90)</f>
        <v/>
      </c>
      <c r="AO119" s="39" t="str">
        <f aca="true">IF(C119="","",IF(AK119="","NOT REVIEWED",IF(TODAY()&gt;AN119,"OVERDUE",IF(AN119-TODAY()&lt;=14,"Due Soon","Current"))))</f>
        <v/>
      </c>
      <c r="AP119" s="36"/>
    </row>
    <row r="120" customFormat="false" ht="15" hidden="false" customHeight="false" outlineLevel="0" collapsed="false">
      <c r="A120" s="36"/>
      <c r="B120" s="36"/>
      <c r="C120" s="36"/>
      <c r="D120" s="37"/>
      <c r="E120" s="38"/>
      <c r="F120" s="38"/>
      <c r="G120" s="36"/>
      <c r="H120" s="37"/>
      <c r="I120" s="39" t="str">
        <f aca="true">IF(F120="","",TODAY()-F120)</f>
        <v/>
      </c>
      <c r="J120" s="40" t="str">
        <f aca="false">IFERROR(INDEX('Azure Resource Map'!$H$2:$H$2001,MATCH($C120,'Azure Resource Map'!$A$2:$A$2001,0)),"")</f>
        <v/>
      </c>
      <c r="K120" s="40" t="str">
        <f aca="false">IFERROR(INDEX('Azure Resource Map'!$I$2:$I$2001,MATCH($C120,'Azure Resource Map'!$A$2:$A$2001,0)),"")</f>
        <v/>
      </c>
      <c r="L120" s="39" t="str">
        <f aca="false">IFERROR(INDEX('Azure Resource Map'!$J$2:$J$2001,MATCH($C120,'Azure Resource Map'!$A$2:$A$2001,0)),"")</f>
        <v/>
      </c>
      <c r="M120" s="40" t="str">
        <f aca="false">IFERROR(INDEX('Azure Resource Map'!$K$2:$K$2001,MATCH($C120,'Azure Resource Map'!$A$2:$A$2001,0)),"")</f>
        <v/>
      </c>
      <c r="N120" s="39" t="str">
        <f aca="false">IFERROR(INDEX('Azure Resource Map'!$L$2:$L$2001,MATCH($C120,'Azure Resource Map'!$A$2:$A$2001,0)),"")</f>
        <v/>
      </c>
      <c r="O120" s="39" t="str">
        <f aca="false">IFERROR(INDEX('Azure Resource Map'!$M$2:$M$2001,MATCH($C120,'Azure Resource Map'!$A$2:$A$2001,0)),"")</f>
        <v/>
      </c>
      <c r="P120" s="40" t="str">
        <f aca="false">IFERROR(INDEX('Azure Resource Map'!$D$2:$D$2001,MATCH($C120,'Azure Resource Map'!$A$2:$A$2001,0)),"")</f>
        <v/>
      </c>
      <c r="Q120" s="39" t="str">
        <f aca="false">IFERROR(INDEX('Azure Resource Map'!$E$2:$E$2001,MATCH($C120,'Azure Resource Map'!$A$2:$A$2001,0)),"")</f>
        <v/>
      </c>
      <c r="R120" s="39" t="str">
        <f aca="false">IFERROR(INDEX('Azure Resource Map'!$F$2:$F$2001,MATCH($C120,'Azure Resource Map'!$A$2:$A$2001,0)),"")</f>
        <v/>
      </c>
      <c r="S120" s="37"/>
      <c r="T120" s="39" t="str">
        <f aca="false">IF($C120="","",IF(ISNUMBER(MATCH($C120,'CA Exclusion Map'!$A$2:$A$2001,0)),"Yes","No"))</f>
        <v/>
      </c>
      <c r="U120" s="39" t="str">
        <f aca="false">IFERROR(INDEX('CA Exclusion Map'!$D$2:$D$2001,MATCH($C120,'CA Exclusion Map'!$A$2:$A$2001,0)),"")</f>
        <v/>
      </c>
      <c r="V120" s="40" t="str">
        <f aca="false">IFERROR(INDEX('CA Exclusion Map'!$E$2:$E$2001,MATCH($C120,'CA Exclusion Map'!$A$2:$A$2001,0)),"")</f>
        <v/>
      </c>
      <c r="W120" s="40" t="str">
        <f aca="false">IFERROR(INDEX('CA Exclusion Map'!$F$2:$F$2001,MATCH($C120,'CA Exclusion Map'!$A$2:$A$2001,0)),"")</f>
        <v/>
      </c>
      <c r="X120" s="36"/>
      <c r="Y120" s="37"/>
      <c r="Z120" s="38"/>
      <c r="AA120" s="38"/>
      <c r="AB120" s="39" t="str">
        <f aca="true">IF(T120="","",IF(T120&lt;&gt;"Yes","N/A",IF(AA120="","NO EXPIRY SET",IF(TODAY()&gt;AA120,"EXPIRED",IF(AA120-TODAY()&lt;=30,"Expiring Soon","Active")))))</f>
        <v/>
      </c>
      <c r="AC120" s="36"/>
      <c r="AD120" s="36"/>
      <c r="AE120" s="37"/>
      <c r="AF120" s="36"/>
      <c r="AG120" s="37"/>
      <c r="AH120" s="37"/>
      <c r="AI120" s="37"/>
      <c r="AJ120" s="37"/>
      <c r="AK120" s="38"/>
      <c r="AL120" s="37"/>
      <c r="AM120" s="37"/>
      <c r="AN120" s="41" t="str">
        <f aca="false">IF(AK120="","",AK120+90)</f>
        <v/>
      </c>
      <c r="AO120" s="39" t="str">
        <f aca="true">IF(C120="","",IF(AK120="","NOT REVIEWED",IF(TODAY()&gt;AN120,"OVERDUE",IF(AN120-TODAY()&lt;=14,"Due Soon","Current"))))</f>
        <v/>
      </c>
      <c r="AP120" s="36"/>
    </row>
    <row r="121" customFormat="false" ht="15" hidden="false" customHeight="false" outlineLevel="0" collapsed="false">
      <c r="A121" s="36"/>
      <c r="B121" s="36"/>
      <c r="C121" s="36"/>
      <c r="D121" s="37"/>
      <c r="E121" s="38"/>
      <c r="F121" s="38"/>
      <c r="G121" s="36"/>
      <c r="H121" s="37"/>
      <c r="I121" s="39" t="str">
        <f aca="true">IF(F121="","",TODAY()-F121)</f>
        <v/>
      </c>
      <c r="J121" s="40" t="str">
        <f aca="false">IFERROR(INDEX('Azure Resource Map'!$H$2:$H$2001,MATCH($C121,'Azure Resource Map'!$A$2:$A$2001,0)),"")</f>
        <v/>
      </c>
      <c r="K121" s="40" t="str">
        <f aca="false">IFERROR(INDEX('Azure Resource Map'!$I$2:$I$2001,MATCH($C121,'Azure Resource Map'!$A$2:$A$2001,0)),"")</f>
        <v/>
      </c>
      <c r="L121" s="39" t="str">
        <f aca="false">IFERROR(INDEX('Azure Resource Map'!$J$2:$J$2001,MATCH($C121,'Azure Resource Map'!$A$2:$A$2001,0)),"")</f>
        <v/>
      </c>
      <c r="M121" s="40" t="str">
        <f aca="false">IFERROR(INDEX('Azure Resource Map'!$K$2:$K$2001,MATCH($C121,'Azure Resource Map'!$A$2:$A$2001,0)),"")</f>
        <v/>
      </c>
      <c r="N121" s="39" t="str">
        <f aca="false">IFERROR(INDEX('Azure Resource Map'!$L$2:$L$2001,MATCH($C121,'Azure Resource Map'!$A$2:$A$2001,0)),"")</f>
        <v/>
      </c>
      <c r="O121" s="39" t="str">
        <f aca="false">IFERROR(INDEX('Azure Resource Map'!$M$2:$M$2001,MATCH($C121,'Azure Resource Map'!$A$2:$A$2001,0)),"")</f>
        <v/>
      </c>
      <c r="P121" s="40" t="str">
        <f aca="false">IFERROR(INDEX('Azure Resource Map'!$D$2:$D$2001,MATCH($C121,'Azure Resource Map'!$A$2:$A$2001,0)),"")</f>
        <v/>
      </c>
      <c r="Q121" s="39" t="str">
        <f aca="false">IFERROR(INDEX('Azure Resource Map'!$E$2:$E$2001,MATCH($C121,'Azure Resource Map'!$A$2:$A$2001,0)),"")</f>
        <v/>
      </c>
      <c r="R121" s="39" t="str">
        <f aca="false">IFERROR(INDEX('Azure Resource Map'!$F$2:$F$2001,MATCH($C121,'Azure Resource Map'!$A$2:$A$2001,0)),"")</f>
        <v/>
      </c>
      <c r="S121" s="37"/>
      <c r="T121" s="39" t="str">
        <f aca="false">IF($C121="","",IF(ISNUMBER(MATCH($C121,'CA Exclusion Map'!$A$2:$A$2001,0)),"Yes","No"))</f>
        <v/>
      </c>
      <c r="U121" s="39" t="str">
        <f aca="false">IFERROR(INDEX('CA Exclusion Map'!$D$2:$D$2001,MATCH($C121,'CA Exclusion Map'!$A$2:$A$2001,0)),"")</f>
        <v/>
      </c>
      <c r="V121" s="40" t="str">
        <f aca="false">IFERROR(INDEX('CA Exclusion Map'!$E$2:$E$2001,MATCH($C121,'CA Exclusion Map'!$A$2:$A$2001,0)),"")</f>
        <v/>
      </c>
      <c r="W121" s="40" t="str">
        <f aca="false">IFERROR(INDEX('CA Exclusion Map'!$F$2:$F$2001,MATCH($C121,'CA Exclusion Map'!$A$2:$A$2001,0)),"")</f>
        <v/>
      </c>
      <c r="X121" s="36"/>
      <c r="Y121" s="37"/>
      <c r="Z121" s="38"/>
      <c r="AA121" s="38"/>
      <c r="AB121" s="39" t="str">
        <f aca="true">IF(T121="","",IF(T121&lt;&gt;"Yes","N/A",IF(AA121="","NO EXPIRY SET",IF(TODAY()&gt;AA121,"EXPIRED",IF(AA121-TODAY()&lt;=30,"Expiring Soon","Active")))))</f>
        <v/>
      </c>
      <c r="AC121" s="36"/>
      <c r="AD121" s="36"/>
      <c r="AE121" s="37"/>
      <c r="AF121" s="36"/>
      <c r="AG121" s="37"/>
      <c r="AH121" s="37"/>
      <c r="AI121" s="37"/>
      <c r="AJ121" s="37"/>
      <c r="AK121" s="38"/>
      <c r="AL121" s="37"/>
      <c r="AM121" s="37"/>
      <c r="AN121" s="41" t="str">
        <f aca="false">IF(AK121="","",AK121+90)</f>
        <v/>
      </c>
      <c r="AO121" s="39" t="str">
        <f aca="true">IF(C121="","",IF(AK121="","NOT REVIEWED",IF(TODAY()&gt;AN121,"OVERDUE",IF(AN121-TODAY()&lt;=14,"Due Soon","Current"))))</f>
        <v/>
      </c>
      <c r="AP121" s="36"/>
    </row>
    <row r="122" customFormat="false" ht="15" hidden="false" customHeight="false" outlineLevel="0" collapsed="false">
      <c r="A122" s="36"/>
      <c r="B122" s="36"/>
      <c r="C122" s="36"/>
      <c r="D122" s="37"/>
      <c r="E122" s="38"/>
      <c r="F122" s="38"/>
      <c r="G122" s="36"/>
      <c r="H122" s="37"/>
      <c r="I122" s="39" t="str">
        <f aca="true">IF(F122="","",TODAY()-F122)</f>
        <v/>
      </c>
      <c r="J122" s="40" t="str">
        <f aca="false">IFERROR(INDEX('Azure Resource Map'!$H$2:$H$2001,MATCH($C122,'Azure Resource Map'!$A$2:$A$2001,0)),"")</f>
        <v/>
      </c>
      <c r="K122" s="40" t="str">
        <f aca="false">IFERROR(INDEX('Azure Resource Map'!$I$2:$I$2001,MATCH($C122,'Azure Resource Map'!$A$2:$A$2001,0)),"")</f>
        <v/>
      </c>
      <c r="L122" s="39" t="str">
        <f aca="false">IFERROR(INDEX('Azure Resource Map'!$J$2:$J$2001,MATCH($C122,'Azure Resource Map'!$A$2:$A$2001,0)),"")</f>
        <v/>
      </c>
      <c r="M122" s="40" t="str">
        <f aca="false">IFERROR(INDEX('Azure Resource Map'!$K$2:$K$2001,MATCH($C122,'Azure Resource Map'!$A$2:$A$2001,0)),"")</f>
        <v/>
      </c>
      <c r="N122" s="39" t="str">
        <f aca="false">IFERROR(INDEX('Azure Resource Map'!$L$2:$L$2001,MATCH($C122,'Azure Resource Map'!$A$2:$A$2001,0)),"")</f>
        <v/>
      </c>
      <c r="O122" s="39" t="str">
        <f aca="false">IFERROR(INDEX('Azure Resource Map'!$M$2:$M$2001,MATCH($C122,'Azure Resource Map'!$A$2:$A$2001,0)),"")</f>
        <v/>
      </c>
      <c r="P122" s="40" t="str">
        <f aca="false">IFERROR(INDEX('Azure Resource Map'!$D$2:$D$2001,MATCH($C122,'Azure Resource Map'!$A$2:$A$2001,0)),"")</f>
        <v/>
      </c>
      <c r="Q122" s="39" t="str">
        <f aca="false">IFERROR(INDEX('Azure Resource Map'!$E$2:$E$2001,MATCH($C122,'Azure Resource Map'!$A$2:$A$2001,0)),"")</f>
        <v/>
      </c>
      <c r="R122" s="39" t="str">
        <f aca="false">IFERROR(INDEX('Azure Resource Map'!$F$2:$F$2001,MATCH($C122,'Azure Resource Map'!$A$2:$A$2001,0)),"")</f>
        <v/>
      </c>
      <c r="S122" s="37"/>
      <c r="T122" s="39" t="str">
        <f aca="false">IF($C122="","",IF(ISNUMBER(MATCH($C122,'CA Exclusion Map'!$A$2:$A$2001,0)),"Yes","No"))</f>
        <v/>
      </c>
      <c r="U122" s="39" t="str">
        <f aca="false">IFERROR(INDEX('CA Exclusion Map'!$D$2:$D$2001,MATCH($C122,'CA Exclusion Map'!$A$2:$A$2001,0)),"")</f>
        <v/>
      </c>
      <c r="V122" s="40" t="str">
        <f aca="false">IFERROR(INDEX('CA Exclusion Map'!$E$2:$E$2001,MATCH($C122,'CA Exclusion Map'!$A$2:$A$2001,0)),"")</f>
        <v/>
      </c>
      <c r="W122" s="40" t="str">
        <f aca="false">IFERROR(INDEX('CA Exclusion Map'!$F$2:$F$2001,MATCH($C122,'CA Exclusion Map'!$A$2:$A$2001,0)),"")</f>
        <v/>
      </c>
      <c r="X122" s="36"/>
      <c r="Y122" s="37"/>
      <c r="Z122" s="38"/>
      <c r="AA122" s="38"/>
      <c r="AB122" s="39" t="str">
        <f aca="true">IF(T122="","",IF(T122&lt;&gt;"Yes","N/A",IF(AA122="","NO EXPIRY SET",IF(TODAY()&gt;AA122,"EXPIRED",IF(AA122-TODAY()&lt;=30,"Expiring Soon","Active")))))</f>
        <v/>
      </c>
      <c r="AC122" s="36"/>
      <c r="AD122" s="36"/>
      <c r="AE122" s="37"/>
      <c r="AF122" s="36"/>
      <c r="AG122" s="37"/>
      <c r="AH122" s="37"/>
      <c r="AI122" s="37"/>
      <c r="AJ122" s="37"/>
      <c r="AK122" s="38"/>
      <c r="AL122" s="37"/>
      <c r="AM122" s="37"/>
      <c r="AN122" s="41" t="str">
        <f aca="false">IF(AK122="","",AK122+90)</f>
        <v/>
      </c>
      <c r="AO122" s="39" t="str">
        <f aca="true">IF(C122="","",IF(AK122="","NOT REVIEWED",IF(TODAY()&gt;AN122,"OVERDUE",IF(AN122-TODAY()&lt;=14,"Due Soon","Current"))))</f>
        <v/>
      </c>
      <c r="AP122" s="36"/>
    </row>
    <row r="123" customFormat="false" ht="15" hidden="false" customHeight="false" outlineLevel="0" collapsed="false">
      <c r="A123" s="36"/>
      <c r="B123" s="36"/>
      <c r="C123" s="36"/>
      <c r="D123" s="37"/>
      <c r="E123" s="38"/>
      <c r="F123" s="38"/>
      <c r="G123" s="36"/>
      <c r="H123" s="37"/>
      <c r="I123" s="39" t="str">
        <f aca="true">IF(F123="","",TODAY()-F123)</f>
        <v/>
      </c>
      <c r="J123" s="40" t="str">
        <f aca="false">IFERROR(INDEX('Azure Resource Map'!$H$2:$H$2001,MATCH($C123,'Azure Resource Map'!$A$2:$A$2001,0)),"")</f>
        <v/>
      </c>
      <c r="K123" s="40" t="str">
        <f aca="false">IFERROR(INDEX('Azure Resource Map'!$I$2:$I$2001,MATCH($C123,'Azure Resource Map'!$A$2:$A$2001,0)),"")</f>
        <v/>
      </c>
      <c r="L123" s="39" t="str">
        <f aca="false">IFERROR(INDEX('Azure Resource Map'!$J$2:$J$2001,MATCH($C123,'Azure Resource Map'!$A$2:$A$2001,0)),"")</f>
        <v/>
      </c>
      <c r="M123" s="40" t="str">
        <f aca="false">IFERROR(INDEX('Azure Resource Map'!$K$2:$K$2001,MATCH($C123,'Azure Resource Map'!$A$2:$A$2001,0)),"")</f>
        <v/>
      </c>
      <c r="N123" s="39" t="str">
        <f aca="false">IFERROR(INDEX('Azure Resource Map'!$L$2:$L$2001,MATCH($C123,'Azure Resource Map'!$A$2:$A$2001,0)),"")</f>
        <v/>
      </c>
      <c r="O123" s="39" t="str">
        <f aca="false">IFERROR(INDEX('Azure Resource Map'!$M$2:$M$2001,MATCH($C123,'Azure Resource Map'!$A$2:$A$2001,0)),"")</f>
        <v/>
      </c>
      <c r="P123" s="40" t="str">
        <f aca="false">IFERROR(INDEX('Azure Resource Map'!$D$2:$D$2001,MATCH($C123,'Azure Resource Map'!$A$2:$A$2001,0)),"")</f>
        <v/>
      </c>
      <c r="Q123" s="39" t="str">
        <f aca="false">IFERROR(INDEX('Azure Resource Map'!$E$2:$E$2001,MATCH($C123,'Azure Resource Map'!$A$2:$A$2001,0)),"")</f>
        <v/>
      </c>
      <c r="R123" s="39" t="str">
        <f aca="false">IFERROR(INDEX('Azure Resource Map'!$F$2:$F$2001,MATCH($C123,'Azure Resource Map'!$A$2:$A$2001,0)),"")</f>
        <v/>
      </c>
      <c r="S123" s="37"/>
      <c r="T123" s="39" t="str">
        <f aca="false">IF($C123="","",IF(ISNUMBER(MATCH($C123,'CA Exclusion Map'!$A$2:$A$2001,0)),"Yes","No"))</f>
        <v/>
      </c>
      <c r="U123" s="39" t="str">
        <f aca="false">IFERROR(INDEX('CA Exclusion Map'!$D$2:$D$2001,MATCH($C123,'CA Exclusion Map'!$A$2:$A$2001,0)),"")</f>
        <v/>
      </c>
      <c r="V123" s="40" t="str">
        <f aca="false">IFERROR(INDEX('CA Exclusion Map'!$E$2:$E$2001,MATCH($C123,'CA Exclusion Map'!$A$2:$A$2001,0)),"")</f>
        <v/>
      </c>
      <c r="W123" s="40" t="str">
        <f aca="false">IFERROR(INDEX('CA Exclusion Map'!$F$2:$F$2001,MATCH($C123,'CA Exclusion Map'!$A$2:$A$2001,0)),"")</f>
        <v/>
      </c>
      <c r="X123" s="36"/>
      <c r="Y123" s="37"/>
      <c r="Z123" s="38"/>
      <c r="AA123" s="38"/>
      <c r="AB123" s="39" t="str">
        <f aca="true">IF(T123="","",IF(T123&lt;&gt;"Yes","N/A",IF(AA123="","NO EXPIRY SET",IF(TODAY()&gt;AA123,"EXPIRED",IF(AA123-TODAY()&lt;=30,"Expiring Soon","Active")))))</f>
        <v/>
      </c>
      <c r="AC123" s="36"/>
      <c r="AD123" s="36"/>
      <c r="AE123" s="37"/>
      <c r="AF123" s="36"/>
      <c r="AG123" s="37"/>
      <c r="AH123" s="37"/>
      <c r="AI123" s="37"/>
      <c r="AJ123" s="37"/>
      <c r="AK123" s="38"/>
      <c r="AL123" s="37"/>
      <c r="AM123" s="37"/>
      <c r="AN123" s="41" t="str">
        <f aca="false">IF(AK123="","",AK123+90)</f>
        <v/>
      </c>
      <c r="AO123" s="39" t="str">
        <f aca="true">IF(C123="","",IF(AK123="","NOT REVIEWED",IF(TODAY()&gt;AN123,"OVERDUE",IF(AN123-TODAY()&lt;=14,"Due Soon","Current"))))</f>
        <v/>
      </c>
      <c r="AP123" s="36"/>
    </row>
    <row r="124" customFormat="false" ht="15" hidden="false" customHeight="false" outlineLevel="0" collapsed="false">
      <c r="A124" s="36"/>
      <c r="B124" s="36"/>
      <c r="C124" s="36"/>
      <c r="D124" s="37"/>
      <c r="E124" s="38"/>
      <c r="F124" s="38"/>
      <c r="G124" s="36"/>
      <c r="H124" s="37"/>
      <c r="I124" s="39" t="str">
        <f aca="true">IF(F124="","",TODAY()-F124)</f>
        <v/>
      </c>
      <c r="J124" s="40" t="str">
        <f aca="false">IFERROR(INDEX('Azure Resource Map'!$H$2:$H$2001,MATCH($C124,'Azure Resource Map'!$A$2:$A$2001,0)),"")</f>
        <v/>
      </c>
      <c r="K124" s="40" t="str">
        <f aca="false">IFERROR(INDEX('Azure Resource Map'!$I$2:$I$2001,MATCH($C124,'Azure Resource Map'!$A$2:$A$2001,0)),"")</f>
        <v/>
      </c>
      <c r="L124" s="39" t="str">
        <f aca="false">IFERROR(INDEX('Azure Resource Map'!$J$2:$J$2001,MATCH($C124,'Azure Resource Map'!$A$2:$A$2001,0)),"")</f>
        <v/>
      </c>
      <c r="M124" s="40" t="str">
        <f aca="false">IFERROR(INDEX('Azure Resource Map'!$K$2:$K$2001,MATCH($C124,'Azure Resource Map'!$A$2:$A$2001,0)),"")</f>
        <v/>
      </c>
      <c r="N124" s="39" t="str">
        <f aca="false">IFERROR(INDEX('Azure Resource Map'!$L$2:$L$2001,MATCH($C124,'Azure Resource Map'!$A$2:$A$2001,0)),"")</f>
        <v/>
      </c>
      <c r="O124" s="39" t="str">
        <f aca="false">IFERROR(INDEX('Azure Resource Map'!$M$2:$M$2001,MATCH($C124,'Azure Resource Map'!$A$2:$A$2001,0)),"")</f>
        <v/>
      </c>
      <c r="P124" s="40" t="str">
        <f aca="false">IFERROR(INDEX('Azure Resource Map'!$D$2:$D$2001,MATCH($C124,'Azure Resource Map'!$A$2:$A$2001,0)),"")</f>
        <v/>
      </c>
      <c r="Q124" s="39" t="str">
        <f aca="false">IFERROR(INDEX('Azure Resource Map'!$E$2:$E$2001,MATCH($C124,'Azure Resource Map'!$A$2:$A$2001,0)),"")</f>
        <v/>
      </c>
      <c r="R124" s="39" t="str">
        <f aca="false">IFERROR(INDEX('Azure Resource Map'!$F$2:$F$2001,MATCH($C124,'Azure Resource Map'!$A$2:$A$2001,0)),"")</f>
        <v/>
      </c>
      <c r="S124" s="37"/>
      <c r="T124" s="39" t="str">
        <f aca="false">IF($C124="","",IF(ISNUMBER(MATCH($C124,'CA Exclusion Map'!$A$2:$A$2001,0)),"Yes","No"))</f>
        <v/>
      </c>
      <c r="U124" s="39" t="str">
        <f aca="false">IFERROR(INDEX('CA Exclusion Map'!$D$2:$D$2001,MATCH($C124,'CA Exclusion Map'!$A$2:$A$2001,0)),"")</f>
        <v/>
      </c>
      <c r="V124" s="40" t="str">
        <f aca="false">IFERROR(INDEX('CA Exclusion Map'!$E$2:$E$2001,MATCH($C124,'CA Exclusion Map'!$A$2:$A$2001,0)),"")</f>
        <v/>
      </c>
      <c r="W124" s="40" t="str">
        <f aca="false">IFERROR(INDEX('CA Exclusion Map'!$F$2:$F$2001,MATCH($C124,'CA Exclusion Map'!$A$2:$A$2001,0)),"")</f>
        <v/>
      </c>
      <c r="X124" s="36"/>
      <c r="Y124" s="37"/>
      <c r="Z124" s="38"/>
      <c r="AA124" s="38"/>
      <c r="AB124" s="39" t="str">
        <f aca="true">IF(T124="","",IF(T124&lt;&gt;"Yes","N/A",IF(AA124="","NO EXPIRY SET",IF(TODAY()&gt;AA124,"EXPIRED",IF(AA124-TODAY()&lt;=30,"Expiring Soon","Active")))))</f>
        <v/>
      </c>
      <c r="AC124" s="36"/>
      <c r="AD124" s="36"/>
      <c r="AE124" s="37"/>
      <c r="AF124" s="36"/>
      <c r="AG124" s="37"/>
      <c r="AH124" s="37"/>
      <c r="AI124" s="37"/>
      <c r="AJ124" s="37"/>
      <c r="AK124" s="38"/>
      <c r="AL124" s="37"/>
      <c r="AM124" s="37"/>
      <c r="AN124" s="41" t="str">
        <f aca="false">IF(AK124="","",AK124+90)</f>
        <v/>
      </c>
      <c r="AO124" s="39" t="str">
        <f aca="true">IF(C124="","",IF(AK124="","NOT REVIEWED",IF(TODAY()&gt;AN124,"OVERDUE",IF(AN124-TODAY()&lt;=14,"Due Soon","Current"))))</f>
        <v/>
      </c>
      <c r="AP124" s="36"/>
    </row>
    <row r="125" customFormat="false" ht="15" hidden="false" customHeight="false" outlineLevel="0" collapsed="false">
      <c r="A125" s="36"/>
      <c r="B125" s="36"/>
      <c r="C125" s="36"/>
      <c r="D125" s="37"/>
      <c r="E125" s="38"/>
      <c r="F125" s="38"/>
      <c r="G125" s="36"/>
      <c r="H125" s="37"/>
      <c r="I125" s="39" t="str">
        <f aca="true">IF(F125="","",TODAY()-F125)</f>
        <v/>
      </c>
      <c r="J125" s="40" t="str">
        <f aca="false">IFERROR(INDEX('Azure Resource Map'!$H$2:$H$2001,MATCH($C125,'Azure Resource Map'!$A$2:$A$2001,0)),"")</f>
        <v/>
      </c>
      <c r="K125" s="40" t="str">
        <f aca="false">IFERROR(INDEX('Azure Resource Map'!$I$2:$I$2001,MATCH($C125,'Azure Resource Map'!$A$2:$A$2001,0)),"")</f>
        <v/>
      </c>
      <c r="L125" s="39" t="str">
        <f aca="false">IFERROR(INDEX('Azure Resource Map'!$J$2:$J$2001,MATCH($C125,'Azure Resource Map'!$A$2:$A$2001,0)),"")</f>
        <v/>
      </c>
      <c r="M125" s="40" t="str">
        <f aca="false">IFERROR(INDEX('Azure Resource Map'!$K$2:$K$2001,MATCH($C125,'Azure Resource Map'!$A$2:$A$2001,0)),"")</f>
        <v/>
      </c>
      <c r="N125" s="39" t="str">
        <f aca="false">IFERROR(INDEX('Azure Resource Map'!$L$2:$L$2001,MATCH($C125,'Azure Resource Map'!$A$2:$A$2001,0)),"")</f>
        <v/>
      </c>
      <c r="O125" s="39" t="str">
        <f aca="false">IFERROR(INDEX('Azure Resource Map'!$M$2:$M$2001,MATCH($C125,'Azure Resource Map'!$A$2:$A$2001,0)),"")</f>
        <v/>
      </c>
      <c r="P125" s="40" t="str">
        <f aca="false">IFERROR(INDEX('Azure Resource Map'!$D$2:$D$2001,MATCH($C125,'Azure Resource Map'!$A$2:$A$2001,0)),"")</f>
        <v/>
      </c>
      <c r="Q125" s="39" t="str">
        <f aca="false">IFERROR(INDEX('Azure Resource Map'!$E$2:$E$2001,MATCH($C125,'Azure Resource Map'!$A$2:$A$2001,0)),"")</f>
        <v/>
      </c>
      <c r="R125" s="39" t="str">
        <f aca="false">IFERROR(INDEX('Azure Resource Map'!$F$2:$F$2001,MATCH($C125,'Azure Resource Map'!$A$2:$A$2001,0)),"")</f>
        <v/>
      </c>
      <c r="S125" s="37"/>
      <c r="T125" s="39" t="str">
        <f aca="false">IF($C125="","",IF(ISNUMBER(MATCH($C125,'CA Exclusion Map'!$A$2:$A$2001,0)),"Yes","No"))</f>
        <v/>
      </c>
      <c r="U125" s="39" t="str">
        <f aca="false">IFERROR(INDEX('CA Exclusion Map'!$D$2:$D$2001,MATCH($C125,'CA Exclusion Map'!$A$2:$A$2001,0)),"")</f>
        <v/>
      </c>
      <c r="V125" s="40" t="str">
        <f aca="false">IFERROR(INDEX('CA Exclusion Map'!$E$2:$E$2001,MATCH($C125,'CA Exclusion Map'!$A$2:$A$2001,0)),"")</f>
        <v/>
      </c>
      <c r="W125" s="40" t="str">
        <f aca="false">IFERROR(INDEX('CA Exclusion Map'!$F$2:$F$2001,MATCH($C125,'CA Exclusion Map'!$A$2:$A$2001,0)),"")</f>
        <v/>
      </c>
      <c r="X125" s="36"/>
      <c r="Y125" s="37"/>
      <c r="Z125" s="38"/>
      <c r="AA125" s="38"/>
      <c r="AB125" s="39" t="str">
        <f aca="true">IF(T125="","",IF(T125&lt;&gt;"Yes","N/A",IF(AA125="","NO EXPIRY SET",IF(TODAY()&gt;AA125,"EXPIRED",IF(AA125-TODAY()&lt;=30,"Expiring Soon","Active")))))</f>
        <v/>
      </c>
      <c r="AC125" s="36"/>
      <c r="AD125" s="36"/>
      <c r="AE125" s="37"/>
      <c r="AF125" s="36"/>
      <c r="AG125" s="37"/>
      <c r="AH125" s="37"/>
      <c r="AI125" s="37"/>
      <c r="AJ125" s="37"/>
      <c r="AK125" s="38"/>
      <c r="AL125" s="37"/>
      <c r="AM125" s="37"/>
      <c r="AN125" s="41" t="str">
        <f aca="false">IF(AK125="","",AK125+90)</f>
        <v/>
      </c>
      <c r="AO125" s="39" t="str">
        <f aca="true">IF(C125="","",IF(AK125="","NOT REVIEWED",IF(TODAY()&gt;AN125,"OVERDUE",IF(AN125-TODAY()&lt;=14,"Due Soon","Current"))))</f>
        <v/>
      </c>
      <c r="AP125" s="36"/>
    </row>
    <row r="126" customFormat="false" ht="15" hidden="false" customHeight="false" outlineLevel="0" collapsed="false">
      <c r="A126" s="36"/>
      <c r="B126" s="36"/>
      <c r="C126" s="36"/>
      <c r="D126" s="37"/>
      <c r="E126" s="38"/>
      <c r="F126" s="38"/>
      <c r="G126" s="36"/>
      <c r="H126" s="37"/>
      <c r="I126" s="39" t="str">
        <f aca="true">IF(F126="","",TODAY()-F126)</f>
        <v/>
      </c>
      <c r="J126" s="40" t="str">
        <f aca="false">IFERROR(INDEX('Azure Resource Map'!$H$2:$H$2001,MATCH($C126,'Azure Resource Map'!$A$2:$A$2001,0)),"")</f>
        <v/>
      </c>
      <c r="K126" s="40" t="str">
        <f aca="false">IFERROR(INDEX('Azure Resource Map'!$I$2:$I$2001,MATCH($C126,'Azure Resource Map'!$A$2:$A$2001,0)),"")</f>
        <v/>
      </c>
      <c r="L126" s="39" t="str">
        <f aca="false">IFERROR(INDEX('Azure Resource Map'!$J$2:$J$2001,MATCH($C126,'Azure Resource Map'!$A$2:$A$2001,0)),"")</f>
        <v/>
      </c>
      <c r="M126" s="40" t="str">
        <f aca="false">IFERROR(INDEX('Azure Resource Map'!$K$2:$K$2001,MATCH($C126,'Azure Resource Map'!$A$2:$A$2001,0)),"")</f>
        <v/>
      </c>
      <c r="N126" s="39" t="str">
        <f aca="false">IFERROR(INDEX('Azure Resource Map'!$L$2:$L$2001,MATCH($C126,'Azure Resource Map'!$A$2:$A$2001,0)),"")</f>
        <v/>
      </c>
      <c r="O126" s="39" t="str">
        <f aca="false">IFERROR(INDEX('Azure Resource Map'!$M$2:$M$2001,MATCH($C126,'Azure Resource Map'!$A$2:$A$2001,0)),"")</f>
        <v/>
      </c>
      <c r="P126" s="40" t="str">
        <f aca="false">IFERROR(INDEX('Azure Resource Map'!$D$2:$D$2001,MATCH($C126,'Azure Resource Map'!$A$2:$A$2001,0)),"")</f>
        <v/>
      </c>
      <c r="Q126" s="39" t="str">
        <f aca="false">IFERROR(INDEX('Azure Resource Map'!$E$2:$E$2001,MATCH($C126,'Azure Resource Map'!$A$2:$A$2001,0)),"")</f>
        <v/>
      </c>
      <c r="R126" s="39" t="str">
        <f aca="false">IFERROR(INDEX('Azure Resource Map'!$F$2:$F$2001,MATCH($C126,'Azure Resource Map'!$A$2:$A$2001,0)),"")</f>
        <v/>
      </c>
      <c r="S126" s="37"/>
      <c r="T126" s="39" t="str">
        <f aca="false">IF($C126="","",IF(ISNUMBER(MATCH($C126,'CA Exclusion Map'!$A$2:$A$2001,0)),"Yes","No"))</f>
        <v/>
      </c>
      <c r="U126" s="39" t="str">
        <f aca="false">IFERROR(INDEX('CA Exclusion Map'!$D$2:$D$2001,MATCH($C126,'CA Exclusion Map'!$A$2:$A$2001,0)),"")</f>
        <v/>
      </c>
      <c r="V126" s="40" t="str">
        <f aca="false">IFERROR(INDEX('CA Exclusion Map'!$E$2:$E$2001,MATCH($C126,'CA Exclusion Map'!$A$2:$A$2001,0)),"")</f>
        <v/>
      </c>
      <c r="W126" s="40" t="str">
        <f aca="false">IFERROR(INDEX('CA Exclusion Map'!$F$2:$F$2001,MATCH($C126,'CA Exclusion Map'!$A$2:$A$2001,0)),"")</f>
        <v/>
      </c>
      <c r="X126" s="36"/>
      <c r="Y126" s="37"/>
      <c r="Z126" s="38"/>
      <c r="AA126" s="38"/>
      <c r="AB126" s="39" t="str">
        <f aca="true">IF(T126="","",IF(T126&lt;&gt;"Yes","N/A",IF(AA126="","NO EXPIRY SET",IF(TODAY()&gt;AA126,"EXPIRED",IF(AA126-TODAY()&lt;=30,"Expiring Soon","Active")))))</f>
        <v/>
      </c>
      <c r="AC126" s="36"/>
      <c r="AD126" s="36"/>
      <c r="AE126" s="37"/>
      <c r="AF126" s="36"/>
      <c r="AG126" s="37"/>
      <c r="AH126" s="37"/>
      <c r="AI126" s="37"/>
      <c r="AJ126" s="37"/>
      <c r="AK126" s="38"/>
      <c r="AL126" s="37"/>
      <c r="AM126" s="37"/>
      <c r="AN126" s="41" t="str">
        <f aca="false">IF(AK126="","",AK126+90)</f>
        <v/>
      </c>
      <c r="AO126" s="39" t="str">
        <f aca="true">IF(C126="","",IF(AK126="","NOT REVIEWED",IF(TODAY()&gt;AN126,"OVERDUE",IF(AN126-TODAY()&lt;=14,"Due Soon","Current"))))</f>
        <v/>
      </c>
      <c r="AP126" s="36"/>
    </row>
    <row r="127" customFormat="false" ht="15" hidden="false" customHeight="false" outlineLevel="0" collapsed="false">
      <c r="A127" s="36"/>
      <c r="B127" s="36"/>
      <c r="C127" s="36"/>
      <c r="D127" s="37"/>
      <c r="E127" s="38"/>
      <c r="F127" s="38"/>
      <c r="G127" s="36"/>
      <c r="H127" s="37"/>
      <c r="I127" s="39" t="str">
        <f aca="true">IF(F127="","",TODAY()-F127)</f>
        <v/>
      </c>
      <c r="J127" s="40" t="str">
        <f aca="false">IFERROR(INDEX('Azure Resource Map'!$H$2:$H$2001,MATCH($C127,'Azure Resource Map'!$A$2:$A$2001,0)),"")</f>
        <v/>
      </c>
      <c r="K127" s="40" t="str">
        <f aca="false">IFERROR(INDEX('Azure Resource Map'!$I$2:$I$2001,MATCH($C127,'Azure Resource Map'!$A$2:$A$2001,0)),"")</f>
        <v/>
      </c>
      <c r="L127" s="39" t="str">
        <f aca="false">IFERROR(INDEX('Azure Resource Map'!$J$2:$J$2001,MATCH($C127,'Azure Resource Map'!$A$2:$A$2001,0)),"")</f>
        <v/>
      </c>
      <c r="M127" s="40" t="str">
        <f aca="false">IFERROR(INDEX('Azure Resource Map'!$K$2:$K$2001,MATCH($C127,'Azure Resource Map'!$A$2:$A$2001,0)),"")</f>
        <v/>
      </c>
      <c r="N127" s="39" t="str">
        <f aca="false">IFERROR(INDEX('Azure Resource Map'!$L$2:$L$2001,MATCH($C127,'Azure Resource Map'!$A$2:$A$2001,0)),"")</f>
        <v/>
      </c>
      <c r="O127" s="39" t="str">
        <f aca="false">IFERROR(INDEX('Azure Resource Map'!$M$2:$M$2001,MATCH($C127,'Azure Resource Map'!$A$2:$A$2001,0)),"")</f>
        <v/>
      </c>
      <c r="P127" s="40" t="str">
        <f aca="false">IFERROR(INDEX('Azure Resource Map'!$D$2:$D$2001,MATCH($C127,'Azure Resource Map'!$A$2:$A$2001,0)),"")</f>
        <v/>
      </c>
      <c r="Q127" s="39" t="str">
        <f aca="false">IFERROR(INDEX('Azure Resource Map'!$E$2:$E$2001,MATCH($C127,'Azure Resource Map'!$A$2:$A$2001,0)),"")</f>
        <v/>
      </c>
      <c r="R127" s="39" t="str">
        <f aca="false">IFERROR(INDEX('Azure Resource Map'!$F$2:$F$2001,MATCH($C127,'Azure Resource Map'!$A$2:$A$2001,0)),"")</f>
        <v/>
      </c>
      <c r="S127" s="37"/>
      <c r="T127" s="39" t="str">
        <f aca="false">IF($C127="","",IF(ISNUMBER(MATCH($C127,'CA Exclusion Map'!$A$2:$A$2001,0)),"Yes","No"))</f>
        <v/>
      </c>
      <c r="U127" s="39" t="str">
        <f aca="false">IFERROR(INDEX('CA Exclusion Map'!$D$2:$D$2001,MATCH($C127,'CA Exclusion Map'!$A$2:$A$2001,0)),"")</f>
        <v/>
      </c>
      <c r="V127" s="40" t="str">
        <f aca="false">IFERROR(INDEX('CA Exclusion Map'!$E$2:$E$2001,MATCH($C127,'CA Exclusion Map'!$A$2:$A$2001,0)),"")</f>
        <v/>
      </c>
      <c r="W127" s="40" t="str">
        <f aca="false">IFERROR(INDEX('CA Exclusion Map'!$F$2:$F$2001,MATCH($C127,'CA Exclusion Map'!$A$2:$A$2001,0)),"")</f>
        <v/>
      </c>
      <c r="X127" s="36"/>
      <c r="Y127" s="37"/>
      <c r="Z127" s="38"/>
      <c r="AA127" s="38"/>
      <c r="AB127" s="39" t="str">
        <f aca="true">IF(T127="","",IF(T127&lt;&gt;"Yes","N/A",IF(AA127="","NO EXPIRY SET",IF(TODAY()&gt;AA127,"EXPIRED",IF(AA127-TODAY()&lt;=30,"Expiring Soon","Active")))))</f>
        <v/>
      </c>
      <c r="AC127" s="36"/>
      <c r="AD127" s="36"/>
      <c r="AE127" s="37"/>
      <c r="AF127" s="36"/>
      <c r="AG127" s="37"/>
      <c r="AH127" s="37"/>
      <c r="AI127" s="37"/>
      <c r="AJ127" s="37"/>
      <c r="AK127" s="38"/>
      <c r="AL127" s="37"/>
      <c r="AM127" s="37"/>
      <c r="AN127" s="41" t="str">
        <f aca="false">IF(AK127="","",AK127+90)</f>
        <v/>
      </c>
      <c r="AO127" s="39" t="str">
        <f aca="true">IF(C127="","",IF(AK127="","NOT REVIEWED",IF(TODAY()&gt;AN127,"OVERDUE",IF(AN127-TODAY()&lt;=14,"Due Soon","Current"))))</f>
        <v/>
      </c>
      <c r="AP127" s="36"/>
    </row>
    <row r="128" customFormat="false" ht="15" hidden="false" customHeight="false" outlineLevel="0" collapsed="false">
      <c r="A128" s="36"/>
      <c r="B128" s="36"/>
      <c r="C128" s="36"/>
      <c r="D128" s="37"/>
      <c r="E128" s="38"/>
      <c r="F128" s="38"/>
      <c r="G128" s="36"/>
      <c r="H128" s="37"/>
      <c r="I128" s="39" t="str">
        <f aca="true">IF(F128="","",TODAY()-F128)</f>
        <v/>
      </c>
      <c r="J128" s="40" t="str">
        <f aca="false">IFERROR(INDEX('Azure Resource Map'!$H$2:$H$2001,MATCH($C128,'Azure Resource Map'!$A$2:$A$2001,0)),"")</f>
        <v/>
      </c>
      <c r="K128" s="40" t="str">
        <f aca="false">IFERROR(INDEX('Azure Resource Map'!$I$2:$I$2001,MATCH($C128,'Azure Resource Map'!$A$2:$A$2001,0)),"")</f>
        <v/>
      </c>
      <c r="L128" s="39" t="str">
        <f aca="false">IFERROR(INDEX('Azure Resource Map'!$J$2:$J$2001,MATCH($C128,'Azure Resource Map'!$A$2:$A$2001,0)),"")</f>
        <v/>
      </c>
      <c r="M128" s="40" t="str">
        <f aca="false">IFERROR(INDEX('Azure Resource Map'!$K$2:$K$2001,MATCH($C128,'Azure Resource Map'!$A$2:$A$2001,0)),"")</f>
        <v/>
      </c>
      <c r="N128" s="39" t="str">
        <f aca="false">IFERROR(INDEX('Azure Resource Map'!$L$2:$L$2001,MATCH($C128,'Azure Resource Map'!$A$2:$A$2001,0)),"")</f>
        <v/>
      </c>
      <c r="O128" s="39" t="str">
        <f aca="false">IFERROR(INDEX('Azure Resource Map'!$M$2:$M$2001,MATCH($C128,'Azure Resource Map'!$A$2:$A$2001,0)),"")</f>
        <v/>
      </c>
      <c r="P128" s="40" t="str">
        <f aca="false">IFERROR(INDEX('Azure Resource Map'!$D$2:$D$2001,MATCH($C128,'Azure Resource Map'!$A$2:$A$2001,0)),"")</f>
        <v/>
      </c>
      <c r="Q128" s="39" t="str">
        <f aca="false">IFERROR(INDEX('Azure Resource Map'!$E$2:$E$2001,MATCH($C128,'Azure Resource Map'!$A$2:$A$2001,0)),"")</f>
        <v/>
      </c>
      <c r="R128" s="39" t="str">
        <f aca="false">IFERROR(INDEX('Azure Resource Map'!$F$2:$F$2001,MATCH($C128,'Azure Resource Map'!$A$2:$A$2001,0)),"")</f>
        <v/>
      </c>
      <c r="S128" s="37"/>
      <c r="T128" s="39" t="str">
        <f aca="false">IF($C128="","",IF(ISNUMBER(MATCH($C128,'CA Exclusion Map'!$A$2:$A$2001,0)),"Yes","No"))</f>
        <v/>
      </c>
      <c r="U128" s="39" t="str">
        <f aca="false">IFERROR(INDEX('CA Exclusion Map'!$D$2:$D$2001,MATCH($C128,'CA Exclusion Map'!$A$2:$A$2001,0)),"")</f>
        <v/>
      </c>
      <c r="V128" s="40" t="str">
        <f aca="false">IFERROR(INDEX('CA Exclusion Map'!$E$2:$E$2001,MATCH($C128,'CA Exclusion Map'!$A$2:$A$2001,0)),"")</f>
        <v/>
      </c>
      <c r="W128" s="40" t="str">
        <f aca="false">IFERROR(INDEX('CA Exclusion Map'!$F$2:$F$2001,MATCH($C128,'CA Exclusion Map'!$A$2:$A$2001,0)),"")</f>
        <v/>
      </c>
      <c r="X128" s="36"/>
      <c r="Y128" s="37"/>
      <c r="Z128" s="38"/>
      <c r="AA128" s="38"/>
      <c r="AB128" s="39" t="str">
        <f aca="true">IF(T128="","",IF(T128&lt;&gt;"Yes","N/A",IF(AA128="","NO EXPIRY SET",IF(TODAY()&gt;AA128,"EXPIRED",IF(AA128-TODAY()&lt;=30,"Expiring Soon","Active")))))</f>
        <v/>
      </c>
      <c r="AC128" s="36"/>
      <c r="AD128" s="36"/>
      <c r="AE128" s="37"/>
      <c r="AF128" s="36"/>
      <c r="AG128" s="37"/>
      <c r="AH128" s="37"/>
      <c r="AI128" s="37"/>
      <c r="AJ128" s="37"/>
      <c r="AK128" s="38"/>
      <c r="AL128" s="37"/>
      <c r="AM128" s="37"/>
      <c r="AN128" s="41" t="str">
        <f aca="false">IF(AK128="","",AK128+90)</f>
        <v/>
      </c>
      <c r="AO128" s="39" t="str">
        <f aca="true">IF(C128="","",IF(AK128="","NOT REVIEWED",IF(TODAY()&gt;AN128,"OVERDUE",IF(AN128-TODAY()&lt;=14,"Due Soon","Current"))))</f>
        <v/>
      </c>
      <c r="AP128" s="36"/>
    </row>
    <row r="129" customFormat="false" ht="15" hidden="false" customHeight="false" outlineLevel="0" collapsed="false">
      <c r="A129" s="36"/>
      <c r="B129" s="36"/>
      <c r="C129" s="36"/>
      <c r="D129" s="37"/>
      <c r="E129" s="38"/>
      <c r="F129" s="38"/>
      <c r="G129" s="36"/>
      <c r="H129" s="37"/>
      <c r="I129" s="39" t="str">
        <f aca="true">IF(F129="","",TODAY()-F129)</f>
        <v/>
      </c>
      <c r="J129" s="40" t="str">
        <f aca="false">IFERROR(INDEX('Azure Resource Map'!$H$2:$H$2001,MATCH($C129,'Azure Resource Map'!$A$2:$A$2001,0)),"")</f>
        <v/>
      </c>
      <c r="K129" s="40" t="str">
        <f aca="false">IFERROR(INDEX('Azure Resource Map'!$I$2:$I$2001,MATCH($C129,'Azure Resource Map'!$A$2:$A$2001,0)),"")</f>
        <v/>
      </c>
      <c r="L129" s="39" t="str">
        <f aca="false">IFERROR(INDEX('Azure Resource Map'!$J$2:$J$2001,MATCH($C129,'Azure Resource Map'!$A$2:$A$2001,0)),"")</f>
        <v/>
      </c>
      <c r="M129" s="40" t="str">
        <f aca="false">IFERROR(INDEX('Azure Resource Map'!$K$2:$K$2001,MATCH($C129,'Azure Resource Map'!$A$2:$A$2001,0)),"")</f>
        <v/>
      </c>
      <c r="N129" s="39" t="str">
        <f aca="false">IFERROR(INDEX('Azure Resource Map'!$L$2:$L$2001,MATCH($C129,'Azure Resource Map'!$A$2:$A$2001,0)),"")</f>
        <v/>
      </c>
      <c r="O129" s="39" t="str">
        <f aca="false">IFERROR(INDEX('Azure Resource Map'!$M$2:$M$2001,MATCH($C129,'Azure Resource Map'!$A$2:$A$2001,0)),"")</f>
        <v/>
      </c>
      <c r="P129" s="40" t="str">
        <f aca="false">IFERROR(INDEX('Azure Resource Map'!$D$2:$D$2001,MATCH($C129,'Azure Resource Map'!$A$2:$A$2001,0)),"")</f>
        <v/>
      </c>
      <c r="Q129" s="39" t="str">
        <f aca="false">IFERROR(INDEX('Azure Resource Map'!$E$2:$E$2001,MATCH($C129,'Azure Resource Map'!$A$2:$A$2001,0)),"")</f>
        <v/>
      </c>
      <c r="R129" s="39" t="str">
        <f aca="false">IFERROR(INDEX('Azure Resource Map'!$F$2:$F$2001,MATCH($C129,'Azure Resource Map'!$A$2:$A$2001,0)),"")</f>
        <v/>
      </c>
      <c r="S129" s="37"/>
      <c r="T129" s="39" t="str">
        <f aca="false">IF($C129="","",IF(ISNUMBER(MATCH($C129,'CA Exclusion Map'!$A$2:$A$2001,0)),"Yes","No"))</f>
        <v/>
      </c>
      <c r="U129" s="39" t="str">
        <f aca="false">IFERROR(INDEX('CA Exclusion Map'!$D$2:$D$2001,MATCH($C129,'CA Exclusion Map'!$A$2:$A$2001,0)),"")</f>
        <v/>
      </c>
      <c r="V129" s="40" t="str">
        <f aca="false">IFERROR(INDEX('CA Exclusion Map'!$E$2:$E$2001,MATCH($C129,'CA Exclusion Map'!$A$2:$A$2001,0)),"")</f>
        <v/>
      </c>
      <c r="W129" s="40" t="str">
        <f aca="false">IFERROR(INDEX('CA Exclusion Map'!$F$2:$F$2001,MATCH($C129,'CA Exclusion Map'!$A$2:$A$2001,0)),"")</f>
        <v/>
      </c>
      <c r="X129" s="36"/>
      <c r="Y129" s="37"/>
      <c r="Z129" s="38"/>
      <c r="AA129" s="38"/>
      <c r="AB129" s="39" t="str">
        <f aca="true">IF(T129="","",IF(T129&lt;&gt;"Yes","N/A",IF(AA129="","NO EXPIRY SET",IF(TODAY()&gt;AA129,"EXPIRED",IF(AA129-TODAY()&lt;=30,"Expiring Soon","Active")))))</f>
        <v/>
      </c>
      <c r="AC129" s="36"/>
      <c r="AD129" s="36"/>
      <c r="AE129" s="37"/>
      <c r="AF129" s="36"/>
      <c r="AG129" s="37"/>
      <c r="AH129" s="37"/>
      <c r="AI129" s="37"/>
      <c r="AJ129" s="37"/>
      <c r="AK129" s="38"/>
      <c r="AL129" s="37"/>
      <c r="AM129" s="37"/>
      <c r="AN129" s="41" t="str">
        <f aca="false">IF(AK129="","",AK129+90)</f>
        <v/>
      </c>
      <c r="AO129" s="39" t="str">
        <f aca="true">IF(C129="","",IF(AK129="","NOT REVIEWED",IF(TODAY()&gt;AN129,"OVERDUE",IF(AN129-TODAY()&lt;=14,"Due Soon","Current"))))</f>
        <v/>
      </c>
      <c r="AP129" s="36"/>
    </row>
    <row r="130" customFormat="false" ht="15" hidden="false" customHeight="false" outlineLevel="0" collapsed="false">
      <c r="A130" s="36"/>
      <c r="B130" s="36"/>
      <c r="C130" s="36"/>
      <c r="D130" s="37"/>
      <c r="E130" s="38"/>
      <c r="F130" s="38"/>
      <c r="G130" s="36"/>
      <c r="H130" s="37"/>
      <c r="I130" s="39" t="str">
        <f aca="true">IF(F130="","",TODAY()-F130)</f>
        <v/>
      </c>
      <c r="J130" s="40" t="str">
        <f aca="false">IFERROR(INDEX('Azure Resource Map'!$H$2:$H$2001,MATCH($C130,'Azure Resource Map'!$A$2:$A$2001,0)),"")</f>
        <v/>
      </c>
      <c r="K130" s="40" t="str">
        <f aca="false">IFERROR(INDEX('Azure Resource Map'!$I$2:$I$2001,MATCH($C130,'Azure Resource Map'!$A$2:$A$2001,0)),"")</f>
        <v/>
      </c>
      <c r="L130" s="39" t="str">
        <f aca="false">IFERROR(INDEX('Azure Resource Map'!$J$2:$J$2001,MATCH($C130,'Azure Resource Map'!$A$2:$A$2001,0)),"")</f>
        <v/>
      </c>
      <c r="M130" s="40" t="str">
        <f aca="false">IFERROR(INDEX('Azure Resource Map'!$K$2:$K$2001,MATCH($C130,'Azure Resource Map'!$A$2:$A$2001,0)),"")</f>
        <v/>
      </c>
      <c r="N130" s="39" t="str">
        <f aca="false">IFERROR(INDEX('Azure Resource Map'!$L$2:$L$2001,MATCH($C130,'Azure Resource Map'!$A$2:$A$2001,0)),"")</f>
        <v/>
      </c>
      <c r="O130" s="39" t="str">
        <f aca="false">IFERROR(INDEX('Azure Resource Map'!$M$2:$M$2001,MATCH($C130,'Azure Resource Map'!$A$2:$A$2001,0)),"")</f>
        <v/>
      </c>
      <c r="P130" s="40" t="str">
        <f aca="false">IFERROR(INDEX('Azure Resource Map'!$D$2:$D$2001,MATCH($C130,'Azure Resource Map'!$A$2:$A$2001,0)),"")</f>
        <v/>
      </c>
      <c r="Q130" s="39" t="str">
        <f aca="false">IFERROR(INDEX('Azure Resource Map'!$E$2:$E$2001,MATCH($C130,'Azure Resource Map'!$A$2:$A$2001,0)),"")</f>
        <v/>
      </c>
      <c r="R130" s="39" t="str">
        <f aca="false">IFERROR(INDEX('Azure Resource Map'!$F$2:$F$2001,MATCH($C130,'Azure Resource Map'!$A$2:$A$2001,0)),"")</f>
        <v/>
      </c>
      <c r="S130" s="37"/>
      <c r="T130" s="39" t="str">
        <f aca="false">IF($C130="","",IF(ISNUMBER(MATCH($C130,'CA Exclusion Map'!$A$2:$A$2001,0)),"Yes","No"))</f>
        <v/>
      </c>
      <c r="U130" s="39" t="str">
        <f aca="false">IFERROR(INDEX('CA Exclusion Map'!$D$2:$D$2001,MATCH($C130,'CA Exclusion Map'!$A$2:$A$2001,0)),"")</f>
        <v/>
      </c>
      <c r="V130" s="40" t="str">
        <f aca="false">IFERROR(INDEX('CA Exclusion Map'!$E$2:$E$2001,MATCH($C130,'CA Exclusion Map'!$A$2:$A$2001,0)),"")</f>
        <v/>
      </c>
      <c r="W130" s="40" t="str">
        <f aca="false">IFERROR(INDEX('CA Exclusion Map'!$F$2:$F$2001,MATCH($C130,'CA Exclusion Map'!$A$2:$A$2001,0)),"")</f>
        <v/>
      </c>
      <c r="X130" s="36"/>
      <c r="Y130" s="37"/>
      <c r="Z130" s="38"/>
      <c r="AA130" s="38"/>
      <c r="AB130" s="39" t="str">
        <f aca="true">IF(T130="","",IF(T130&lt;&gt;"Yes","N/A",IF(AA130="","NO EXPIRY SET",IF(TODAY()&gt;AA130,"EXPIRED",IF(AA130-TODAY()&lt;=30,"Expiring Soon","Active")))))</f>
        <v/>
      </c>
      <c r="AC130" s="36"/>
      <c r="AD130" s="36"/>
      <c r="AE130" s="37"/>
      <c r="AF130" s="36"/>
      <c r="AG130" s="37"/>
      <c r="AH130" s="37"/>
      <c r="AI130" s="37"/>
      <c r="AJ130" s="37"/>
      <c r="AK130" s="38"/>
      <c r="AL130" s="37"/>
      <c r="AM130" s="37"/>
      <c r="AN130" s="41" t="str">
        <f aca="false">IF(AK130="","",AK130+90)</f>
        <v/>
      </c>
      <c r="AO130" s="39" t="str">
        <f aca="true">IF(C130="","",IF(AK130="","NOT REVIEWED",IF(TODAY()&gt;AN130,"OVERDUE",IF(AN130-TODAY()&lt;=14,"Due Soon","Current"))))</f>
        <v/>
      </c>
      <c r="AP130" s="36"/>
    </row>
    <row r="131" customFormat="false" ht="15" hidden="false" customHeight="false" outlineLevel="0" collapsed="false">
      <c r="A131" s="36"/>
      <c r="B131" s="36"/>
      <c r="C131" s="36"/>
      <c r="D131" s="37"/>
      <c r="E131" s="38"/>
      <c r="F131" s="38"/>
      <c r="G131" s="36"/>
      <c r="H131" s="37"/>
      <c r="I131" s="39" t="str">
        <f aca="true">IF(F131="","",TODAY()-F131)</f>
        <v/>
      </c>
      <c r="J131" s="40" t="str">
        <f aca="false">IFERROR(INDEX('Azure Resource Map'!$H$2:$H$2001,MATCH($C131,'Azure Resource Map'!$A$2:$A$2001,0)),"")</f>
        <v/>
      </c>
      <c r="K131" s="40" t="str">
        <f aca="false">IFERROR(INDEX('Azure Resource Map'!$I$2:$I$2001,MATCH($C131,'Azure Resource Map'!$A$2:$A$2001,0)),"")</f>
        <v/>
      </c>
      <c r="L131" s="39" t="str">
        <f aca="false">IFERROR(INDEX('Azure Resource Map'!$J$2:$J$2001,MATCH($C131,'Azure Resource Map'!$A$2:$A$2001,0)),"")</f>
        <v/>
      </c>
      <c r="M131" s="40" t="str">
        <f aca="false">IFERROR(INDEX('Azure Resource Map'!$K$2:$K$2001,MATCH($C131,'Azure Resource Map'!$A$2:$A$2001,0)),"")</f>
        <v/>
      </c>
      <c r="N131" s="39" t="str">
        <f aca="false">IFERROR(INDEX('Azure Resource Map'!$L$2:$L$2001,MATCH($C131,'Azure Resource Map'!$A$2:$A$2001,0)),"")</f>
        <v/>
      </c>
      <c r="O131" s="39" t="str">
        <f aca="false">IFERROR(INDEX('Azure Resource Map'!$M$2:$M$2001,MATCH($C131,'Azure Resource Map'!$A$2:$A$2001,0)),"")</f>
        <v/>
      </c>
      <c r="P131" s="40" t="str">
        <f aca="false">IFERROR(INDEX('Azure Resource Map'!$D$2:$D$2001,MATCH($C131,'Azure Resource Map'!$A$2:$A$2001,0)),"")</f>
        <v/>
      </c>
      <c r="Q131" s="39" t="str">
        <f aca="false">IFERROR(INDEX('Azure Resource Map'!$E$2:$E$2001,MATCH($C131,'Azure Resource Map'!$A$2:$A$2001,0)),"")</f>
        <v/>
      </c>
      <c r="R131" s="39" t="str">
        <f aca="false">IFERROR(INDEX('Azure Resource Map'!$F$2:$F$2001,MATCH($C131,'Azure Resource Map'!$A$2:$A$2001,0)),"")</f>
        <v/>
      </c>
      <c r="S131" s="37"/>
      <c r="T131" s="39" t="str">
        <f aca="false">IF($C131="","",IF(ISNUMBER(MATCH($C131,'CA Exclusion Map'!$A$2:$A$2001,0)),"Yes","No"))</f>
        <v/>
      </c>
      <c r="U131" s="39" t="str">
        <f aca="false">IFERROR(INDEX('CA Exclusion Map'!$D$2:$D$2001,MATCH($C131,'CA Exclusion Map'!$A$2:$A$2001,0)),"")</f>
        <v/>
      </c>
      <c r="V131" s="40" t="str">
        <f aca="false">IFERROR(INDEX('CA Exclusion Map'!$E$2:$E$2001,MATCH($C131,'CA Exclusion Map'!$A$2:$A$2001,0)),"")</f>
        <v/>
      </c>
      <c r="W131" s="40" t="str">
        <f aca="false">IFERROR(INDEX('CA Exclusion Map'!$F$2:$F$2001,MATCH($C131,'CA Exclusion Map'!$A$2:$A$2001,0)),"")</f>
        <v/>
      </c>
      <c r="X131" s="36"/>
      <c r="Y131" s="37"/>
      <c r="Z131" s="38"/>
      <c r="AA131" s="38"/>
      <c r="AB131" s="39" t="str">
        <f aca="true">IF(T131="","",IF(T131&lt;&gt;"Yes","N/A",IF(AA131="","NO EXPIRY SET",IF(TODAY()&gt;AA131,"EXPIRED",IF(AA131-TODAY()&lt;=30,"Expiring Soon","Active")))))</f>
        <v/>
      </c>
      <c r="AC131" s="36"/>
      <c r="AD131" s="36"/>
      <c r="AE131" s="37"/>
      <c r="AF131" s="36"/>
      <c r="AG131" s="37"/>
      <c r="AH131" s="37"/>
      <c r="AI131" s="37"/>
      <c r="AJ131" s="37"/>
      <c r="AK131" s="38"/>
      <c r="AL131" s="37"/>
      <c r="AM131" s="37"/>
      <c r="AN131" s="41" t="str">
        <f aca="false">IF(AK131="","",AK131+90)</f>
        <v/>
      </c>
      <c r="AO131" s="39" t="str">
        <f aca="true">IF(C131="","",IF(AK131="","NOT REVIEWED",IF(TODAY()&gt;AN131,"OVERDUE",IF(AN131-TODAY()&lt;=14,"Due Soon","Current"))))</f>
        <v/>
      </c>
      <c r="AP131" s="36"/>
    </row>
    <row r="132" customFormat="false" ht="15" hidden="false" customHeight="false" outlineLevel="0" collapsed="false">
      <c r="A132" s="36"/>
      <c r="B132" s="36"/>
      <c r="C132" s="36"/>
      <c r="D132" s="37"/>
      <c r="E132" s="38"/>
      <c r="F132" s="38"/>
      <c r="G132" s="36"/>
      <c r="H132" s="37"/>
      <c r="I132" s="39" t="str">
        <f aca="true">IF(F132="","",TODAY()-F132)</f>
        <v/>
      </c>
      <c r="J132" s="40" t="str">
        <f aca="false">IFERROR(INDEX('Azure Resource Map'!$H$2:$H$2001,MATCH($C132,'Azure Resource Map'!$A$2:$A$2001,0)),"")</f>
        <v/>
      </c>
      <c r="K132" s="40" t="str">
        <f aca="false">IFERROR(INDEX('Azure Resource Map'!$I$2:$I$2001,MATCH($C132,'Azure Resource Map'!$A$2:$A$2001,0)),"")</f>
        <v/>
      </c>
      <c r="L132" s="39" t="str">
        <f aca="false">IFERROR(INDEX('Azure Resource Map'!$J$2:$J$2001,MATCH($C132,'Azure Resource Map'!$A$2:$A$2001,0)),"")</f>
        <v/>
      </c>
      <c r="M132" s="40" t="str">
        <f aca="false">IFERROR(INDEX('Azure Resource Map'!$K$2:$K$2001,MATCH($C132,'Azure Resource Map'!$A$2:$A$2001,0)),"")</f>
        <v/>
      </c>
      <c r="N132" s="39" t="str">
        <f aca="false">IFERROR(INDEX('Azure Resource Map'!$L$2:$L$2001,MATCH($C132,'Azure Resource Map'!$A$2:$A$2001,0)),"")</f>
        <v/>
      </c>
      <c r="O132" s="39" t="str">
        <f aca="false">IFERROR(INDEX('Azure Resource Map'!$M$2:$M$2001,MATCH($C132,'Azure Resource Map'!$A$2:$A$2001,0)),"")</f>
        <v/>
      </c>
      <c r="P132" s="40" t="str">
        <f aca="false">IFERROR(INDEX('Azure Resource Map'!$D$2:$D$2001,MATCH($C132,'Azure Resource Map'!$A$2:$A$2001,0)),"")</f>
        <v/>
      </c>
      <c r="Q132" s="39" t="str">
        <f aca="false">IFERROR(INDEX('Azure Resource Map'!$E$2:$E$2001,MATCH($C132,'Azure Resource Map'!$A$2:$A$2001,0)),"")</f>
        <v/>
      </c>
      <c r="R132" s="39" t="str">
        <f aca="false">IFERROR(INDEX('Azure Resource Map'!$F$2:$F$2001,MATCH($C132,'Azure Resource Map'!$A$2:$A$2001,0)),"")</f>
        <v/>
      </c>
      <c r="S132" s="37"/>
      <c r="T132" s="39" t="str">
        <f aca="false">IF($C132="","",IF(ISNUMBER(MATCH($C132,'CA Exclusion Map'!$A$2:$A$2001,0)),"Yes","No"))</f>
        <v/>
      </c>
      <c r="U132" s="39" t="str">
        <f aca="false">IFERROR(INDEX('CA Exclusion Map'!$D$2:$D$2001,MATCH($C132,'CA Exclusion Map'!$A$2:$A$2001,0)),"")</f>
        <v/>
      </c>
      <c r="V132" s="40" t="str">
        <f aca="false">IFERROR(INDEX('CA Exclusion Map'!$E$2:$E$2001,MATCH($C132,'CA Exclusion Map'!$A$2:$A$2001,0)),"")</f>
        <v/>
      </c>
      <c r="W132" s="40" t="str">
        <f aca="false">IFERROR(INDEX('CA Exclusion Map'!$F$2:$F$2001,MATCH($C132,'CA Exclusion Map'!$A$2:$A$2001,0)),"")</f>
        <v/>
      </c>
      <c r="X132" s="36"/>
      <c r="Y132" s="37"/>
      <c r="Z132" s="38"/>
      <c r="AA132" s="38"/>
      <c r="AB132" s="39" t="str">
        <f aca="true">IF(T132="","",IF(T132&lt;&gt;"Yes","N/A",IF(AA132="","NO EXPIRY SET",IF(TODAY()&gt;AA132,"EXPIRED",IF(AA132-TODAY()&lt;=30,"Expiring Soon","Active")))))</f>
        <v/>
      </c>
      <c r="AC132" s="36"/>
      <c r="AD132" s="36"/>
      <c r="AE132" s="37"/>
      <c r="AF132" s="36"/>
      <c r="AG132" s="37"/>
      <c r="AH132" s="37"/>
      <c r="AI132" s="37"/>
      <c r="AJ132" s="37"/>
      <c r="AK132" s="38"/>
      <c r="AL132" s="37"/>
      <c r="AM132" s="37"/>
      <c r="AN132" s="41" t="str">
        <f aca="false">IF(AK132="","",AK132+90)</f>
        <v/>
      </c>
      <c r="AO132" s="39" t="str">
        <f aca="true">IF(C132="","",IF(AK132="","NOT REVIEWED",IF(TODAY()&gt;AN132,"OVERDUE",IF(AN132-TODAY()&lt;=14,"Due Soon","Current"))))</f>
        <v/>
      </c>
      <c r="AP132" s="36"/>
    </row>
    <row r="133" customFormat="false" ht="15" hidden="false" customHeight="false" outlineLevel="0" collapsed="false">
      <c r="A133" s="36"/>
      <c r="B133" s="36"/>
      <c r="C133" s="36"/>
      <c r="D133" s="37"/>
      <c r="E133" s="38"/>
      <c r="F133" s="38"/>
      <c r="G133" s="36"/>
      <c r="H133" s="37"/>
      <c r="I133" s="39" t="str">
        <f aca="true">IF(F133="","",TODAY()-F133)</f>
        <v/>
      </c>
      <c r="J133" s="40" t="str">
        <f aca="false">IFERROR(INDEX('Azure Resource Map'!$H$2:$H$2001,MATCH($C133,'Azure Resource Map'!$A$2:$A$2001,0)),"")</f>
        <v/>
      </c>
      <c r="K133" s="40" t="str">
        <f aca="false">IFERROR(INDEX('Azure Resource Map'!$I$2:$I$2001,MATCH($C133,'Azure Resource Map'!$A$2:$A$2001,0)),"")</f>
        <v/>
      </c>
      <c r="L133" s="39" t="str">
        <f aca="false">IFERROR(INDEX('Azure Resource Map'!$J$2:$J$2001,MATCH($C133,'Azure Resource Map'!$A$2:$A$2001,0)),"")</f>
        <v/>
      </c>
      <c r="M133" s="40" t="str">
        <f aca="false">IFERROR(INDEX('Azure Resource Map'!$K$2:$K$2001,MATCH($C133,'Azure Resource Map'!$A$2:$A$2001,0)),"")</f>
        <v/>
      </c>
      <c r="N133" s="39" t="str">
        <f aca="false">IFERROR(INDEX('Azure Resource Map'!$L$2:$L$2001,MATCH($C133,'Azure Resource Map'!$A$2:$A$2001,0)),"")</f>
        <v/>
      </c>
      <c r="O133" s="39" t="str">
        <f aca="false">IFERROR(INDEX('Azure Resource Map'!$M$2:$M$2001,MATCH($C133,'Azure Resource Map'!$A$2:$A$2001,0)),"")</f>
        <v/>
      </c>
      <c r="P133" s="40" t="str">
        <f aca="false">IFERROR(INDEX('Azure Resource Map'!$D$2:$D$2001,MATCH($C133,'Azure Resource Map'!$A$2:$A$2001,0)),"")</f>
        <v/>
      </c>
      <c r="Q133" s="39" t="str">
        <f aca="false">IFERROR(INDEX('Azure Resource Map'!$E$2:$E$2001,MATCH($C133,'Azure Resource Map'!$A$2:$A$2001,0)),"")</f>
        <v/>
      </c>
      <c r="R133" s="39" t="str">
        <f aca="false">IFERROR(INDEX('Azure Resource Map'!$F$2:$F$2001,MATCH($C133,'Azure Resource Map'!$A$2:$A$2001,0)),"")</f>
        <v/>
      </c>
      <c r="S133" s="37"/>
      <c r="T133" s="39" t="str">
        <f aca="false">IF($C133="","",IF(ISNUMBER(MATCH($C133,'CA Exclusion Map'!$A$2:$A$2001,0)),"Yes","No"))</f>
        <v/>
      </c>
      <c r="U133" s="39" t="str">
        <f aca="false">IFERROR(INDEX('CA Exclusion Map'!$D$2:$D$2001,MATCH($C133,'CA Exclusion Map'!$A$2:$A$2001,0)),"")</f>
        <v/>
      </c>
      <c r="V133" s="40" t="str">
        <f aca="false">IFERROR(INDEX('CA Exclusion Map'!$E$2:$E$2001,MATCH($C133,'CA Exclusion Map'!$A$2:$A$2001,0)),"")</f>
        <v/>
      </c>
      <c r="W133" s="40" t="str">
        <f aca="false">IFERROR(INDEX('CA Exclusion Map'!$F$2:$F$2001,MATCH($C133,'CA Exclusion Map'!$A$2:$A$2001,0)),"")</f>
        <v/>
      </c>
      <c r="X133" s="36"/>
      <c r="Y133" s="37"/>
      <c r="Z133" s="38"/>
      <c r="AA133" s="38"/>
      <c r="AB133" s="39" t="str">
        <f aca="true">IF(T133="","",IF(T133&lt;&gt;"Yes","N/A",IF(AA133="","NO EXPIRY SET",IF(TODAY()&gt;AA133,"EXPIRED",IF(AA133-TODAY()&lt;=30,"Expiring Soon","Active")))))</f>
        <v/>
      </c>
      <c r="AC133" s="36"/>
      <c r="AD133" s="36"/>
      <c r="AE133" s="37"/>
      <c r="AF133" s="36"/>
      <c r="AG133" s="37"/>
      <c r="AH133" s="37"/>
      <c r="AI133" s="37"/>
      <c r="AJ133" s="37"/>
      <c r="AK133" s="38"/>
      <c r="AL133" s="37"/>
      <c r="AM133" s="37"/>
      <c r="AN133" s="41" t="str">
        <f aca="false">IF(AK133="","",AK133+90)</f>
        <v/>
      </c>
      <c r="AO133" s="39" t="str">
        <f aca="true">IF(C133="","",IF(AK133="","NOT REVIEWED",IF(TODAY()&gt;AN133,"OVERDUE",IF(AN133-TODAY()&lt;=14,"Due Soon","Current"))))</f>
        <v/>
      </c>
      <c r="AP133" s="36"/>
    </row>
    <row r="134" customFormat="false" ht="15" hidden="false" customHeight="false" outlineLevel="0" collapsed="false">
      <c r="A134" s="36"/>
      <c r="B134" s="36"/>
      <c r="C134" s="36"/>
      <c r="D134" s="37"/>
      <c r="E134" s="38"/>
      <c r="F134" s="38"/>
      <c r="G134" s="36"/>
      <c r="H134" s="37"/>
      <c r="I134" s="39" t="str">
        <f aca="true">IF(F134="","",TODAY()-F134)</f>
        <v/>
      </c>
      <c r="J134" s="40" t="str">
        <f aca="false">IFERROR(INDEX('Azure Resource Map'!$H$2:$H$2001,MATCH($C134,'Azure Resource Map'!$A$2:$A$2001,0)),"")</f>
        <v/>
      </c>
      <c r="K134" s="40" t="str">
        <f aca="false">IFERROR(INDEX('Azure Resource Map'!$I$2:$I$2001,MATCH($C134,'Azure Resource Map'!$A$2:$A$2001,0)),"")</f>
        <v/>
      </c>
      <c r="L134" s="39" t="str">
        <f aca="false">IFERROR(INDEX('Azure Resource Map'!$J$2:$J$2001,MATCH($C134,'Azure Resource Map'!$A$2:$A$2001,0)),"")</f>
        <v/>
      </c>
      <c r="M134" s="40" t="str">
        <f aca="false">IFERROR(INDEX('Azure Resource Map'!$K$2:$K$2001,MATCH($C134,'Azure Resource Map'!$A$2:$A$2001,0)),"")</f>
        <v/>
      </c>
      <c r="N134" s="39" t="str">
        <f aca="false">IFERROR(INDEX('Azure Resource Map'!$L$2:$L$2001,MATCH($C134,'Azure Resource Map'!$A$2:$A$2001,0)),"")</f>
        <v/>
      </c>
      <c r="O134" s="39" t="str">
        <f aca="false">IFERROR(INDEX('Azure Resource Map'!$M$2:$M$2001,MATCH($C134,'Azure Resource Map'!$A$2:$A$2001,0)),"")</f>
        <v/>
      </c>
      <c r="P134" s="40" t="str">
        <f aca="false">IFERROR(INDEX('Azure Resource Map'!$D$2:$D$2001,MATCH($C134,'Azure Resource Map'!$A$2:$A$2001,0)),"")</f>
        <v/>
      </c>
      <c r="Q134" s="39" t="str">
        <f aca="false">IFERROR(INDEX('Azure Resource Map'!$E$2:$E$2001,MATCH($C134,'Azure Resource Map'!$A$2:$A$2001,0)),"")</f>
        <v/>
      </c>
      <c r="R134" s="39" t="str">
        <f aca="false">IFERROR(INDEX('Azure Resource Map'!$F$2:$F$2001,MATCH($C134,'Azure Resource Map'!$A$2:$A$2001,0)),"")</f>
        <v/>
      </c>
      <c r="S134" s="37"/>
      <c r="T134" s="39" t="str">
        <f aca="false">IF($C134="","",IF(ISNUMBER(MATCH($C134,'CA Exclusion Map'!$A$2:$A$2001,0)),"Yes","No"))</f>
        <v/>
      </c>
      <c r="U134" s="39" t="str">
        <f aca="false">IFERROR(INDEX('CA Exclusion Map'!$D$2:$D$2001,MATCH($C134,'CA Exclusion Map'!$A$2:$A$2001,0)),"")</f>
        <v/>
      </c>
      <c r="V134" s="40" t="str">
        <f aca="false">IFERROR(INDEX('CA Exclusion Map'!$E$2:$E$2001,MATCH($C134,'CA Exclusion Map'!$A$2:$A$2001,0)),"")</f>
        <v/>
      </c>
      <c r="W134" s="40" t="str">
        <f aca="false">IFERROR(INDEX('CA Exclusion Map'!$F$2:$F$2001,MATCH($C134,'CA Exclusion Map'!$A$2:$A$2001,0)),"")</f>
        <v/>
      </c>
      <c r="X134" s="36"/>
      <c r="Y134" s="37"/>
      <c r="Z134" s="38"/>
      <c r="AA134" s="38"/>
      <c r="AB134" s="39" t="str">
        <f aca="true">IF(T134="","",IF(T134&lt;&gt;"Yes","N/A",IF(AA134="","NO EXPIRY SET",IF(TODAY()&gt;AA134,"EXPIRED",IF(AA134-TODAY()&lt;=30,"Expiring Soon","Active")))))</f>
        <v/>
      </c>
      <c r="AC134" s="36"/>
      <c r="AD134" s="36"/>
      <c r="AE134" s="37"/>
      <c r="AF134" s="36"/>
      <c r="AG134" s="37"/>
      <c r="AH134" s="37"/>
      <c r="AI134" s="37"/>
      <c r="AJ134" s="37"/>
      <c r="AK134" s="38"/>
      <c r="AL134" s="37"/>
      <c r="AM134" s="37"/>
      <c r="AN134" s="41" t="str">
        <f aca="false">IF(AK134="","",AK134+90)</f>
        <v/>
      </c>
      <c r="AO134" s="39" t="str">
        <f aca="true">IF(C134="","",IF(AK134="","NOT REVIEWED",IF(TODAY()&gt;AN134,"OVERDUE",IF(AN134-TODAY()&lt;=14,"Due Soon","Current"))))</f>
        <v/>
      </c>
      <c r="AP134" s="36"/>
    </row>
    <row r="135" customFormat="false" ht="15" hidden="false" customHeight="false" outlineLevel="0" collapsed="false">
      <c r="A135" s="36"/>
      <c r="B135" s="36"/>
      <c r="C135" s="36"/>
      <c r="D135" s="37"/>
      <c r="E135" s="38"/>
      <c r="F135" s="38"/>
      <c r="G135" s="36"/>
      <c r="H135" s="37"/>
      <c r="I135" s="39" t="str">
        <f aca="true">IF(F135="","",TODAY()-F135)</f>
        <v/>
      </c>
      <c r="J135" s="40" t="str">
        <f aca="false">IFERROR(INDEX('Azure Resource Map'!$H$2:$H$2001,MATCH($C135,'Azure Resource Map'!$A$2:$A$2001,0)),"")</f>
        <v/>
      </c>
      <c r="K135" s="40" t="str">
        <f aca="false">IFERROR(INDEX('Azure Resource Map'!$I$2:$I$2001,MATCH($C135,'Azure Resource Map'!$A$2:$A$2001,0)),"")</f>
        <v/>
      </c>
      <c r="L135" s="39" t="str">
        <f aca="false">IFERROR(INDEX('Azure Resource Map'!$J$2:$J$2001,MATCH($C135,'Azure Resource Map'!$A$2:$A$2001,0)),"")</f>
        <v/>
      </c>
      <c r="M135" s="40" t="str">
        <f aca="false">IFERROR(INDEX('Azure Resource Map'!$K$2:$K$2001,MATCH($C135,'Azure Resource Map'!$A$2:$A$2001,0)),"")</f>
        <v/>
      </c>
      <c r="N135" s="39" t="str">
        <f aca="false">IFERROR(INDEX('Azure Resource Map'!$L$2:$L$2001,MATCH($C135,'Azure Resource Map'!$A$2:$A$2001,0)),"")</f>
        <v/>
      </c>
      <c r="O135" s="39" t="str">
        <f aca="false">IFERROR(INDEX('Azure Resource Map'!$M$2:$M$2001,MATCH($C135,'Azure Resource Map'!$A$2:$A$2001,0)),"")</f>
        <v/>
      </c>
      <c r="P135" s="40" t="str">
        <f aca="false">IFERROR(INDEX('Azure Resource Map'!$D$2:$D$2001,MATCH($C135,'Azure Resource Map'!$A$2:$A$2001,0)),"")</f>
        <v/>
      </c>
      <c r="Q135" s="39" t="str">
        <f aca="false">IFERROR(INDEX('Azure Resource Map'!$E$2:$E$2001,MATCH($C135,'Azure Resource Map'!$A$2:$A$2001,0)),"")</f>
        <v/>
      </c>
      <c r="R135" s="39" t="str">
        <f aca="false">IFERROR(INDEX('Azure Resource Map'!$F$2:$F$2001,MATCH($C135,'Azure Resource Map'!$A$2:$A$2001,0)),"")</f>
        <v/>
      </c>
      <c r="S135" s="37"/>
      <c r="T135" s="39" t="str">
        <f aca="false">IF($C135="","",IF(ISNUMBER(MATCH($C135,'CA Exclusion Map'!$A$2:$A$2001,0)),"Yes","No"))</f>
        <v/>
      </c>
      <c r="U135" s="39" t="str">
        <f aca="false">IFERROR(INDEX('CA Exclusion Map'!$D$2:$D$2001,MATCH($C135,'CA Exclusion Map'!$A$2:$A$2001,0)),"")</f>
        <v/>
      </c>
      <c r="V135" s="40" t="str">
        <f aca="false">IFERROR(INDEX('CA Exclusion Map'!$E$2:$E$2001,MATCH($C135,'CA Exclusion Map'!$A$2:$A$2001,0)),"")</f>
        <v/>
      </c>
      <c r="W135" s="40" t="str">
        <f aca="false">IFERROR(INDEX('CA Exclusion Map'!$F$2:$F$2001,MATCH($C135,'CA Exclusion Map'!$A$2:$A$2001,0)),"")</f>
        <v/>
      </c>
      <c r="X135" s="36"/>
      <c r="Y135" s="37"/>
      <c r="Z135" s="38"/>
      <c r="AA135" s="38"/>
      <c r="AB135" s="39" t="str">
        <f aca="true">IF(T135="","",IF(T135&lt;&gt;"Yes","N/A",IF(AA135="","NO EXPIRY SET",IF(TODAY()&gt;AA135,"EXPIRED",IF(AA135-TODAY()&lt;=30,"Expiring Soon","Active")))))</f>
        <v/>
      </c>
      <c r="AC135" s="36"/>
      <c r="AD135" s="36"/>
      <c r="AE135" s="37"/>
      <c r="AF135" s="36"/>
      <c r="AG135" s="37"/>
      <c r="AH135" s="37"/>
      <c r="AI135" s="37"/>
      <c r="AJ135" s="37"/>
      <c r="AK135" s="38"/>
      <c r="AL135" s="37"/>
      <c r="AM135" s="37"/>
      <c r="AN135" s="41" t="str">
        <f aca="false">IF(AK135="","",AK135+90)</f>
        <v/>
      </c>
      <c r="AO135" s="39" t="str">
        <f aca="true">IF(C135="","",IF(AK135="","NOT REVIEWED",IF(TODAY()&gt;AN135,"OVERDUE",IF(AN135-TODAY()&lt;=14,"Due Soon","Current"))))</f>
        <v/>
      </c>
      <c r="AP135" s="36"/>
    </row>
    <row r="136" customFormat="false" ht="15" hidden="false" customHeight="false" outlineLevel="0" collapsed="false">
      <c r="A136" s="36"/>
      <c r="B136" s="36"/>
      <c r="C136" s="36"/>
      <c r="D136" s="37"/>
      <c r="E136" s="38"/>
      <c r="F136" s="38"/>
      <c r="G136" s="36"/>
      <c r="H136" s="37"/>
      <c r="I136" s="39" t="str">
        <f aca="true">IF(F136="","",TODAY()-F136)</f>
        <v/>
      </c>
      <c r="J136" s="40" t="str">
        <f aca="false">IFERROR(INDEX('Azure Resource Map'!$H$2:$H$2001,MATCH($C136,'Azure Resource Map'!$A$2:$A$2001,0)),"")</f>
        <v/>
      </c>
      <c r="K136" s="40" t="str">
        <f aca="false">IFERROR(INDEX('Azure Resource Map'!$I$2:$I$2001,MATCH($C136,'Azure Resource Map'!$A$2:$A$2001,0)),"")</f>
        <v/>
      </c>
      <c r="L136" s="39" t="str">
        <f aca="false">IFERROR(INDEX('Azure Resource Map'!$J$2:$J$2001,MATCH($C136,'Azure Resource Map'!$A$2:$A$2001,0)),"")</f>
        <v/>
      </c>
      <c r="M136" s="40" t="str">
        <f aca="false">IFERROR(INDEX('Azure Resource Map'!$K$2:$K$2001,MATCH($C136,'Azure Resource Map'!$A$2:$A$2001,0)),"")</f>
        <v/>
      </c>
      <c r="N136" s="39" t="str">
        <f aca="false">IFERROR(INDEX('Azure Resource Map'!$L$2:$L$2001,MATCH($C136,'Azure Resource Map'!$A$2:$A$2001,0)),"")</f>
        <v/>
      </c>
      <c r="O136" s="39" t="str">
        <f aca="false">IFERROR(INDEX('Azure Resource Map'!$M$2:$M$2001,MATCH($C136,'Azure Resource Map'!$A$2:$A$2001,0)),"")</f>
        <v/>
      </c>
      <c r="P136" s="40" t="str">
        <f aca="false">IFERROR(INDEX('Azure Resource Map'!$D$2:$D$2001,MATCH($C136,'Azure Resource Map'!$A$2:$A$2001,0)),"")</f>
        <v/>
      </c>
      <c r="Q136" s="39" t="str">
        <f aca="false">IFERROR(INDEX('Azure Resource Map'!$E$2:$E$2001,MATCH($C136,'Azure Resource Map'!$A$2:$A$2001,0)),"")</f>
        <v/>
      </c>
      <c r="R136" s="39" t="str">
        <f aca="false">IFERROR(INDEX('Azure Resource Map'!$F$2:$F$2001,MATCH($C136,'Azure Resource Map'!$A$2:$A$2001,0)),"")</f>
        <v/>
      </c>
      <c r="S136" s="37"/>
      <c r="T136" s="39" t="str">
        <f aca="false">IF($C136="","",IF(ISNUMBER(MATCH($C136,'CA Exclusion Map'!$A$2:$A$2001,0)),"Yes","No"))</f>
        <v/>
      </c>
      <c r="U136" s="39" t="str">
        <f aca="false">IFERROR(INDEX('CA Exclusion Map'!$D$2:$D$2001,MATCH($C136,'CA Exclusion Map'!$A$2:$A$2001,0)),"")</f>
        <v/>
      </c>
      <c r="V136" s="40" t="str">
        <f aca="false">IFERROR(INDEX('CA Exclusion Map'!$E$2:$E$2001,MATCH($C136,'CA Exclusion Map'!$A$2:$A$2001,0)),"")</f>
        <v/>
      </c>
      <c r="W136" s="40" t="str">
        <f aca="false">IFERROR(INDEX('CA Exclusion Map'!$F$2:$F$2001,MATCH($C136,'CA Exclusion Map'!$A$2:$A$2001,0)),"")</f>
        <v/>
      </c>
      <c r="X136" s="36"/>
      <c r="Y136" s="37"/>
      <c r="Z136" s="38"/>
      <c r="AA136" s="38"/>
      <c r="AB136" s="39" t="str">
        <f aca="true">IF(T136="","",IF(T136&lt;&gt;"Yes","N/A",IF(AA136="","NO EXPIRY SET",IF(TODAY()&gt;AA136,"EXPIRED",IF(AA136-TODAY()&lt;=30,"Expiring Soon","Active")))))</f>
        <v/>
      </c>
      <c r="AC136" s="36"/>
      <c r="AD136" s="36"/>
      <c r="AE136" s="37"/>
      <c r="AF136" s="36"/>
      <c r="AG136" s="37"/>
      <c r="AH136" s="37"/>
      <c r="AI136" s="37"/>
      <c r="AJ136" s="37"/>
      <c r="AK136" s="38"/>
      <c r="AL136" s="37"/>
      <c r="AM136" s="37"/>
      <c r="AN136" s="41" t="str">
        <f aca="false">IF(AK136="","",AK136+90)</f>
        <v/>
      </c>
      <c r="AO136" s="39" t="str">
        <f aca="true">IF(C136="","",IF(AK136="","NOT REVIEWED",IF(TODAY()&gt;AN136,"OVERDUE",IF(AN136-TODAY()&lt;=14,"Due Soon","Current"))))</f>
        <v/>
      </c>
      <c r="AP136" s="36"/>
    </row>
    <row r="137" customFormat="false" ht="15" hidden="false" customHeight="false" outlineLevel="0" collapsed="false">
      <c r="A137" s="36"/>
      <c r="B137" s="36"/>
      <c r="C137" s="36"/>
      <c r="D137" s="37"/>
      <c r="E137" s="38"/>
      <c r="F137" s="38"/>
      <c r="G137" s="36"/>
      <c r="H137" s="37"/>
      <c r="I137" s="39" t="str">
        <f aca="true">IF(F137="","",TODAY()-F137)</f>
        <v/>
      </c>
      <c r="J137" s="40" t="str">
        <f aca="false">IFERROR(INDEX('Azure Resource Map'!$H$2:$H$2001,MATCH($C137,'Azure Resource Map'!$A$2:$A$2001,0)),"")</f>
        <v/>
      </c>
      <c r="K137" s="40" t="str">
        <f aca="false">IFERROR(INDEX('Azure Resource Map'!$I$2:$I$2001,MATCH($C137,'Azure Resource Map'!$A$2:$A$2001,0)),"")</f>
        <v/>
      </c>
      <c r="L137" s="39" t="str">
        <f aca="false">IFERROR(INDEX('Azure Resource Map'!$J$2:$J$2001,MATCH($C137,'Azure Resource Map'!$A$2:$A$2001,0)),"")</f>
        <v/>
      </c>
      <c r="M137" s="40" t="str">
        <f aca="false">IFERROR(INDEX('Azure Resource Map'!$K$2:$K$2001,MATCH($C137,'Azure Resource Map'!$A$2:$A$2001,0)),"")</f>
        <v/>
      </c>
      <c r="N137" s="39" t="str">
        <f aca="false">IFERROR(INDEX('Azure Resource Map'!$L$2:$L$2001,MATCH($C137,'Azure Resource Map'!$A$2:$A$2001,0)),"")</f>
        <v/>
      </c>
      <c r="O137" s="39" t="str">
        <f aca="false">IFERROR(INDEX('Azure Resource Map'!$M$2:$M$2001,MATCH($C137,'Azure Resource Map'!$A$2:$A$2001,0)),"")</f>
        <v/>
      </c>
      <c r="P137" s="40" t="str">
        <f aca="false">IFERROR(INDEX('Azure Resource Map'!$D$2:$D$2001,MATCH($C137,'Azure Resource Map'!$A$2:$A$2001,0)),"")</f>
        <v/>
      </c>
      <c r="Q137" s="39" t="str">
        <f aca="false">IFERROR(INDEX('Azure Resource Map'!$E$2:$E$2001,MATCH($C137,'Azure Resource Map'!$A$2:$A$2001,0)),"")</f>
        <v/>
      </c>
      <c r="R137" s="39" t="str">
        <f aca="false">IFERROR(INDEX('Azure Resource Map'!$F$2:$F$2001,MATCH($C137,'Azure Resource Map'!$A$2:$A$2001,0)),"")</f>
        <v/>
      </c>
      <c r="S137" s="37"/>
      <c r="T137" s="39" t="str">
        <f aca="false">IF($C137="","",IF(ISNUMBER(MATCH($C137,'CA Exclusion Map'!$A$2:$A$2001,0)),"Yes","No"))</f>
        <v/>
      </c>
      <c r="U137" s="39" t="str">
        <f aca="false">IFERROR(INDEX('CA Exclusion Map'!$D$2:$D$2001,MATCH($C137,'CA Exclusion Map'!$A$2:$A$2001,0)),"")</f>
        <v/>
      </c>
      <c r="V137" s="40" t="str">
        <f aca="false">IFERROR(INDEX('CA Exclusion Map'!$E$2:$E$2001,MATCH($C137,'CA Exclusion Map'!$A$2:$A$2001,0)),"")</f>
        <v/>
      </c>
      <c r="W137" s="40" t="str">
        <f aca="false">IFERROR(INDEX('CA Exclusion Map'!$F$2:$F$2001,MATCH($C137,'CA Exclusion Map'!$A$2:$A$2001,0)),"")</f>
        <v/>
      </c>
      <c r="X137" s="36"/>
      <c r="Y137" s="37"/>
      <c r="Z137" s="38"/>
      <c r="AA137" s="38"/>
      <c r="AB137" s="39" t="str">
        <f aca="true">IF(T137="","",IF(T137&lt;&gt;"Yes","N/A",IF(AA137="","NO EXPIRY SET",IF(TODAY()&gt;AA137,"EXPIRED",IF(AA137-TODAY()&lt;=30,"Expiring Soon","Active")))))</f>
        <v/>
      </c>
      <c r="AC137" s="36"/>
      <c r="AD137" s="36"/>
      <c r="AE137" s="37"/>
      <c r="AF137" s="36"/>
      <c r="AG137" s="37"/>
      <c r="AH137" s="37"/>
      <c r="AI137" s="37"/>
      <c r="AJ137" s="37"/>
      <c r="AK137" s="38"/>
      <c r="AL137" s="37"/>
      <c r="AM137" s="37"/>
      <c r="AN137" s="41" t="str">
        <f aca="false">IF(AK137="","",AK137+90)</f>
        <v/>
      </c>
      <c r="AO137" s="39" t="str">
        <f aca="true">IF(C137="","",IF(AK137="","NOT REVIEWED",IF(TODAY()&gt;AN137,"OVERDUE",IF(AN137-TODAY()&lt;=14,"Due Soon","Current"))))</f>
        <v/>
      </c>
      <c r="AP137" s="36"/>
    </row>
    <row r="138" customFormat="false" ht="15" hidden="false" customHeight="false" outlineLevel="0" collapsed="false">
      <c r="A138" s="36"/>
      <c r="B138" s="36"/>
      <c r="C138" s="36"/>
      <c r="D138" s="37"/>
      <c r="E138" s="38"/>
      <c r="F138" s="38"/>
      <c r="G138" s="36"/>
      <c r="H138" s="37"/>
      <c r="I138" s="39" t="str">
        <f aca="true">IF(F138="","",TODAY()-F138)</f>
        <v/>
      </c>
      <c r="J138" s="40" t="str">
        <f aca="false">IFERROR(INDEX('Azure Resource Map'!$H$2:$H$2001,MATCH($C138,'Azure Resource Map'!$A$2:$A$2001,0)),"")</f>
        <v/>
      </c>
      <c r="K138" s="40" t="str">
        <f aca="false">IFERROR(INDEX('Azure Resource Map'!$I$2:$I$2001,MATCH($C138,'Azure Resource Map'!$A$2:$A$2001,0)),"")</f>
        <v/>
      </c>
      <c r="L138" s="39" t="str">
        <f aca="false">IFERROR(INDEX('Azure Resource Map'!$J$2:$J$2001,MATCH($C138,'Azure Resource Map'!$A$2:$A$2001,0)),"")</f>
        <v/>
      </c>
      <c r="M138" s="40" t="str">
        <f aca="false">IFERROR(INDEX('Azure Resource Map'!$K$2:$K$2001,MATCH($C138,'Azure Resource Map'!$A$2:$A$2001,0)),"")</f>
        <v/>
      </c>
      <c r="N138" s="39" t="str">
        <f aca="false">IFERROR(INDEX('Azure Resource Map'!$L$2:$L$2001,MATCH($C138,'Azure Resource Map'!$A$2:$A$2001,0)),"")</f>
        <v/>
      </c>
      <c r="O138" s="39" t="str">
        <f aca="false">IFERROR(INDEX('Azure Resource Map'!$M$2:$M$2001,MATCH($C138,'Azure Resource Map'!$A$2:$A$2001,0)),"")</f>
        <v/>
      </c>
      <c r="P138" s="40" t="str">
        <f aca="false">IFERROR(INDEX('Azure Resource Map'!$D$2:$D$2001,MATCH($C138,'Azure Resource Map'!$A$2:$A$2001,0)),"")</f>
        <v/>
      </c>
      <c r="Q138" s="39" t="str">
        <f aca="false">IFERROR(INDEX('Azure Resource Map'!$E$2:$E$2001,MATCH($C138,'Azure Resource Map'!$A$2:$A$2001,0)),"")</f>
        <v/>
      </c>
      <c r="R138" s="39" t="str">
        <f aca="false">IFERROR(INDEX('Azure Resource Map'!$F$2:$F$2001,MATCH($C138,'Azure Resource Map'!$A$2:$A$2001,0)),"")</f>
        <v/>
      </c>
      <c r="S138" s="37"/>
      <c r="T138" s="39" t="str">
        <f aca="false">IF($C138="","",IF(ISNUMBER(MATCH($C138,'CA Exclusion Map'!$A$2:$A$2001,0)),"Yes","No"))</f>
        <v/>
      </c>
      <c r="U138" s="39" t="str">
        <f aca="false">IFERROR(INDEX('CA Exclusion Map'!$D$2:$D$2001,MATCH($C138,'CA Exclusion Map'!$A$2:$A$2001,0)),"")</f>
        <v/>
      </c>
      <c r="V138" s="40" t="str">
        <f aca="false">IFERROR(INDEX('CA Exclusion Map'!$E$2:$E$2001,MATCH($C138,'CA Exclusion Map'!$A$2:$A$2001,0)),"")</f>
        <v/>
      </c>
      <c r="W138" s="40" t="str">
        <f aca="false">IFERROR(INDEX('CA Exclusion Map'!$F$2:$F$2001,MATCH($C138,'CA Exclusion Map'!$A$2:$A$2001,0)),"")</f>
        <v/>
      </c>
      <c r="X138" s="36"/>
      <c r="Y138" s="37"/>
      <c r="Z138" s="38"/>
      <c r="AA138" s="38"/>
      <c r="AB138" s="39" t="str">
        <f aca="true">IF(T138="","",IF(T138&lt;&gt;"Yes","N/A",IF(AA138="","NO EXPIRY SET",IF(TODAY()&gt;AA138,"EXPIRED",IF(AA138-TODAY()&lt;=30,"Expiring Soon","Active")))))</f>
        <v/>
      </c>
      <c r="AC138" s="36"/>
      <c r="AD138" s="36"/>
      <c r="AE138" s="37"/>
      <c r="AF138" s="36"/>
      <c r="AG138" s="37"/>
      <c r="AH138" s="37"/>
      <c r="AI138" s="37"/>
      <c r="AJ138" s="37"/>
      <c r="AK138" s="38"/>
      <c r="AL138" s="37"/>
      <c r="AM138" s="37"/>
      <c r="AN138" s="41" t="str">
        <f aca="false">IF(AK138="","",AK138+90)</f>
        <v/>
      </c>
      <c r="AO138" s="39" t="str">
        <f aca="true">IF(C138="","",IF(AK138="","NOT REVIEWED",IF(TODAY()&gt;AN138,"OVERDUE",IF(AN138-TODAY()&lt;=14,"Due Soon","Current"))))</f>
        <v/>
      </c>
      <c r="AP138" s="36"/>
    </row>
    <row r="139" customFormat="false" ht="15" hidden="false" customHeight="false" outlineLevel="0" collapsed="false">
      <c r="A139" s="36"/>
      <c r="B139" s="36"/>
      <c r="C139" s="36"/>
      <c r="D139" s="37"/>
      <c r="E139" s="38"/>
      <c r="F139" s="38"/>
      <c r="G139" s="36"/>
      <c r="H139" s="37"/>
      <c r="I139" s="39" t="str">
        <f aca="true">IF(F139="","",TODAY()-F139)</f>
        <v/>
      </c>
      <c r="J139" s="40" t="str">
        <f aca="false">IFERROR(INDEX('Azure Resource Map'!$H$2:$H$2001,MATCH($C139,'Azure Resource Map'!$A$2:$A$2001,0)),"")</f>
        <v/>
      </c>
      <c r="K139" s="40" t="str">
        <f aca="false">IFERROR(INDEX('Azure Resource Map'!$I$2:$I$2001,MATCH($C139,'Azure Resource Map'!$A$2:$A$2001,0)),"")</f>
        <v/>
      </c>
      <c r="L139" s="39" t="str">
        <f aca="false">IFERROR(INDEX('Azure Resource Map'!$J$2:$J$2001,MATCH($C139,'Azure Resource Map'!$A$2:$A$2001,0)),"")</f>
        <v/>
      </c>
      <c r="M139" s="40" t="str">
        <f aca="false">IFERROR(INDEX('Azure Resource Map'!$K$2:$K$2001,MATCH($C139,'Azure Resource Map'!$A$2:$A$2001,0)),"")</f>
        <v/>
      </c>
      <c r="N139" s="39" t="str">
        <f aca="false">IFERROR(INDEX('Azure Resource Map'!$L$2:$L$2001,MATCH($C139,'Azure Resource Map'!$A$2:$A$2001,0)),"")</f>
        <v/>
      </c>
      <c r="O139" s="39" t="str">
        <f aca="false">IFERROR(INDEX('Azure Resource Map'!$M$2:$M$2001,MATCH($C139,'Azure Resource Map'!$A$2:$A$2001,0)),"")</f>
        <v/>
      </c>
      <c r="P139" s="40" t="str">
        <f aca="false">IFERROR(INDEX('Azure Resource Map'!$D$2:$D$2001,MATCH($C139,'Azure Resource Map'!$A$2:$A$2001,0)),"")</f>
        <v/>
      </c>
      <c r="Q139" s="39" t="str">
        <f aca="false">IFERROR(INDEX('Azure Resource Map'!$E$2:$E$2001,MATCH($C139,'Azure Resource Map'!$A$2:$A$2001,0)),"")</f>
        <v/>
      </c>
      <c r="R139" s="39" t="str">
        <f aca="false">IFERROR(INDEX('Azure Resource Map'!$F$2:$F$2001,MATCH($C139,'Azure Resource Map'!$A$2:$A$2001,0)),"")</f>
        <v/>
      </c>
      <c r="S139" s="37"/>
      <c r="T139" s="39" t="str">
        <f aca="false">IF($C139="","",IF(ISNUMBER(MATCH($C139,'CA Exclusion Map'!$A$2:$A$2001,0)),"Yes","No"))</f>
        <v/>
      </c>
      <c r="U139" s="39" t="str">
        <f aca="false">IFERROR(INDEX('CA Exclusion Map'!$D$2:$D$2001,MATCH($C139,'CA Exclusion Map'!$A$2:$A$2001,0)),"")</f>
        <v/>
      </c>
      <c r="V139" s="40" t="str">
        <f aca="false">IFERROR(INDEX('CA Exclusion Map'!$E$2:$E$2001,MATCH($C139,'CA Exclusion Map'!$A$2:$A$2001,0)),"")</f>
        <v/>
      </c>
      <c r="W139" s="40" t="str">
        <f aca="false">IFERROR(INDEX('CA Exclusion Map'!$F$2:$F$2001,MATCH($C139,'CA Exclusion Map'!$A$2:$A$2001,0)),"")</f>
        <v/>
      </c>
      <c r="X139" s="36"/>
      <c r="Y139" s="37"/>
      <c r="Z139" s="38"/>
      <c r="AA139" s="38"/>
      <c r="AB139" s="39" t="str">
        <f aca="true">IF(T139="","",IF(T139&lt;&gt;"Yes","N/A",IF(AA139="","NO EXPIRY SET",IF(TODAY()&gt;AA139,"EXPIRED",IF(AA139-TODAY()&lt;=30,"Expiring Soon","Active")))))</f>
        <v/>
      </c>
      <c r="AC139" s="36"/>
      <c r="AD139" s="36"/>
      <c r="AE139" s="37"/>
      <c r="AF139" s="36"/>
      <c r="AG139" s="37"/>
      <c r="AH139" s="37"/>
      <c r="AI139" s="37"/>
      <c r="AJ139" s="37"/>
      <c r="AK139" s="38"/>
      <c r="AL139" s="37"/>
      <c r="AM139" s="37"/>
      <c r="AN139" s="41" t="str">
        <f aca="false">IF(AK139="","",AK139+90)</f>
        <v/>
      </c>
      <c r="AO139" s="39" t="str">
        <f aca="true">IF(C139="","",IF(AK139="","NOT REVIEWED",IF(TODAY()&gt;AN139,"OVERDUE",IF(AN139-TODAY()&lt;=14,"Due Soon","Current"))))</f>
        <v/>
      </c>
      <c r="AP139" s="36"/>
    </row>
    <row r="140" customFormat="false" ht="15" hidden="false" customHeight="false" outlineLevel="0" collapsed="false">
      <c r="A140" s="36"/>
      <c r="B140" s="36"/>
      <c r="C140" s="36"/>
      <c r="D140" s="37"/>
      <c r="E140" s="38"/>
      <c r="F140" s="38"/>
      <c r="G140" s="36"/>
      <c r="H140" s="37"/>
      <c r="I140" s="39" t="str">
        <f aca="true">IF(F140="","",TODAY()-F140)</f>
        <v/>
      </c>
      <c r="J140" s="40" t="str">
        <f aca="false">IFERROR(INDEX('Azure Resource Map'!$H$2:$H$2001,MATCH($C140,'Azure Resource Map'!$A$2:$A$2001,0)),"")</f>
        <v/>
      </c>
      <c r="K140" s="40" t="str">
        <f aca="false">IFERROR(INDEX('Azure Resource Map'!$I$2:$I$2001,MATCH($C140,'Azure Resource Map'!$A$2:$A$2001,0)),"")</f>
        <v/>
      </c>
      <c r="L140" s="39" t="str">
        <f aca="false">IFERROR(INDEX('Azure Resource Map'!$J$2:$J$2001,MATCH($C140,'Azure Resource Map'!$A$2:$A$2001,0)),"")</f>
        <v/>
      </c>
      <c r="M140" s="40" t="str">
        <f aca="false">IFERROR(INDEX('Azure Resource Map'!$K$2:$K$2001,MATCH($C140,'Azure Resource Map'!$A$2:$A$2001,0)),"")</f>
        <v/>
      </c>
      <c r="N140" s="39" t="str">
        <f aca="false">IFERROR(INDEX('Azure Resource Map'!$L$2:$L$2001,MATCH($C140,'Azure Resource Map'!$A$2:$A$2001,0)),"")</f>
        <v/>
      </c>
      <c r="O140" s="39" t="str">
        <f aca="false">IFERROR(INDEX('Azure Resource Map'!$M$2:$M$2001,MATCH($C140,'Azure Resource Map'!$A$2:$A$2001,0)),"")</f>
        <v/>
      </c>
      <c r="P140" s="40" t="str">
        <f aca="false">IFERROR(INDEX('Azure Resource Map'!$D$2:$D$2001,MATCH($C140,'Azure Resource Map'!$A$2:$A$2001,0)),"")</f>
        <v/>
      </c>
      <c r="Q140" s="39" t="str">
        <f aca="false">IFERROR(INDEX('Azure Resource Map'!$E$2:$E$2001,MATCH($C140,'Azure Resource Map'!$A$2:$A$2001,0)),"")</f>
        <v/>
      </c>
      <c r="R140" s="39" t="str">
        <f aca="false">IFERROR(INDEX('Azure Resource Map'!$F$2:$F$2001,MATCH($C140,'Azure Resource Map'!$A$2:$A$2001,0)),"")</f>
        <v/>
      </c>
      <c r="S140" s="37"/>
      <c r="T140" s="39" t="str">
        <f aca="false">IF($C140="","",IF(ISNUMBER(MATCH($C140,'CA Exclusion Map'!$A$2:$A$2001,0)),"Yes","No"))</f>
        <v/>
      </c>
      <c r="U140" s="39" t="str">
        <f aca="false">IFERROR(INDEX('CA Exclusion Map'!$D$2:$D$2001,MATCH($C140,'CA Exclusion Map'!$A$2:$A$2001,0)),"")</f>
        <v/>
      </c>
      <c r="V140" s="40" t="str">
        <f aca="false">IFERROR(INDEX('CA Exclusion Map'!$E$2:$E$2001,MATCH($C140,'CA Exclusion Map'!$A$2:$A$2001,0)),"")</f>
        <v/>
      </c>
      <c r="W140" s="40" t="str">
        <f aca="false">IFERROR(INDEX('CA Exclusion Map'!$F$2:$F$2001,MATCH($C140,'CA Exclusion Map'!$A$2:$A$2001,0)),"")</f>
        <v/>
      </c>
      <c r="X140" s="36"/>
      <c r="Y140" s="37"/>
      <c r="Z140" s="38"/>
      <c r="AA140" s="38"/>
      <c r="AB140" s="39" t="str">
        <f aca="true">IF(T140="","",IF(T140&lt;&gt;"Yes","N/A",IF(AA140="","NO EXPIRY SET",IF(TODAY()&gt;AA140,"EXPIRED",IF(AA140-TODAY()&lt;=30,"Expiring Soon","Active")))))</f>
        <v/>
      </c>
      <c r="AC140" s="36"/>
      <c r="AD140" s="36"/>
      <c r="AE140" s="37"/>
      <c r="AF140" s="36"/>
      <c r="AG140" s="37"/>
      <c r="AH140" s="37"/>
      <c r="AI140" s="37"/>
      <c r="AJ140" s="37"/>
      <c r="AK140" s="38"/>
      <c r="AL140" s="37"/>
      <c r="AM140" s="37"/>
      <c r="AN140" s="41" t="str">
        <f aca="false">IF(AK140="","",AK140+90)</f>
        <v/>
      </c>
      <c r="AO140" s="39" t="str">
        <f aca="true">IF(C140="","",IF(AK140="","NOT REVIEWED",IF(TODAY()&gt;AN140,"OVERDUE",IF(AN140-TODAY()&lt;=14,"Due Soon","Current"))))</f>
        <v/>
      </c>
      <c r="AP140" s="36"/>
    </row>
    <row r="141" customFormat="false" ht="15" hidden="false" customHeight="false" outlineLevel="0" collapsed="false">
      <c r="A141" s="36"/>
      <c r="B141" s="36"/>
      <c r="C141" s="36"/>
      <c r="D141" s="37"/>
      <c r="E141" s="38"/>
      <c r="F141" s="38"/>
      <c r="G141" s="36"/>
      <c r="H141" s="37"/>
      <c r="I141" s="39" t="str">
        <f aca="true">IF(F141="","",TODAY()-F141)</f>
        <v/>
      </c>
      <c r="J141" s="40" t="str">
        <f aca="false">IFERROR(INDEX('Azure Resource Map'!$H$2:$H$2001,MATCH($C141,'Azure Resource Map'!$A$2:$A$2001,0)),"")</f>
        <v/>
      </c>
      <c r="K141" s="40" t="str">
        <f aca="false">IFERROR(INDEX('Azure Resource Map'!$I$2:$I$2001,MATCH($C141,'Azure Resource Map'!$A$2:$A$2001,0)),"")</f>
        <v/>
      </c>
      <c r="L141" s="39" t="str">
        <f aca="false">IFERROR(INDEX('Azure Resource Map'!$J$2:$J$2001,MATCH($C141,'Azure Resource Map'!$A$2:$A$2001,0)),"")</f>
        <v/>
      </c>
      <c r="M141" s="40" t="str">
        <f aca="false">IFERROR(INDEX('Azure Resource Map'!$K$2:$K$2001,MATCH($C141,'Azure Resource Map'!$A$2:$A$2001,0)),"")</f>
        <v/>
      </c>
      <c r="N141" s="39" t="str">
        <f aca="false">IFERROR(INDEX('Azure Resource Map'!$L$2:$L$2001,MATCH($C141,'Azure Resource Map'!$A$2:$A$2001,0)),"")</f>
        <v/>
      </c>
      <c r="O141" s="39" t="str">
        <f aca="false">IFERROR(INDEX('Azure Resource Map'!$M$2:$M$2001,MATCH($C141,'Azure Resource Map'!$A$2:$A$2001,0)),"")</f>
        <v/>
      </c>
      <c r="P141" s="40" t="str">
        <f aca="false">IFERROR(INDEX('Azure Resource Map'!$D$2:$D$2001,MATCH($C141,'Azure Resource Map'!$A$2:$A$2001,0)),"")</f>
        <v/>
      </c>
      <c r="Q141" s="39" t="str">
        <f aca="false">IFERROR(INDEX('Azure Resource Map'!$E$2:$E$2001,MATCH($C141,'Azure Resource Map'!$A$2:$A$2001,0)),"")</f>
        <v/>
      </c>
      <c r="R141" s="39" t="str">
        <f aca="false">IFERROR(INDEX('Azure Resource Map'!$F$2:$F$2001,MATCH($C141,'Azure Resource Map'!$A$2:$A$2001,0)),"")</f>
        <v/>
      </c>
      <c r="S141" s="37"/>
      <c r="T141" s="39" t="str">
        <f aca="false">IF($C141="","",IF(ISNUMBER(MATCH($C141,'CA Exclusion Map'!$A$2:$A$2001,0)),"Yes","No"))</f>
        <v/>
      </c>
      <c r="U141" s="39" t="str">
        <f aca="false">IFERROR(INDEX('CA Exclusion Map'!$D$2:$D$2001,MATCH($C141,'CA Exclusion Map'!$A$2:$A$2001,0)),"")</f>
        <v/>
      </c>
      <c r="V141" s="40" t="str">
        <f aca="false">IFERROR(INDEX('CA Exclusion Map'!$E$2:$E$2001,MATCH($C141,'CA Exclusion Map'!$A$2:$A$2001,0)),"")</f>
        <v/>
      </c>
      <c r="W141" s="40" t="str">
        <f aca="false">IFERROR(INDEX('CA Exclusion Map'!$F$2:$F$2001,MATCH($C141,'CA Exclusion Map'!$A$2:$A$2001,0)),"")</f>
        <v/>
      </c>
      <c r="X141" s="36"/>
      <c r="Y141" s="37"/>
      <c r="Z141" s="38"/>
      <c r="AA141" s="38"/>
      <c r="AB141" s="39" t="str">
        <f aca="true">IF(T141="","",IF(T141&lt;&gt;"Yes","N/A",IF(AA141="","NO EXPIRY SET",IF(TODAY()&gt;AA141,"EXPIRED",IF(AA141-TODAY()&lt;=30,"Expiring Soon","Active")))))</f>
        <v/>
      </c>
      <c r="AC141" s="36"/>
      <c r="AD141" s="36"/>
      <c r="AE141" s="37"/>
      <c r="AF141" s="36"/>
      <c r="AG141" s="37"/>
      <c r="AH141" s="37"/>
      <c r="AI141" s="37"/>
      <c r="AJ141" s="37"/>
      <c r="AK141" s="38"/>
      <c r="AL141" s="37"/>
      <c r="AM141" s="37"/>
      <c r="AN141" s="41" t="str">
        <f aca="false">IF(AK141="","",AK141+90)</f>
        <v/>
      </c>
      <c r="AO141" s="39" t="str">
        <f aca="true">IF(C141="","",IF(AK141="","NOT REVIEWED",IF(TODAY()&gt;AN141,"OVERDUE",IF(AN141-TODAY()&lt;=14,"Due Soon","Current"))))</f>
        <v/>
      </c>
      <c r="AP141" s="36"/>
    </row>
    <row r="142" customFormat="false" ht="15" hidden="false" customHeight="false" outlineLevel="0" collapsed="false">
      <c r="A142" s="36"/>
      <c r="B142" s="36"/>
      <c r="C142" s="36"/>
      <c r="D142" s="37"/>
      <c r="E142" s="38"/>
      <c r="F142" s="38"/>
      <c r="G142" s="36"/>
      <c r="H142" s="37"/>
      <c r="I142" s="39" t="str">
        <f aca="true">IF(F142="","",TODAY()-F142)</f>
        <v/>
      </c>
      <c r="J142" s="40" t="str">
        <f aca="false">IFERROR(INDEX('Azure Resource Map'!$H$2:$H$2001,MATCH($C142,'Azure Resource Map'!$A$2:$A$2001,0)),"")</f>
        <v/>
      </c>
      <c r="K142" s="40" t="str">
        <f aca="false">IFERROR(INDEX('Azure Resource Map'!$I$2:$I$2001,MATCH($C142,'Azure Resource Map'!$A$2:$A$2001,0)),"")</f>
        <v/>
      </c>
      <c r="L142" s="39" t="str">
        <f aca="false">IFERROR(INDEX('Azure Resource Map'!$J$2:$J$2001,MATCH($C142,'Azure Resource Map'!$A$2:$A$2001,0)),"")</f>
        <v/>
      </c>
      <c r="M142" s="40" t="str">
        <f aca="false">IFERROR(INDEX('Azure Resource Map'!$K$2:$K$2001,MATCH($C142,'Azure Resource Map'!$A$2:$A$2001,0)),"")</f>
        <v/>
      </c>
      <c r="N142" s="39" t="str">
        <f aca="false">IFERROR(INDEX('Azure Resource Map'!$L$2:$L$2001,MATCH($C142,'Azure Resource Map'!$A$2:$A$2001,0)),"")</f>
        <v/>
      </c>
      <c r="O142" s="39" t="str">
        <f aca="false">IFERROR(INDEX('Azure Resource Map'!$M$2:$M$2001,MATCH($C142,'Azure Resource Map'!$A$2:$A$2001,0)),"")</f>
        <v/>
      </c>
      <c r="P142" s="40" t="str">
        <f aca="false">IFERROR(INDEX('Azure Resource Map'!$D$2:$D$2001,MATCH($C142,'Azure Resource Map'!$A$2:$A$2001,0)),"")</f>
        <v/>
      </c>
      <c r="Q142" s="39" t="str">
        <f aca="false">IFERROR(INDEX('Azure Resource Map'!$E$2:$E$2001,MATCH($C142,'Azure Resource Map'!$A$2:$A$2001,0)),"")</f>
        <v/>
      </c>
      <c r="R142" s="39" t="str">
        <f aca="false">IFERROR(INDEX('Azure Resource Map'!$F$2:$F$2001,MATCH($C142,'Azure Resource Map'!$A$2:$A$2001,0)),"")</f>
        <v/>
      </c>
      <c r="S142" s="37"/>
      <c r="T142" s="39" t="str">
        <f aca="false">IF($C142="","",IF(ISNUMBER(MATCH($C142,'CA Exclusion Map'!$A$2:$A$2001,0)),"Yes","No"))</f>
        <v/>
      </c>
      <c r="U142" s="39" t="str">
        <f aca="false">IFERROR(INDEX('CA Exclusion Map'!$D$2:$D$2001,MATCH($C142,'CA Exclusion Map'!$A$2:$A$2001,0)),"")</f>
        <v/>
      </c>
      <c r="V142" s="40" t="str">
        <f aca="false">IFERROR(INDEX('CA Exclusion Map'!$E$2:$E$2001,MATCH($C142,'CA Exclusion Map'!$A$2:$A$2001,0)),"")</f>
        <v/>
      </c>
      <c r="W142" s="40" t="str">
        <f aca="false">IFERROR(INDEX('CA Exclusion Map'!$F$2:$F$2001,MATCH($C142,'CA Exclusion Map'!$A$2:$A$2001,0)),"")</f>
        <v/>
      </c>
      <c r="X142" s="36"/>
      <c r="Y142" s="37"/>
      <c r="Z142" s="38"/>
      <c r="AA142" s="38"/>
      <c r="AB142" s="39" t="str">
        <f aca="true">IF(T142="","",IF(T142&lt;&gt;"Yes","N/A",IF(AA142="","NO EXPIRY SET",IF(TODAY()&gt;AA142,"EXPIRED",IF(AA142-TODAY()&lt;=30,"Expiring Soon","Active")))))</f>
        <v/>
      </c>
      <c r="AC142" s="36"/>
      <c r="AD142" s="36"/>
      <c r="AE142" s="37"/>
      <c r="AF142" s="36"/>
      <c r="AG142" s="37"/>
      <c r="AH142" s="37"/>
      <c r="AI142" s="37"/>
      <c r="AJ142" s="37"/>
      <c r="AK142" s="38"/>
      <c r="AL142" s="37"/>
      <c r="AM142" s="37"/>
      <c r="AN142" s="41" t="str">
        <f aca="false">IF(AK142="","",AK142+90)</f>
        <v/>
      </c>
      <c r="AO142" s="39" t="str">
        <f aca="true">IF(C142="","",IF(AK142="","NOT REVIEWED",IF(TODAY()&gt;AN142,"OVERDUE",IF(AN142-TODAY()&lt;=14,"Due Soon","Current"))))</f>
        <v/>
      </c>
      <c r="AP142" s="36"/>
    </row>
    <row r="143" customFormat="false" ht="15" hidden="false" customHeight="false" outlineLevel="0" collapsed="false">
      <c r="A143" s="36"/>
      <c r="B143" s="36"/>
      <c r="C143" s="36"/>
      <c r="D143" s="37"/>
      <c r="E143" s="38"/>
      <c r="F143" s="38"/>
      <c r="G143" s="36"/>
      <c r="H143" s="37"/>
      <c r="I143" s="39" t="str">
        <f aca="true">IF(F143="","",TODAY()-F143)</f>
        <v/>
      </c>
      <c r="J143" s="40" t="str">
        <f aca="false">IFERROR(INDEX('Azure Resource Map'!$H$2:$H$2001,MATCH($C143,'Azure Resource Map'!$A$2:$A$2001,0)),"")</f>
        <v/>
      </c>
      <c r="K143" s="40" t="str">
        <f aca="false">IFERROR(INDEX('Azure Resource Map'!$I$2:$I$2001,MATCH($C143,'Azure Resource Map'!$A$2:$A$2001,0)),"")</f>
        <v/>
      </c>
      <c r="L143" s="39" t="str">
        <f aca="false">IFERROR(INDEX('Azure Resource Map'!$J$2:$J$2001,MATCH($C143,'Azure Resource Map'!$A$2:$A$2001,0)),"")</f>
        <v/>
      </c>
      <c r="M143" s="40" t="str">
        <f aca="false">IFERROR(INDEX('Azure Resource Map'!$K$2:$K$2001,MATCH($C143,'Azure Resource Map'!$A$2:$A$2001,0)),"")</f>
        <v/>
      </c>
      <c r="N143" s="39" t="str">
        <f aca="false">IFERROR(INDEX('Azure Resource Map'!$L$2:$L$2001,MATCH($C143,'Azure Resource Map'!$A$2:$A$2001,0)),"")</f>
        <v/>
      </c>
      <c r="O143" s="39" t="str">
        <f aca="false">IFERROR(INDEX('Azure Resource Map'!$M$2:$M$2001,MATCH($C143,'Azure Resource Map'!$A$2:$A$2001,0)),"")</f>
        <v/>
      </c>
      <c r="P143" s="40" t="str">
        <f aca="false">IFERROR(INDEX('Azure Resource Map'!$D$2:$D$2001,MATCH($C143,'Azure Resource Map'!$A$2:$A$2001,0)),"")</f>
        <v/>
      </c>
      <c r="Q143" s="39" t="str">
        <f aca="false">IFERROR(INDEX('Azure Resource Map'!$E$2:$E$2001,MATCH($C143,'Azure Resource Map'!$A$2:$A$2001,0)),"")</f>
        <v/>
      </c>
      <c r="R143" s="39" t="str">
        <f aca="false">IFERROR(INDEX('Azure Resource Map'!$F$2:$F$2001,MATCH($C143,'Azure Resource Map'!$A$2:$A$2001,0)),"")</f>
        <v/>
      </c>
      <c r="S143" s="37"/>
      <c r="T143" s="39" t="str">
        <f aca="false">IF($C143="","",IF(ISNUMBER(MATCH($C143,'CA Exclusion Map'!$A$2:$A$2001,0)),"Yes","No"))</f>
        <v/>
      </c>
      <c r="U143" s="39" t="str">
        <f aca="false">IFERROR(INDEX('CA Exclusion Map'!$D$2:$D$2001,MATCH($C143,'CA Exclusion Map'!$A$2:$A$2001,0)),"")</f>
        <v/>
      </c>
      <c r="V143" s="40" t="str">
        <f aca="false">IFERROR(INDEX('CA Exclusion Map'!$E$2:$E$2001,MATCH($C143,'CA Exclusion Map'!$A$2:$A$2001,0)),"")</f>
        <v/>
      </c>
      <c r="W143" s="40" t="str">
        <f aca="false">IFERROR(INDEX('CA Exclusion Map'!$F$2:$F$2001,MATCH($C143,'CA Exclusion Map'!$A$2:$A$2001,0)),"")</f>
        <v/>
      </c>
      <c r="X143" s="36"/>
      <c r="Y143" s="37"/>
      <c r="Z143" s="38"/>
      <c r="AA143" s="38"/>
      <c r="AB143" s="39" t="str">
        <f aca="true">IF(T143="","",IF(T143&lt;&gt;"Yes","N/A",IF(AA143="","NO EXPIRY SET",IF(TODAY()&gt;AA143,"EXPIRED",IF(AA143-TODAY()&lt;=30,"Expiring Soon","Active")))))</f>
        <v/>
      </c>
      <c r="AC143" s="36"/>
      <c r="AD143" s="36"/>
      <c r="AE143" s="37"/>
      <c r="AF143" s="36"/>
      <c r="AG143" s="37"/>
      <c r="AH143" s="37"/>
      <c r="AI143" s="37"/>
      <c r="AJ143" s="37"/>
      <c r="AK143" s="38"/>
      <c r="AL143" s="37"/>
      <c r="AM143" s="37"/>
      <c r="AN143" s="41" t="str">
        <f aca="false">IF(AK143="","",AK143+90)</f>
        <v/>
      </c>
      <c r="AO143" s="39" t="str">
        <f aca="true">IF(C143="","",IF(AK143="","NOT REVIEWED",IF(TODAY()&gt;AN143,"OVERDUE",IF(AN143-TODAY()&lt;=14,"Due Soon","Current"))))</f>
        <v/>
      </c>
      <c r="AP143" s="36"/>
    </row>
    <row r="144" customFormat="false" ht="15" hidden="false" customHeight="false" outlineLevel="0" collapsed="false">
      <c r="A144" s="36"/>
      <c r="B144" s="36"/>
      <c r="C144" s="36"/>
      <c r="D144" s="37"/>
      <c r="E144" s="38"/>
      <c r="F144" s="38"/>
      <c r="G144" s="36"/>
      <c r="H144" s="37"/>
      <c r="I144" s="39" t="str">
        <f aca="true">IF(F144="","",TODAY()-F144)</f>
        <v/>
      </c>
      <c r="J144" s="40" t="str">
        <f aca="false">IFERROR(INDEX('Azure Resource Map'!$H$2:$H$2001,MATCH($C144,'Azure Resource Map'!$A$2:$A$2001,0)),"")</f>
        <v/>
      </c>
      <c r="K144" s="40" t="str">
        <f aca="false">IFERROR(INDEX('Azure Resource Map'!$I$2:$I$2001,MATCH($C144,'Azure Resource Map'!$A$2:$A$2001,0)),"")</f>
        <v/>
      </c>
      <c r="L144" s="39" t="str">
        <f aca="false">IFERROR(INDEX('Azure Resource Map'!$J$2:$J$2001,MATCH($C144,'Azure Resource Map'!$A$2:$A$2001,0)),"")</f>
        <v/>
      </c>
      <c r="M144" s="40" t="str">
        <f aca="false">IFERROR(INDEX('Azure Resource Map'!$K$2:$K$2001,MATCH($C144,'Azure Resource Map'!$A$2:$A$2001,0)),"")</f>
        <v/>
      </c>
      <c r="N144" s="39" t="str">
        <f aca="false">IFERROR(INDEX('Azure Resource Map'!$L$2:$L$2001,MATCH($C144,'Azure Resource Map'!$A$2:$A$2001,0)),"")</f>
        <v/>
      </c>
      <c r="O144" s="39" t="str">
        <f aca="false">IFERROR(INDEX('Azure Resource Map'!$M$2:$M$2001,MATCH($C144,'Azure Resource Map'!$A$2:$A$2001,0)),"")</f>
        <v/>
      </c>
      <c r="P144" s="40" t="str">
        <f aca="false">IFERROR(INDEX('Azure Resource Map'!$D$2:$D$2001,MATCH($C144,'Azure Resource Map'!$A$2:$A$2001,0)),"")</f>
        <v/>
      </c>
      <c r="Q144" s="39" t="str">
        <f aca="false">IFERROR(INDEX('Azure Resource Map'!$E$2:$E$2001,MATCH($C144,'Azure Resource Map'!$A$2:$A$2001,0)),"")</f>
        <v/>
      </c>
      <c r="R144" s="39" t="str">
        <f aca="false">IFERROR(INDEX('Azure Resource Map'!$F$2:$F$2001,MATCH($C144,'Azure Resource Map'!$A$2:$A$2001,0)),"")</f>
        <v/>
      </c>
      <c r="S144" s="37"/>
      <c r="T144" s="39" t="str">
        <f aca="false">IF($C144="","",IF(ISNUMBER(MATCH($C144,'CA Exclusion Map'!$A$2:$A$2001,0)),"Yes","No"))</f>
        <v/>
      </c>
      <c r="U144" s="39" t="str">
        <f aca="false">IFERROR(INDEX('CA Exclusion Map'!$D$2:$D$2001,MATCH($C144,'CA Exclusion Map'!$A$2:$A$2001,0)),"")</f>
        <v/>
      </c>
      <c r="V144" s="40" t="str">
        <f aca="false">IFERROR(INDEX('CA Exclusion Map'!$E$2:$E$2001,MATCH($C144,'CA Exclusion Map'!$A$2:$A$2001,0)),"")</f>
        <v/>
      </c>
      <c r="W144" s="40" t="str">
        <f aca="false">IFERROR(INDEX('CA Exclusion Map'!$F$2:$F$2001,MATCH($C144,'CA Exclusion Map'!$A$2:$A$2001,0)),"")</f>
        <v/>
      </c>
      <c r="X144" s="36"/>
      <c r="Y144" s="37"/>
      <c r="Z144" s="38"/>
      <c r="AA144" s="38"/>
      <c r="AB144" s="39" t="str">
        <f aca="true">IF(T144="","",IF(T144&lt;&gt;"Yes","N/A",IF(AA144="","NO EXPIRY SET",IF(TODAY()&gt;AA144,"EXPIRED",IF(AA144-TODAY()&lt;=30,"Expiring Soon","Active")))))</f>
        <v/>
      </c>
      <c r="AC144" s="36"/>
      <c r="AD144" s="36"/>
      <c r="AE144" s="37"/>
      <c r="AF144" s="36"/>
      <c r="AG144" s="37"/>
      <c r="AH144" s="37"/>
      <c r="AI144" s="37"/>
      <c r="AJ144" s="37"/>
      <c r="AK144" s="38"/>
      <c r="AL144" s="37"/>
      <c r="AM144" s="37"/>
      <c r="AN144" s="41" t="str">
        <f aca="false">IF(AK144="","",AK144+90)</f>
        <v/>
      </c>
      <c r="AO144" s="39" t="str">
        <f aca="true">IF(C144="","",IF(AK144="","NOT REVIEWED",IF(TODAY()&gt;AN144,"OVERDUE",IF(AN144-TODAY()&lt;=14,"Due Soon","Current"))))</f>
        <v/>
      </c>
      <c r="AP144" s="36"/>
    </row>
    <row r="145" customFormat="false" ht="15" hidden="false" customHeight="false" outlineLevel="0" collapsed="false">
      <c r="A145" s="36"/>
      <c r="B145" s="36"/>
      <c r="C145" s="36"/>
      <c r="D145" s="37"/>
      <c r="E145" s="38"/>
      <c r="F145" s="38"/>
      <c r="G145" s="36"/>
      <c r="H145" s="37"/>
      <c r="I145" s="39" t="str">
        <f aca="true">IF(F145="","",TODAY()-F145)</f>
        <v/>
      </c>
      <c r="J145" s="40" t="str">
        <f aca="false">IFERROR(INDEX('Azure Resource Map'!$H$2:$H$2001,MATCH($C145,'Azure Resource Map'!$A$2:$A$2001,0)),"")</f>
        <v/>
      </c>
      <c r="K145" s="40" t="str">
        <f aca="false">IFERROR(INDEX('Azure Resource Map'!$I$2:$I$2001,MATCH($C145,'Azure Resource Map'!$A$2:$A$2001,0)),"")</f>
        <v/>
      </c>
      <c r="L145" s="39" t="str">
        <f aca="false">IFERROR(INDEX('Azure Resource Map'!$J$2:$J$2001,MATCH($C145,'Azure Resource Map'!$A$2:$A$2001,0)),"")</f>
        <v/>
      </c>
      <c r="M145" s="40" t="str">
        <f aca="false">IFERROR(INDEX('Azure Resource Map'!$K$2:$K$2001,MATCH($C145,'Azure Resource Map'!$A$2:$A$2001,0)),"")</f>
        <v/>
      </c>
      <c r="N145" s="39" t="str">
        <f aca="false">IFERROR(INDEX('Azure Resource Map'!$L$2:$L$2001,MATCH($C145,'Azure Resource Map'!$A$2:$A$2001,0)),"")</f>
        <v/>
      </c>
      <c r="O145" s="39" t="str">
        <f aca="false">IFERROR(INDEX('Azure Resource Map'!$M$2:$M$2001,MATCH($C145,'Azure Resource Map'!$A$2:$A$2001,0)),"")</f>
        <v/>
      </c>
      <c r="P145" s="40" t="str">
        <f aca="false">IFERROR(INDEX('Azure Resource Map'!$D$2:$D$2001,MATCH($C145,'Azure Resource Map'!$A$2:$A$2001,0)),"")</f>
        <v/>
      </c>
      <c r="Q145" s="39" t="str">
        <f aca="false">IFERROR(INDEX('Azure Resource Map'!$E$2:$E$2001,MATCH($C145,'Azure Resource Map'!$A$2:$A$2001,0)),"")</f>
        <v/>
      </c>
      <c r="R145" s="39" t="str">
        <f aca="false">IFERROR(INDEX('Azure Resource Map'!$F$2:$F$2001,MATCH($C145,'Azure Resource Map'!$A$2:$A$2001,0)),"")</f>
        <v/>
      </c>
      <c r="S145" s="37"/>
      <c r="T145" s="39" t="str">
        <f aca="false">IF($C145="","",IF(ISNUMBER(MATCH($C145,'CA Exclusion Map'!$A$2:$A$2001,0)),"Yes","No"))</f>
        <v/>
      </c>
      <c r="U145" s="39" t="str">
        <f aca="false">IFERROR(INDEX('CA Exclusion Map'!$D$2:$D$2001,MATCH($C145,'CA Exclusion Map'!$A$2:$A$2001,0)),"")</f>
        <v/>
      </c>
      <c r="V145" s="40" t="str">
        <f aca="false">IFERROR(INDEX('CA Exclusion Map'!$E$2:$E$2001,MATCH($C145,'CA Exclusion Map'!$A$2:$A$2001,0)),"")</f>
        <v/>
      </c>
      <c r="W145" s="40" t="str">
        <f aca="false">IFERROR(INDEX('CA Exclusion Map'!$F$2:$F$2001,MATCH($C145,'CA Exclusion Map'!$A$2:$A$2001,0)),"")</f>
        <v/>
      </c>
      <c r="X145" s="36"/>
      <c r="Y145" s="37"/>
      <c r="Z145" s="38"/>
      <c r="AA145" s="38"/>
      <c r="AB145" s="39" t="str">
        <f aca="true">IF(T145="","",IF(T145&lt;&gt;"Yes","N/A",IF(AA145="","NO EXPIRY SET",IF(TODAY()&gt;AA145,"EXPIRED",IF(AA145-TODAY()&lt;=30,"Expiring Soon","Active")))))</f>
        <v/>
      </c>
      <c r="AC145" s="36"/>
      <c r="AD145" s="36"/>
      <c r="AE145" s="37"/>
      <c r="AF145" s="36"/>
      <c r="AG145" s="37"/>
      <c r="AH145" s="37"/>
      <c r="AI145" s="37"/>
      <c r="AJ145" s="37"/>
      <c r="AK145" s="38"/>
      <c r="AL145" s="37"/>
      <c r="AM145" s="37"/>
      <c r="AN145" s="41" t="str">
        <f aca="false">IF(AK145="","",AK145+90)</f>
        <v/>
      </c>
      <c r="AO145" s="39" t="str">
        <f aca="true">IF(C145="","",IF(AK145="","NOT REVIEWED",IF(TODAY()&gt;AN145,"OVERDUE",IF(AN145-TODAY()&lt;=14,"Due Soon","Current"))))</f>
        <v/>
      </c>
      <c r="AP145" s="36"/>
    </row>
    <row r="146" customFormat="false" ht="15" hidden="false" customHeight="false" outlineLevel="0" collapsed="false">
      <c r="A146" s="36"/>
      <c r="B146" s="36"/>
      <c r="C146" s="36"/>
      <c r="D146" s="37"/>
      <c r="E146" s="38"/>
      <c r="F146" s="38"/>
      <c r="G146" s="36"/>
      <c r="H146" s="37"/>
      <c r="I146" s="39" t="str">
        <f aca="true">IF(F146="","",TODAY()-F146)</f>
        <v/>
      </c>
      <c r="J146" s="40" t="str">
        <f aca="false">IFERROR(INDEX('Azure Resource Map'!$H$2:$H$2001,MATCH($C146,'Azure Resource Map'!$A$2:$A$2001,0)),"")</f>
        <v/>
      </c>
      <c r="K146" s="40" t="str">
        <f aca="false">IFERROR(INDEX('Azure Resource Map'!$I$2:$I$2001,MATCH($C146,'Azure Resource Map'!$A$2:$A$2001,0)),"")</f>
        <v/>
      </c>
      <c r="L146" s="39" t="str">
        <f aca="false">IFERROR(INDEX('Azure Resource Map'!$J$2:$J$2001,MATCH($C146,'Azure Resource Map'!$A$2:$A$2001,0)),"")</f>
        <v/>
      </c>
      <c r="M146" s="40" t="str">
        <f aca="false">IFERROR(INDEX('Azure Resource Map'!$K$2:$K$2001,MATCH($C146,'Azure Resource Map'!$A$2:$A$2001,0)),"")</f>
        <v/>
      </c>
      <c r="N146" s="39" t="str">
        <f aca="false">IFERROR(INDEX('Azure Resource Map'!$L$2:$L$2001,MATCH($C146,'Azure Resource Map'!$A$2:$A$2001,0)),"")</f>
        <v/>
      </c>
      <c r="O146" s="39" t="str">
        <f aca="false">IFERROR(INDEX('Azure Resource Map'!$M$2:$M$2001,MATCH($C146,'Azure Resource Map'!$A$2:$A$2001,0)),"")</f>
        <v/>
      </c>
      <c r="P146" s="40" t="str">
        <f aca="false">IFERROR(INDEX('Azure Resource Map'!$D$2:$D$2001,MATCH($C146,'Azure Resource Map'!$A$2:$A$2001,0)),"")</f>
        <v/>
      </c>
      <c r="Q146" s="39" t="str">
        <f aca="false">IFERROR(INDEX('Azure Resource Map'!$E$2:$E$2001,MATCH($C146,'Azure Resource Map'!$A$2:$A$2001,0)),"")</f>
        <v/>
      </c>
      <c r="R146" s="39" t="str">
        <f aca="false">IFERROR(INDEX('Azure Resource Map'!$F$2:$F$2001,MATCH($C146,'Azure Resource Map'!$A$2:$A$2001,0)),"")</f>
        <v/>
      </c>
      <c r="S146" s="37"/>
      <c r="T146" s="39" t="str">
        <f aca="false">IF($C146="","",IF(ISNUMBER(MATCH($C146,'CA Exclusion Map'!$A$2:$A$2001,0)),"Yes","No"))</f>
        <v/>
      </c>
      <c r="U146" s="39" t="str">
        <f aca="false">IFERROR(INDEX('CA Exclusion Map'!$D$2:$D$2001,MATCH($C146,'CA Exclusion Map'!$A$2:$A$2001,0)),"")</f>
        <v/>
      </c>
      <c r="V146" s="40" t="str">
        <f aca="false">IFERROR(INDEX('CA Exclusion Map'!$E$2:$E$2001,MATCH($C146,'CA Exclusion Map'!$A$2:$A$2001,0)),"")</f>
        <v/>
      </c>
      <c r="W146" s="40" t="str">
        <f aca="false">IFERROR(INDEX('CA Exclusion Map'!$F$2:$F$2001,MATCH($C146,'CA Exclusion Map'!$A$2:$A$2001,0)),"")</f>
        <v/>
      </c>
      <c r="X146" s="36"/>
      <c r="Y146" s="37"/>
      <c r="Z146" s="38"/>
      <c r="AA146" s="38"/>
      <c r="AB146" s="39" t="str">
        <f aca="true">IF(T146="","",IF(T146&lt;&gt;"Yes","N/A",IF(AA146="","NO EXPIRY SET",IF(TODAY()&gt;AA146,"EXPIRED",IF(AA146-TODAY()&lt;=30,"Expiring Soon","Active")))))</f>
        <v/>
      </c>
      <c r="AC146" s="36"/>
      <c r="AD146" s="36"/>
      <c r="AE146" s="37"/>
      <c r="AF146" s="36"/>
      <c r="AG146" s="37"/>
      <c r="AH146" s="37"/>
      <c r="AI146" s="37"/>
      <c r="AJ146" s="37"/>
      <c r="AK146" s="38"/>
      <c r="AL146" s="37"/>
      <c r="AM146" s="37"/>
      <c r="AN146" s="41" t="str">
        <f aca="false">IF(AK146="","",AK146+90)</f>
        <v/>
      </c>
      <c r="AO146" s="39" t="str">
        <f aca="true">IF(C146="","",IF(AK146="","NOT REVIEWED",IF(TODAY()&gt;AN146,"OVERDUE",IF(AN146-TODAY()&lt;=14,"Due Soon","Current"))))</f>
        <v/>
      </c>
      <c r="AP146" s="36"/>
    </row>
    <row r="147" customFormat="false" ht="15" hidden="false" customHeight="false" outlineLevel="0" collapsed="false">
      <c r="A147" s="36"/>
      <c r="B147" s="36"/>
      <c r="C147" s="36"/>
      <c r="D147" s="37"/>
      <c r="E147" s="38"/>
      <c r="F147" s="38"/>
      <c r="G147" s="36"/>
      <c r="H147" s="37"/>
      <c r="I147" s="39" t="str">
        <f aca="true">IF(F147="","",TODAY()-F147)</f>
        <v/>
      </c>
      <c r="J147" s="40" t="str">
        <f aca="false">IFERROR(INDEX('Azure Resource Map'!$H$2:$H$2001,MATCH($C147,'Azure Resource Map'!$A$2:$A$2001,0)),"")</f>
        <v/>
      </c>
      <c r="K147" s="40" t="str">
        <f aca="false">IFERROR(INDEX('Azure Resource Map'!$I$2:$I$2001,MATCH($C147,'Azure Resource Map'!$A$2:$A$2001,0)),"")</f>
        <v/>
      </c>
      <c r="L147" s="39" t="str">
        <f aca="false">IFERROR(INDEX('Azure Resource Map'!$J$2:$J$2001,MATCH($C147,'Azure Resource Map'!$A$2:$A$2001,0)),"")</f>
        <v/>
      </c>
      <c r="M147" s="40" t="str">
        <f aca="false">IFERROR(INDEX('Azure Resource Map'!$K$2:$K$2001,MATCH($C147,'Azure Resource Map'!$A$2:$A$2001,0)),"")</f>
        <v/>
      </c>
      <c r="N147" s="39" t="str">
        <f aca="false">IFERROR(INDEX('Azure Resource Map'!$L$2:$L$2001,MATCH($C147,'Azure Resource Map'!$A$2:$A$2001,0)),"")</f>
        <v/>
      </c>
      <c r="O147" s="39" t="str">
        <f aca="false">IFERROR(INDEX('Azure Resource Map'!$M$2:$M$2001,MATCH($C147,'Azure Resource Map'!$A$2:$A$2001,0)),"")</f>
        <v/>
      </c>
      <c r="P147" s="40" t="str">
        <f aca="false">IFERROR(INDEX('Azure Resource Map'!$D$2:$D$2001,MATCH($C147,'Azure Resource Map'!$A$2:$A$2001,0)),"")</f>
        <v/>
      </c>
      <c r="Q147" s="39" t="str">
        <f aca="false">IFERROR(INDEX('Azure Resource Map'!$E$2:$E$2001,MATCH($C147,'Azure Resource Map'!$A$2:$A$2001,0)),"")</f>
        <v/>
      </c>
      <c r="R147" s="39" t="str">
        <f aca="false">IFERROR(INDEX('Azure Resource Map'!$F$2:$F$2001,MATCH($C147,'Azure Resource Map'!$A$2:$A$2001,0)),"")</f>
        <v/>
      </c>
      <c r="S147" s="37"/>
      <c r="T147" s="39" t="str">
        <f aca="false">IF($C147="","",IF(ISNUMBER(MATCH($C147,'CA Exclusion Map'!$A$2:$A$2001,0)),"Yes","No"))</f>
        <v/>
      </c>
      <c r="U147" s="39" t="str">
        <f aca="false">IFERROR(INDEX('CA Exclusion Map'!$D$2:$D$2001,MATCH($C147,'CA Exclusion Map'!$A$2:$A$2001,0)),"")</f>
        <v/>
      </c>
      <c r="V147" s="40" t="str">
        <f aca="false">IFERROR(INDEX('CA Exclusion Map'!$E$2:$E$2001,MATCH($C147,'CA Exclusion Map'!$A$2:$A$2001,0)),"")</f>
        <v/>
      </c>
      <c r="W147" s="40" t="str">
        <f aca="false">IFERROR(INDEX('CA Exclusion Map'!$F$2:$F$2001,MATCH($C147,'CA Exclusion Map'!$A$2:$A$2001,0)),"")</f>
        <v/>
      </c>
      <c r="X147" s="36"/>
      <c r="Y147" s="37"/>
      <c r="Z147" s="38"/>
      <c r="AA147" s="38"/>
      <c r="AB147" s="39" t="str">
        <f aca="true">IF(T147="","",IF(T147&lt;&gt;"Yes","N/A",IF(AA147="","NO EXPIRY SET",IF(TODAY()&gt;AA147,"EXPIRED",IF(AA147-TODAY()&lt;=30,"Expiring Soon","Active")))))</f>
        <v/>
      </c>
      <c r="AC147" s="36"/>
      <c r="AD147" s="36"/>
      <c r="AE147" s="37"/>
      <c r="AF147" s="36"/>
      <c r="AG147" s="37"/>
      <c r="AH147" s="37"/>
      <c r="AI147" s="37"/>
      <c r="AJ147" s="37"/>
      <c r="AK147" s="38"/>
      <c r="AL147" s="37"/>
      <c r="AM147" s="37"/>
      <c r="AN147" s="41" t="str">
        <f aca="false">IF(AK147="","",AK147+90)</f>
        <v/>
      </c>
      <c r="AO147" s="39" t="str">
        <f aca="true">IF(C147="","",IF(AK147="","NOT REVIEWED",IF(TODAY()&gt;AN147,"OVERDUE",IF(AN147-TODAY()&lt;=14,"Due Soon","Current"))))</f>
        <v/>
      </c>
      <c r="AP147" s="36"/>
    </row>
    <row r="148" customFormat="false" ht="15" hidden="false" customHeight="false" outlineLevel="0" collapsed="false">
      <c r="A148" s="36"/>
      <c r="B148" s="36"/>
      <c r="C148" s="36"/>
      <c r="D148" s="37"/>
      <c r="E148" s="38"/>
      <c r="F148" s="38"/>
      <c r="G148" s="36"/>
      <c r="H148" s="37"/>
      <c r="I148" s="39" t="str">
        <f aca="true">IF(F148="","",TODAY()-F148)</f>
        <v/>
      </c>
      <c r="J148" s="40" t="str">
        <f aca="false">IFERROR(INDEX('Azure Resource Map'!$H$2:$H$2001,MATCH($C148,'Azure Resource Map'!$A$2:$A$2001,0)),"")</f>
        <v/>
      </c>
      <c r="K148" s="40" t="str">
        <f aca="false">IFERROR(INDEX('Azure Resource Map'!$I$2:$I$2001,MATCH($C148,'Azure Resource Map'!$A$2:$A$2001,0)),"")</f>
        <v/>
      </c>
      <c r="L148" s="39" t="str">
        <f aca="false">IFERROR(INDEX('Azure Resource Map'!$J$2:$J$2001,MATCH($C148,'Azure Resource Map'!$A$2:$A$2001,0)),"")</f>
        <v/>
      </c>
      <c r="M148" s="40" t="str">
        <f aca="false">IFERROR(INDEX('Azure Resource Map'!$K$2:$K$2001,MATCH($C148,'Azure Resource Map'!$A$2:$A$2001,0)),"")</f>
        <v/>
      </c>
      <c r="N148" s="39" t="str">
        <f aca="false">IFERROR(INDEX('Azure Resource Map'!$L$2:$L$2001,MATCH($C148,'Azure Resource Map'!$A$2:$A$2001,0)),"")</f>
        <v/>
      </c>
      <c r="O148" s="39" t="str">
        <f aca="false">IFERROR(INDEX('Azure Resource Map'!$M$2:$M$2001,MATCH($C148,'Azure Resource Map'!$A$2:$A$2001,0)),"")</f>
        <v/>
      </c>
      <c r="P148" s="40" t="str">
        <f aca="false">IFERROR(INDEX('Azure Resource Map'!$D$2:$D$2001,MATCH($C148,'Azure Resource Map'!$A$2:$A$2001,0)),"")</f>
        <v/>
      </c>
      <c r="Q148" s="39" t="str">
        <f aca="false">IFERROR(INDEX('Azure Resource Map'!$E$2:$E$2001,MATCH($C148,'Azure Resource Map'!$A$2:$A$2001,0)),"")</f>
        <v/>
      </c>
      <c r="R148" s="39" t="str">
        <f aca="false">IFERROR(INDEX('Azure Resource Map'!$F$2:$F$2001,MATCH($C148,'Azure Resource Map'!$A$2:$A$2001,0)),"")</f>
        <v/>
      </c>
      <c r="S148" s="37"/>
      <c r="T148" s="39" t="str">
        <f aca="false">IF($C148="","",IF(ISNUMBER(MATCH($C148,'CA Exclusion Map'!$A$2:$A$2001,0)),"Yes","No"))</f>
        <v/>
      </c>
      <c r="U148" s="39" t="str">
        <f aca="false">IFERROR(INDEX('CA Exclusion Map'!$D$2:$D$2001,MATCH($C148,'CA Exclusion Map'!$A$2:$A$2001,0)),"")</f>
        <v/>
      </c>
      <c r="V148" s="40" t="str">
        <f aca="false">IFERROR(INDEX('CA Exclusion Map'!$E$2:$E$2001,MATCH($C148,'CA Exclusion Map'!$A$2:$A$2001,0)),"")</f>
        <v/>
      </c>
      <c r="W148" s="40" t="str">
        <f aca="false">IFERROR(INDEX('CA Exclusion Map'!$F$2:$F$2001,MATCH($C148,'CA Exclusion Map'!$A$2:$A$2001,0)),"")</f>
        <v/>
      </c>
      <c r="X148" s="36"/>
      <c r="Y148" s="37"/>
      <c r="Z148" s="38"/>
      <c r="AA148" s="38"/>
      <c r="AB148" s="39" t="str">
        <f aca="true">IF(T148="","",IF(T148&lt;&gt;"Yes","N/A",IF(AA148="","NO EXPIRY SET",IF(TODAY()&gt;AA148,"EXPIRED",IF(AA148-TODAY()&lt;=30,"Expiring Soon","Active")))))</f>
        <v/>
      </c>
      <c r="AC148" s="36"/>
      <c r="AD148" s="36"/>
      <c r="AE148" s="37"/>
      <c r="AF148" s="36"/>
      <c r="AG148" s="37"/>
      <c r="AH148" s="37"/>
      <c r="AI148" s="37"/>
      <c r="AJ148" s="37"/>
      <c r="AK148" s="38"/>
      <c r="AL148" s="37"/>
      <c r="AM148" s="37"/>
      <c r="AN148" s="41" t="str">
        <f aca="false">IF(AK148="","",AK148+90)</f>
        <v/>
      </c>
      <c r="AO148" s="39" t="str">
        <f aca="true">IF(C148="","",IF(AK148="","NOT REVIEWED",IF(TODAY()&gt;AN148,"OVERDUE",IF(AN148-TODAY()&lt;=14,"Due Soon","Current"))))</f>
        <v/>
      </c>
      <c r="AP148" s="36"/>
    </row>
    <row r="149" customFormat="false" ht="15" hidden="false" customHeight="false" outlineLevel="0" collapsed="false">
      <c r="A149" s="36"/>
      <c r="B149" s="36"/>
      <c r="C149" s="36"/>
      <c r="D149" s="37"/>
      <c r="E149" s="38"/>
      <c r="F149" s="38"/>
      <c r="G149" s="36"/>
      <c r="H149" s="37"/>
      <c r="I149" s="39" t="str">
        <f aca="true">IF(F149="","",TODAY()-F149)</f>
        <v/>
      </c>
      <c r="J149" s="40" t="str">
        <f aca="false">IFERROR(INDEX('Azure Resource Map'!$H$2:$H$2001,MATCH($C149,'Azure Resource Map'!$A$2:$A$2001,0)),"")</f>
        <v/>
      </c>
      <c r="K149" s="40" t="str">
        <f aca="false">IFERROR(INDEX('Azure Resource Map'!$I$2:$I$2001,MATCH($C149,'Azure Resource Map'!$A$2:$A$2001,0)),"")</f>
        <v/>
      </c>
      <c r="L149" s="39" t="str">
        <f aca="false">IFERROR(INDEX('Azure Resource Map'!$J$2:$J$2001,MATCH($C149,'Azure Resource Map'!$A$2:$A$2001,0)),"")</f>
        <v/>
      </c>
      <c r="M149" s="40" t="str">
        <f aca="false">IFERROR(INDEX('Azure Resource Map'!$K$2:$K$2001,MATCH($C149,'Azure Resource Map'!$A$2:$A$2001,0)),"")</f>
        <v/>
      </c>
      <c r="N149" s="39" t="str">
        <f aca="false">IFERROR(INDEX('Azure Resource Map'!$L$2:$L$2001,MATCH($C149,'Azure Resource Map'!$A$2:$A$2001,0)),"")</f>
        <v/>
      </c>
      <c r="O149" s="39" t="str">
        <f aca="false">IFERROR(INDEX('Azure Resource Map'!$M$2:$M$2001,MATCH($C149,'Azure Resource Map'!$A$2:$A$2001,0)),"")</f>
        <v/>
      </c>
      <c r="P149" s="40" t="str">
        <f aca="false">IFERROR(INDEX('Azure Resource Map'!$D$2:$D$2001,MATCH($C149,'Azure Resource Map'!$A$2:$A$2001,0)),"")</f>
        <v/>
      </c>
      <c r="Q149" s="39" t="str">
        <f aca="false">IFERROR(INDEX('Azure Resource Map'!$E$2:$E$2001,MATCH($C149,'Azure Resource Map'!$A$2:$A$2001,0)),"")</f>
        <v/>
      </c>
      <c r="R149" s="39" t="str">
        <f aca="false">IFERROR(INDEX('Azure Resource Map'!$F$2:$F$2001,MATCH($C149,'Azure Resource Map'!$A$2:$A$2001,0)),"")</f>
        <v/>
      </c>
      <c r="S149" s="37"/>
      <c r="T149" s="39" t="str">
        <f aca="false">IF($C149="","",IF(ISNUMBER(MATCH($C149,'CA Exclusion Map'!$A$2:$A$2001,0)),"Yes","No"))</f>
        <v/>
      </c>
      <c r="U149" s="39" t="str">
        <f aca="false">IFERROR(INDEX('CA Exclusion Map'!$D$2:$D$2001,MATCH($C149,'CA Exclusion Map'!$A$2:$A$2001,0)),"")</f>
        <v/>
      </c>
      <c r="V149" s="40" t="str">
        <f aca="false">IFERROR(INDEX('CA Exclusion Map'!$E$2:$E$2001,MATCH($C149,'CA Exclusion Map'!$A$2:$A$2001,0)),"")</f>
        <v/>
      </c>
      <c r="W149" s="40" t="str">
        <f aca="false">IFERROR(INDEX('CA Exclusion Map'!$F$2:$F$2001,MATCH($C149,'CA Exclusion Map'!$A$2:$A$2001,0)),"")</f>
        <v/>
      </c>
      <c r="X149" s="36"/>
      <c r="Y149" s="37"/>
      <c r="Z149" s="38"/>
      <c r="AA149" s="38"/>
      <c r="AB149" s="39" t="str">
        <f aca="true">IF(T149="","",IF(T149&lt;&gt;"Yes","N/A",IF(AA149="","NO EXPIRY SET",IF(TODAY()&gt;AA149,"EXPIRED",IF(AA149-TODAY()&lt;=30,"Expiring Soon","Active")))))</f>
        <v/>
      </c>
      <c r="AC149" s="36"/>
      <c r="AD149" s="36"/>
      <c r="AE149" s="37"/>
      <c r="AF149" s="36"/>
      <c r="AG149" s="37"/>
      <c r="AH149" s="37"/>
      <c r="AI149" s="37"/>
      <c r="AJ149" s="37"/>
      <c r="AK149" s="38"/>
      <c r="AL149" s="37"/>
      <c r="AM149" s="37"/>
      <c r="AN149" s="41" t="str">
        <f aca="false">IF(AK149="","",AK149+90)</f>
        <v/>
      </c>
      <c r="AO149" s="39" t="str">
        <f aca="true">IF(C149="","",IF(AK149="","NOT REVIEWED",IF(TODAY()&gt;AN149,"OVERDUE",IF(AN149-TODAY()&lt;=14,"Due Soon","Current"))))</f>
        <v/>
      </c>
      <c r="AP149" s="36"/>
    </row>
    <row r="150" customFormat="false" ht="15" hidden="false" customHeight="false" outlineLevel="0" collapsed="false">
      <c r="A150" s="36"/>
      <c r="B150" s="36"/>
      <c r="C150" s="36"/>
      <c r="D150" s="37"/>
      <c r="E150" s="38"/>
      <c r="F150" s="38"/>
      <c r="G150" s="36"/>
      <c r="H150" s="37"/>
      <c r="I150" s="39" t="str">
        <f aca="true">IF(F150="","",TODAY()-F150)</f>
        <v/>
      </c>
      <c r="J150" s="40" t="str">
        <f aca="false">IFERROR(INDEX('Azure Resource Map'!$H$2:$H$2001,MATCH($C150,'Azure Resource Map'!$A$2:$A$2001,0)),"")</f>
        <v/>
      </c>
      <c r="K150" s="40" t="str">
        <f aca="false">IFERROR(INDEX('Azure Resource Map'!$I$2:$I$2001,MATCH($C150,'Azure Resource Map'!$A$2:$A$2001,0)),"")</f>
        <v/>
      </c>
      <c r="L150" s="39" t="str">
        <f aca="false">IFERROR(INDEX('Azure Resource Map'!$J$2:$J$2001,MATCH($C150,'Azure Resource Map'!$A$2:$A$2001,0)),"")</f>
        <v/>
      </c>
      <c r="M150" s="40" t="str">
        <f aca="false">IFERROR(INDEX('Azure Resource Map'!$K$2:$K$2001,MATCH($C150,'Azure Resource Map'!$A$2:$A$2001,0)),"")</f>
        <v/>
      </c>
      <c r="N150" s="39" t="str">
        <f aca="false">IFERROR(INDEX('Azure Resource Map'!$L$2:$L$2001,MATCH($C150,'Azure Resource Map'!$A$2:$A$2001,0)),"")</f>
        <v/>
      </c>
      <c r="O150" s="39" t="str">
        <f aca="false">IFERROR(INDEX('Azure Resource Map'!$M$2:$M$2001,MATCH($C150,'Azure Resource Map'!$A$2:$A$2001,0)),"")</f>
        <v/>
      </c>
      <c r="P150" s="40" t="str">
        <f aca="false">IFERROR(INDEX('Azure Resource Map'!$D$2:$D$2001,MATCH($C150,'Azure Resource Map'!$A$2:$A$2001,0)),"")</f>
        <v/>
      </c>
      <c r="Q150" s="39" t="str">
        <f aca="false">IFERROR(INDEX('Azure Resource Map'!$E$2:$E$2001,MATCH($C150,'Azure Resource Map'!$A$2:$A$2001,0)),"")</f>
        <v/>
      </c>
      <c r="R150" s="39" t="str">
        <f aca="false">IFERROR(INDEX('Azure Resource Map'!$F$2:$F$2001,MATCH($C150,'Azure Resource Map'!$A$2:$A$2001,0)),"")</f>
        <v/>
      </c>
      <c r="S150" s="37"/>
      <c r="T150" s="39" t="str">
        <f aca="false">IF($C150="","",IF(ISNUMBER(MATCH($C150,'CA Exclusion Map'!$A$2:$A$2001,0)),"Yes","No"))</f>
        <v/>
      </c>
      <c r="U150" s="39" t="str">
        <f aca="false">IFERROR(INDEX('CA Exclusion Map'!$D$2:$D$2001,MATCH($C150,'CA Exclusion Map'!$A$2:$A$2001,0)),"")</f>
        <v/>
      </c>
      <c r="V150" s="40" t="str">
        <f aca="false">IFERROR(INDEX('CA Exclusion Map'!$E$2:$E$2001,MATCH($C150,'CA Exclusion Map'!$A$2:$A$2001,0)),"")</f>
        <v/>
      </c>
      <c r="W150" s="40" t="str">
        <f aca="false">IFERROR(INDEX('CA Exclusion Map'!$F$2:$F$2001,MATCH($C150,'CA Exclusion Map'!$A$2:$A$2001,0)),"")</f>
        <v/>
      </c>
      <c r="X150" s="36"/>
      <c r="Y150" s="37"/>
      <c r="Z150" s="38"/>
      <c r="AA150" s="38"/>
      <c r="AB150" s="39" t="str">
        <f aca="true">IF(T150="","",IF(T150&lt;&gt;"Yes","N/A",IF(AA150="","NO EXPIRY SET",IF(TODAY()&gt;AA150,"EXPIRED",IF(AA150-TODAY()&lt;=30,"Expiring Soon","Active")))))</f>
        <v/>
      </c>
      <c r="AC150" s="36"/>
      <c r="AD150" s="36"/>
      <c r="AE150" s="37"/>
      <c r="AF150" s="36"/>
      <c r="AG150" s="37"/>
      <c r="AH150" s="37"/>
      <c r="AI150" s="37"/>
      <c r="AJ150" s="37"/>
      <c r="AK150" s="38"/>
      <c r="AL150" s="37"/>
      <c r="AM150" s="37"/>
      <c r="AN150" s="41" t="str">
        <f aca="false">IF(AK150="","",AK150+90)</f>
        <v/>
      </c>
      <c r="AO150" s="39" t="str">
        <f aca="true">IF(C150="","",IF(AK150="","NOT REVIEWED",IF(TODAY()&gt;AN150,"OVERDUE",IF(AN150-TODAY()&lt;=14,"Due Soon","Current"))))</f>
        <v/>
      </c>
      <c r="AP150" s="36"/>
    </row>
    <row r="151" customFormat="false" ht="15" hidden="false" customHeight="false" outlineLevel="0" collapsed="false">
      <c r="A151" s="36"/>
      <c r="B151" s="36"/>
      <c r="C151" s="36"/>
      <c r="D151" s="37"/>
      <c r="E151" s="38"/>
      <c r="F151" s="38"/>
      <c r="G151" s="36"/>
      <c r="H151" s="37"/>
      <c r="I151" s="39" t="str">
        <f aca="true">IF(F151="","",TODAY()-F151)</f>
        <v/>
      </c>
      <c r="J151" s="40" t="str">
        <f aca="false">IFERROR(INDEX('Azure Resource Map'!$H$2:$H$2001,MATCH($C151,'Azure Resource Map'!$A$2:$A$2001,0)),"")</f>
        <v/>
      </c>
      <c r="K151" s="40" t="str">
        <f aca="false">IFERROR(INDEX('Azure Resource Map'!$I$2:$I$2001,MATCH($C151,'Azure Resource Map'!$A$2:$A$2001,0)),"")</f>
        <v/>
      </c>
      <c r="L151" s="39" t="str">
        <f aca="false">IFERROR(INDEX('Azure Resource Map'!$J$2:$J$2001,MATCH($C151,'Azure Resource Map'!$A$2:$A$2001,0)),"")</f>
        <v/>
      </c>
      <c r="M151" s="40" t="str">
        <f aca="false">IFERROR(INDEX('Azure Resource Map'!$K$2:$K$2001,MATCH($C151,'Azure Resource Map'!$A$2:$A$2001,0)),"")</f>
        <v/>
      </c>
      <c r="N151" s="39" t="str">
        <f aca="false">IFERROR(INDEX('Azure Resource Map'!$L$2:$L$2001,MATCH($C151,'Azure Resource Map'!$A$2:$A$2001,0)),"")</f>
        <v/>
      </c>
      <c r="O151" s="39" t="str">
        <f aca="false">IFERROR(INDEX('Azure Resource Map'!$M$2:$M$2001,MATCH($C151,'Azure Resource Map'!$A$2:$A$2001,0)),"")</f>
        <v/>
      </c>
      <c r="P151" s="40" t="str">
        <f aca="false">IFERROR(INDEX('Azure Resource Map'!$D$2:$D$2001,MATCH($C151,'Azure Resource Map'!$A$2:$A$2001,0)),"")</f>
        <v/>
      </c>
      <c r="Q151" s="39" t="str">
        <f aca="false">IFERROR(INDEX('Azure Resource Map'!$E$2:$E$2001,MATCH($C151,'Azure Resource Map'!$A$2:$A$2001,0)),"")</f>
        <v/>
      </c>
      <c r="R151" s="39" t="str">
        <f aca="false">IFERROR(INDEX('Azure Resource Map'!$F$2:$F$2001,MATCH($C151,'Azure Resource Map'!$A$2:$A$2001,0)),"")</f>
        <v/>
      </c>
      <c r="S151" s="37"/>
      <c r="T151" s="39" t="str">
        <f aca="false">IF($C151="","",IF(ISNUMBER(MATCH($C151,'CA Exclusion Map'!$A$2:$A$2001,0)),"Yes","No"))</f>
        <v/>
      </c>
      <c r="U151" s="39" t="str">
        <f aca="false">IFERROR(INDEX('CA Exclusion Map'!$D$2:$D$2001,MATCH($C151,'CA Exclusion Map'!$A$2:$A$2001,0)),"")</f>
        <v/>
      </c>
      <c r="V151" s="40" t="str">
        <f aca="false">IFERROR(INDEX('CA Exclusion Map'!$E$2:$E$2001,MATCH($C151,'CA Exclusion Map'!$A$2:$A$2001,0)),"")</f>
        <v/>
      </c>
      <c r="W151" s="40" t="str">
        <f aca="false">IFERROR(INDEX('CA Exclusion Map'!$F$2:$F$2001,MATCH($C151,'CA Exclusion Map'!$A$2:$A$2001,0)),"")</f>
        <v/>
      </c>
      <c r="X151" s="36"/>
      <c r="Y151" s="37"/>
      <c r="Z151" s="38"/>
      <c r="AA151" s="38"/>
      <c r="AB151" s="39" t="str">
        <f aca="true">IF(T151="","",IF(T151&lt;&gt;"Yes","N/A",IF(AA151="","NO EXPIRY SET",IF(TODAY()&gt;AA151,"EXPIRED",IF(AA151-TODAY()&lt;=30,"Expiring Soon","Active")))))</f>
        <v/>
      </c>
      <c r="AC151" s="36"/>
      <c r="AD151" s="36"/>
      <c r="AE151" s="37"/>
      <c r="AF151" s="36"/>
      <c r="AG151" s="37"/>
      <c r="AH151" s="37"/>
      <c r="AI151" s="37"/>
      <c r="AJ151" s="37"/>
      <c r="AK151" s="38"/>
      <c r="AL151" s="37"/>
      <c r="AM151" s="37"/>
      <c r="AN151" s="41" t="str">
        <f aca="false">IF(AK151="","",AK151+90)</f>
        <v/>
      </c>
      <c r="AO151" s="39" t="str">
        <f aca="true">IF(C151="","",IF(AK151="","NOT REVIEWED",IF(TODAY()&gt;AN151,"OVERDUE",IF(AN151-TODAY()&lt;=14,"Due Soon","Current"))))</f>
        <v/>
      </c>
      <c r="AP151" s="36"/>
    </row>
    <row r="152" customFormat="false" ht="15" hidden="false" customHeight="false" outlineLevel="0" collapsed="false">
      <c r="A152" s="36"/>
      <c r="B152" s="36"/>
      <c r="C152" s="36"/>
      <c r="D152" s="37"/>
      <c r="E152" s="38"/>
      <c r="F152" s="38"/>
      <c r="G152" s="36"/>
      <c r="H152" s="37"/>
      <c r="I152" s="39" t="str">
        <f aca="true">IF(F152="","",TODAY()-F152)</f>
        <v/>
      </c>
      <c r="J152" s="40" t="str">
        <f aca="false">IFERROR(INDEX('Azure Resource Map'!$H$2:$H$2001,MATCH($C152,'Azure Resource Map'!$A$2:$A$2001,0)),"")</f>
        <v/>
      </c>
      <c r="K152" s="40" t="str">
        <f aca="false">IFERROR(INDEX('Azure Resource Map'!$I$2:$I$2001,MATCH($C152,'Azure Resource Map'!$A$2:$A$2001,0)),"")</f>
        <v/>
      </c>
      <c r="L152" s="39" t="str">
        <f aca="false">IFERROR(INDEX('Azure Resource Map'!$J$2:$J$2001,MATCH($C152,'Azure Resource Map'!$A$2:$A$2001,0)),"")</f>
        <v/>
      </c>
      <c r="M152" s="40" t="str">
        <f aca="false">IFERROR(INDEX('Azure Resource Map'!$K$2:$K$2001,MATCH($C152,'Azure Resource Map'!$A$2:$A$2001,0)),"")</f>
        <v/>
      </c>
      <c r="N152" s="39" t="str">
        <f aca="false">IFERROR(INDEX('Azure Resource Map'!$L$2:$L$2001,MATCH($C152,'Azure Resource Map'!$A$2:$A$2001,0)),"")</f>
        <v/>
      </c>
      <c r="O152" s="39" t="str">
        <f aca="false">IFERROR(INDEX('Azure Resource Map'!$M$2:$M$2001,MATCH($C152,'Azure Resource Map'!$A$2:$A$2001,0)),"")</f>
        <v/>
      </c>
      <c r="P152" s="40" t="str">
        <f aca="false">IFERROR(INDEX('Azure Resource Map'!$D$2:$D$2001,MATCH($C152,'Azure Resource Map'!$A$2:$A$2001,0)),"")</f>
        <v/>
      </c>
      <c r="Q152" s="39" t="str">
        <f aca="false">IFERROR(INDEX('Azure Resource Map'!$E$2:$E$2001,MATCH($C152,'Azure Resource Map'!$A$2:$A$2001,0)),"")</f>
        <v/>
      </c>
      <c r="R152" s="39" t="str">
        <f aca="false">IFERROR(INDEX('Azure Resource Map'!$F$2:$F$2001,MATCH($C152,'Azure Resource Map'!$A$2:$A$2001,0)),"")</f>
        <v/>
      </c>
      <c r="S152" s="37"/>
      <c r="T152" s="39" t="str">
        <f aca="false">IF($C152="","",IF(ISNUMBER(MATCH($C152,'CA Exclusion Map'!$A$2:$A$2001,0)),"Yes","No"))</f>
        <v/>
      </c>
      <c r="U152" s="39" t="str">
        <f aca="false">IFERROR(INDEX('CA Exclusion Map'!$D$2:$D$2001,MATCH($C152,'CA Exclusion Map'!$A$2:$A$2001,0)),"")</f>
        <v/>
      </c>
      <c r="V152" s="40" t="str">
        <f aca="false">IFERROR(INDEX('CA Exclusion Map'!$E$2:$E$2001,MATCH($C152,'CA Exclusion Map'!$A$2:$A$2001,0)),"")</f>
        <v/>
      </c>
      <c r="W152" s="40" t="str">
        <f aca="false">IFERROR(INDEX('CA Exclusion Map'!$F$2:$F$2001,MATCH($C152,'CA Exclusion Map'!$A$2:$A$2001,0)),"")</f>
        <v/>
      </c>
      <c r="X152" s="36"/>
      <c r="Y152" s="37"/>
      <c r="Z152" s="38"/>
      <c r="AA152" s="38"/>
      <c r="AB152" s="39" t="str">
        <f aca="true">IF(T152="","",IF(T152&lt;&gt;"Yes","N/A",IF(AA152="","NO EXPIRY SET",IF(TODAY()&gt;AA152,"EXPIRED",IF(AA152-TODAY()&lt;=30,"Expiring Soon","Active")))))</f>
        <v/>
      </c>
      <c r="AC152" s="36"/>
      <c r="AD152" s="36"/>
      <c r="AE152" s="37"/>
      <c r="AF152" s="36"/>
      <c r="AG152" s="37"/>
      <c r="AH152" s="37"/>
      <c r="AI152" s="37"/>
      <c r="AJ152" s="37"/>
      <c r="AK152" s="38"/>
      <c r="AL152" s="37"/>
      <c r="AM152" s="37"/>
      <c r="AN152" s="41" t="str">
        <f aca="false">IF(AK152="","",AK152+90)</f>
        <v/>
      </c>
      <c r="AO152" s="39" t="str">
        <f aca="true">IF(C152="","",IF(AK152="","NOT REVIEWED",IF(TODAY()&gt;AN152,"OVERDUE",IF(AN152-TODAY()&lt;=14,"Due Soon","Current"))))</f>
        <v/>
      </c>
      <c r="AP152" s="36"/>
    </row>
    <row r="153" customFormat="false" ht="15" hidden="false" customHeight="false" outlineLevel="0" collapsed="false">
      <c r="A153" s="36"/>
      <c r="B153" s="36"/>
      <c r="C153" s="36"/>
      <c r="D153" s="37"/>
      <c r="E153" s="38"/>
      <c r="F153" s="38"/>
      <c r="G153" s="36"/>
      <c r="H153" s="37"/>
      <c r="I153" s="39" t="str">
        <f aca="true">IF(F153="","",TODAY()-F153)</f>
        <v/>
      </c>
      <c r="J153" s="40" t="str">
        <f aca="false">IFERROR(INDEX('Azure Resource Map'!$H$2:$H$2001,MATCH($C153,'Azure Resource Map'!$A$2:$A$2001,0)),"")</f>
        <v/>
      </c>
      <c r="K153" s="40" t="str">
        <f aca="false">IFERROR(INDEX('Azure Resource Map'!$I$2:$I$2001,MATCH($C153,'Azure Resource Map'!$A$2:$A$2001,0)),"")</f>
        <v/>
      </c>
      <c r="L153" s="39" t="str">
        <f aca="false">IFERROR(INDEX('Azure Resource Map'!$J$2:$J$2001,MATCH($C153,'Azure Resource Map'!$A$2:$A$2001,0)),"")</f>
        <v/>
      </c>
      <c r="M153" s="40" t="str">
        <f aca="false">IFERROR(INDEX('Azure Resource Map'!$K$2:$K$2001,MATCH($C153,'Azure Resource Map'!$A$2:$A$2001,0)),"")</f>
        <v/>
      </c>
      <c r="N153" s="39" t="str">
        <f aca="false">IFERROR(INDEX('Azure Resource Map'!$L$2:$L$2001,MATCH($C153,'Azure Resource Map'!$A$2:$A$2001,0)),"")</f>
        <v/>
      </c>
      <c r="O153" s="39" t="str">
        <f aca="false">IFERROR(INDEX('Azure Resource Map'!$M$2:$M$2001,MATCH($C153,'Azure Resource Map'!$A$2:$A$2001,0)),"")</f>
        <v/>
      </c>
      <c r="P153" s="40" t="str">
        <f aca="false">IFERROR(INDEX('Azure Resource Map'!$D$2:$D$2001,MATCH($C153,'Azure Resource Map'!$A$2:$A$2001,0)),"")</f>
        <v/>
      </c>
      <c r="Q153" s="39" t="str">
        <f aca="false">IFERROR(INDEX('Azure Resource Map'!$E$2:$E$2001,MATCH($C153,'Azure Resource Map'!$A$2:$A$2001,0)),"")</f>
        <v/>
      </c>
      <c r="R153" s="39" t="str">
        <f aca="false">IFERROR(INDEX('Azure Resource Map'!$F$2:$F$2001,MATCH($C153,'Azure Resource Map'!$A$2:$A$2001,0)),"")</f>
        <v/>
      </c>
      <c r="S153" s="37"/>
      <c r="T153" s="39" t="str">
        <f aca="false">IF($C153="","",IF(ISNUMBER(MATCH($C153,'CA Exclusion Map'!$A$2:$A$2001,0)),"Yes","No"))</f>
        <v/>
      </c>
      <c r="U153" s="39" t="str">
        <f aca="false">IFERROR(INDEX('CA Exclusion Map'!$D$2:$D$2001,MATCH($C153,'CA Exclusion Map'!$A$2:$A$2001,0)),"")</f>
        <v/>
      </c>
      <c r="V153" s="40" t="str">
        <f aca="false">IFERROR(INDEX('CA Exclusion Map'!$E$2:$E$2001,MATCH($C153,'CA Exclusion Map'!$A$2:$A$2001,0)),"")</f>
        <v/>
      </c>
      <c r="W153" s="40" t="str">
        <f aca="false">IFERROR(INDEX('CA Exclusion Map'!$F$2:$F$2001,MATCH($C153,'CA Exclusion Map'!$A$2:$A$2001,0)),"")</f>
        <v/>
      </c>
      <c r="X153" s="36"/>
      <c r="Y153" s="37"/>
      <c r="Z153" s="38"/>
      <c r="AA153" s="38"/>
      <c r="AB153" s="39" t="str">
        <f aca="true">IF(T153="","",IF(T153&lt;&gt;"Yes","N/A",IF(AA153="","NO EXPIRY SET",IF(TODAY()&gt;AA153,"EXPIRED",IF(AA153-TODAY()&lt;=30,"Expiring Soon","Active")))))</f>
        <v/>
      </c>
      <c r="AC153" s="36"/>
      <c r="AD153" s="36"/>
      <c r="AE153" s="37"/>
      <c r="AF153" s="36"/>
      <c r="AG153" s="37"/>
      <c r="AH153" s="37"/>
      <c r="AI153" s="37"/>
      <c r="AJ153" s="37"/>
      <c r="AK153" s="38"/>
      <c r="AL153" s="37"/>
      <c r="AM153" s="37"/>
      <c r="AN153" s="41" t="str">
        <f aca="false">IF(AK153="","",AK153+90)</f>
        <v/>
      </c>
      <c r="AO153" s="39" t="str">
        <f aca="true">IF(C153="","",IF(AK153="","NOT REVIEWED",IF(TODAY()&gt;AN153,"OVERDUE",IF(AN153-TODAY()&lt;=14,"Due Soon","Current"))))</f>
        <v/>
      </c>
      <c r="AP153" s="36"/>
    </row>
    <row r="154" customFormat="false" ht="15" hidden="false" customHeight="false" outlineLevel="0" collapsed="false">
      <c r="A154" s="36"/>
      <c r="B154" s="36"/>
      <c r="C154" s="36"/>
      <c r="D154" s="37"/>
      <c r="E154" s="38"/>
      <c r="F154" s="38"/>
      <c r="G154" s="36"/>
      <c r="H154" s="37"/>
      <c r="I154" s="39" t="str">
        <f aca="true">IF(F154="","",TODAY()-F154)</f>
        <v/>
      </c>
      <c r="J154" s="40" t="str">
        <f aca="false">IFERROR(INDEX('Azure Resource Map'!$H$2:$H$2001,MATCH($C154,'Azure Resource Map'!$A$2:$A$2001,0)),"")</f>
        <v/>
      </c>
      <c r="K154" s="40" t="str">
        <f aca="false">IFERROR(INDEX('Azure Resource Map'!$I$2:$I$2001,MATCH($C154,'Azure Resource Map'!$A$2:$A$2001,0)),"")</f>
        <v/>
      </c>
      <c r="L154" s="39" t="str">
        <f aca="false">IFERROR(INDEX('Azure Resource Map'!$J$2:$J$2001,MATCH($C154,'Azure Resource Map'!$A$2:$A$2001,0)),"")</f>
        <v/>
      </c>
      <c r="M154" s="40" t="str">
        <f aca="false">IFERROR(INDEX('Azure Resource Map'!$K$2:$K$2001,MATCH($C154,'Azure Resource Map'!$A$2:$A$2001,0)),"")</f>
        <v/>
      </c>
      <c r="N154" s="39" t="str">
        <f aca="false">IFERROR(INDEX('Azure Resource Map'!$L$2:$L$2001,MATCH($C154,'Azure Resource Map'!$A$2:$A$2001,0)),"")</f>
        <v/>
      </c>
      <c r="O154" s="39" t="str">
        <f aca="false">IFERROR(INDEX('Azure Resource Map'!$M$2:$M$2001,MATCH($C154,'Azure Resource Map'!$A$2:$A$2001,0)),"")</f>
        <v/>
      </c>
      <c r="P154" s="40" t="str">
        <f aca="false">IFERROR(INDEX('Azure Resource Map'!$D$2:$D$2001,MATCH($C154,'Azure Resource Map'!$A$2:$A$2001,0)),"")</f>
        <v/>
      </c>
      <c r="Q154" s="39" t="str">
        <f aca="false">IFERROR(INDEX('Azure Resource Map'!$E$2:$E$2001,MATCH($C154,'Azure Resource Map'!$A$2:$A$2001,0)),"")</f>
        <v/>
      </c>
      <c r="R154" s="39" t="str">
        <f aca="false">IFERROR(INDEX('Azure Resource Map'!$F$2:$F$2001,MATCH($C154,'Azure Resource Map'!$A$2:$A$2001,0)),"")</f>
        <v/>
      </c>
      <c r="S154" s="37"/>
      <c r="T154" s="39" t="str">
        <f aca="false">IF($C154="","",IF(ISNUMBER(MATCH($C154,'CA Exclusion Map'!$A$2:$A$2001,0)),"Yes","No"))</f>
        <v/>
      </c>
      <c r="U154" s="39" t="str">
        <f aca="false">IFERROR(INDEX('CA Exclusion Map'!$D$2:$D$2001,MATCH($C154,'CA Exclusion Map'!$A$2:$A$2001,0)),"")</f>
        <v/>
      </c>
      <c r="V154" s="40" t="str">
        <f aca="false">IFERROR(INDEX('CA Exclusion Map'!$E$2:$E$2001,MATCH($C154,'CA Exclusion Map'!$A$2:$A$2001,0)),"")</f>
        <v/>
      </c>
      <c r="W154" s="40" t="str">
        <f aca="false">IFERROR(INDEX('CA Exclusion Map'!$F$2:$F$2001,MATCH($C154,'CA Exclusion Map'!$A$2:$A$2001,0)),"")</f>
        <v/>
      </c>
      <c r="X154" s="36"/>
      <c r="Y154" s="37"/>
      <c r="Z154" s="38"/>
      <c r="AA154" s="38"/>
      <c r="AB154" s="39" t="str">
        <f aca="true">IF(T154="","",IF(T154&lt;&gt;"Yes","N/A",IF(AA154="","NO EXPIRY SET",IF(TODAY()&gt;AA154,"EXPIRED",IF(AA154-TODAY()&lt;=30,"Expiring Soon","Active")))))</f>
        <v/>
      </c>
      <c r="AC154" s="36"/>
      <c r="AD154" s="36"/>
      <c r="AE154" s="37"/>
      <c r="AF154" s="36"/>
      <c r="AG154" s="37"/>
      <c r="AH154" s="37"/>
      <c r="AI154" s="37"/>
      <c r="AJ154" s="37"/>
      <c r="AK154" s="38"/>
      <c r="AL154" s="37"/>
      <c r="AM154" s="37"/>
      <c r="AN154" s="41" t="str">
        <f aca="false">IF(AK154="","",AK154+90)</f>
        <v/>
      </c>
      <c r="AO154" s="39" t="str">
        <f aca="true">IF(C154="","",IF(AK154="","NOT REVIEWED",IF(TODAY()&gt;AN154,"OVERDUE",IF(AN154-TODAY()&lt;=14,"Due Soon","Current"))))</f>
        <v/>
      </c>
      <c r="AP154" s="36"/>
    </row>
    <row r="155" customFormat="false" ht="15" hidden="false" customHeight="false" outlineLevel="0" collapsed="false">
      <c r="A155" s="36"/>
      <c r="B155" s="36"/>
      <c r="C155" s="36"/>
      <c r="D155" s="37"/>
      <c r="E155" s="38"/>
      <c r="F155" s="38"/>
      <c r="G155" s="36"/>
      <c r="H155" s="37"/>
      <c r="I155" s="39" t="str">
        <f aca="true">IF(F155="","",TODAY()-F155)</f>
        <v/>
      </c>
      <c r="J155" s="40" t="str">
        <f aca="false">IFERROR(INDEX('Azure Resource Map'!$H$2:$H$2001,MATCH($C155,'Azure Resource Map'!$A$2:$A$2001,0)),"")</f>
        <v/>
      </c>
      <c r="K155" s="40" t="str">
        <f aca="false">IFERROR(INDEX('Azure Resource Map'!$I$2:$I$2001,MATCH($C155,'Azure Resource Map'!$A$2:$A$2001,0)),"")</f>
        <v/>
      </c>
      <c r="L155" s="39" t="str">
        <f aca="false">IFERROR(INDEX('Azure Resource Map'!$J$2:$J$2001,MATCH($C155,'Azure Resource Map'!$A$2:$A$2001,0)),"")</f>
        <v/>
      </c>
      <c r="M155" s="40" t="str">
        <f aca="false">IFERROR(INDEX('Azure Resource Map'!$K$2:$K$2001,MATCH($C155,'Azure Resource Map'!$A$2:$A$2001,0)),"")</f>
        <v/>
      </c>
      <c r="N155" s="39" t="str">
        <f aca="false">IFERROR(INDEX('Azure Resource Map'!$L$2:$L$2001,MATCH($C155,'Azure Resource Map'!$A$2:$A$2001,0)),"")</f>
        <v/>
      </c>
      <c r="O155" s="39" t="str">
        <f aca="false">IFERROR(INDEX('Azure Resource Map'!$M$2:$M$2001,MATCH($C155,'Azure Resource Map'!$A$2:$A$2001,0)),"")</f>
        <v/>
      </c>
      <c r="P155" s="40" t="str">
        <f aca="false">IFERROR(INDEX('Azure Resource Map'!$D$2:$D$2001,MATCH($C155,'Azure Resource Map'!$A$2:$A$2001,0)),"")</f>
        <v/>
      </c>
      <c r="Q155" s="39" t="str">
        <f aca="false">IFERROR(INDEX('Azure Resource Map'!$E$2:$E$2001,MATCH($C155,'Azure Resource Map'!$A$2:$A$2001,0)),"")</f>
        <v/>
      </c>
      <c r="R155" s="39" t="str">
        <f aca="false">IFERROR(INDEX('Azure Resource Map'!$F$2:$F$2001,MATCH($C155,'Azure Resource Map'!$A$2:$A$2001,0)),"")</f>
        <v/>
      </c>
      <c r="S155" s="37"/>
      <c r="T155" s="39" t="str">
        <f aca="false">IF($C155="","",IF(ISNUMBER(MATCH($C155,'CA Exclusion Map'!$A$2:$A$2001,0)),"Yes","No"))</f>
        <v/>
      </c>
      <c r="U155" s="39" t="str">
        <f aca="false">IFERROR(INDEX('CA Exclusion Map'!$D$2:$D$2001,MATCH($C155,'CA Exclusion Map'!$A$2:$A$2001,0)),"")</f>
        <v/>
      </c>
      <c r="V155" s="40" t="str">
        <f aca="false">IFERROR(INDEX('CA Exclusion Map'!$E$2:$E$2001,MATCH($C155,'CA Exclusion Map'!$A$2:$A$2001,0)),"")</f>
        <v/>
      </c>
      <c r="W155" s="40" t="str">
        <f aca="false">IFERROR(INDEX('CA Exclusion Map'!$F$2:$F$2001,MATCH($C155,'CA Exclusion Map'!$A$2:$A$2001,0)),"")</f>
        <v/>
      </c>
      <c r="X155" s="36"/>
      <c r="Y155" s="37"/>
      <c r="Z155" s="38"/>
      <c r="AA155" s="38"/>
      <c r="AB155" s="39" t="str">
        <f aca="true">IF(T155="","",IF(T155&lt;&gt;"Yes","N/A",IF(AA155="","NO EXPIRY SET",IF(TODAY()&gt;AA155,"EXPIRED",IF(AA155-TODAY()&lt;=30,"Expiring Soon","Active")))))</f>
        <v/>
      </c>
      <c r="AC155" s="36"/>
      <c r="AD155" s="36"/>
      <c r="AE155" s="37"/>
      <c r="AF155" s="36"/>
      <c r="AG155" s="37"/>
      <c r="AH155" s="37"/>
      <c r="AI155" s="37"/>
      <c r="AJ155" s="37"/>
      <c r="AK155" s="38"/>
      <c r="AL155" s="37"/>
      <c r="AM155" s="37"/>
      <c r="AN155" s="41" t="str">
        <f aca="false">IF(AK155="","",AK155+90)</f>
        <v/>
      </c>
      <c r="AO155" s="39" t="str">
        <f aca="true">IF(C155="","",IF(AK155="","NOT REVIEWED",IF(TODAY()&gt;AN155,"OVERDUE",IF(AN155-TODAY()&lt;=14,"Due Soon","Current"))))</f>
        <v/>
      </c>
      <c r="AP155" s="36"/>
    </row>
    <row r="156" customFormat="false" ht="15" hidden="false" customHeight="false" outlineLevel="0" collapsed="false">
      <c r="A156" s="36"/>
      <c r="B156" s="36"/>
      <c r="C156" s="36"/>
      <c r="D156" s="37"/>
      <c r="E156" s="38"/>
      <c r="F156" s="38"/>
      <c r="G156" s="36"/>
      <c r="H156" s="37"/>
      <c r="I156" s="39" t="str">
        <f aca="true">IF(F156="","",TODAY()-F156)</f>
        <v/>
      </c>
      <c r="J156" s="40" t="str">
        <f aca="false">IFERROR(INDEX('Azure Resource Map'!$H$2:$H$2001,MATCH($C156,'Azure Resource Map'!$A$2:$A$2001,0)),"")</f>
        <v/>
      </c>
      <c r="K156" s="40" t="str">
        <f aca="false">IFERROR(INDEX('Azure Resource Map'!$I$2:$I$2001,MATCH($C156,'Azure Resource Map'!$A$2:$A$2001,0)),"")</f>
        <v/>
      </c>
      <c r="L156" s="39" t="str">
        <f aca="false">IFERROR(INDEX('Azure Resource Map'!$J$2:$J$2001,MATCH($C156,'Azure Resource Map'!$A$2:$A$2001,0)),"")</f>
        <v/>
      </c>
      <c r="M156" s="40" t="str">
        <f aca="false">IFERROR(INDEX('Azure Resource Map'!$K$2:$K$2001,MATCH($C156,'Azure Resource Map'!$A$2:$A$2001,0)),"")</f>
        <v/>
      </c>
      <c r="N156" s="39" t="str">
        <f aca="false">IFERROR(INDEX('Azure Resource Map'!$L$2:$L$2001,MATCH($C156,'Azure Resource Map'!$A$2:$A$2001,0)),"")</f>
        <v/>
      </c>
      <c r="O156" s="39" t="str">
        <f aca="false">IFERROR(INDEX('Azure Resource Map'!$M$2:$M$2001,MATCH($C156,'Azure Resource Map'!$A$2:$A$2001,0)),"")</f>
        <v/>
      </c>
      <c r="P156" s="40" t="str">
        <f aca="false">IFERROR(INDEX('Azure Resource Map'!$D$2:$D$2001,MATCH($C156,'Azure Resource Map'!$A$2:$A$2001,0)),"")</f>
        <v/>
      </c>
      <c r="Q156" s="39" t="str">
        <f aca="false">IFERROR(INDEX('Azure Resource Map'!$E$2:$E$2001,MATCH($C156,'Azure Resource Map'!$A$2:$A$2001,0)),"")</f>
        <v/>
      </c>
      <c r="R156" s="39" t="str">
        <f aca="false">IFERROR(INDEX('Azure Resource Map'!$F$2:$F$2001,MATCH($C156,'Azure Resource Map'!$A$2:$A$2001,0)),"")</f>
        <v/>
      </c>
      <c r="S156" s="37"/>
      <c r="T156" s="39" t="str">
        <f aca="false">IF($C156="","",IF(ISNUMBER(MATCH($C156,'CA Exclusion Map'!$A$2:$A$2001,0)),"Yes","No"))</f>
        <v/>
      </c>
      <c r="U156" s="39" t="str">
        <f aca="false">IFERROR(INDEX('CA Exclusion Map'!$D$2:$D$2001,MATCH($C156,'CA Exclusion Map'!$A$2:$A$2001,0)),"")</f>
        <v/>
      </c>
      <c r="V156" s="40" t="str">
        <f aca="false">IFERROR(INDEX('CA Exclusion Map'!$E$2:$E$2001,MATCH($C156,'CA Exclusion Map'!$A$2:$A$2001,0)),"")</f>
        <v/>
      </c>
      <c r="W156" s="40" t="str">
        <f aca="false">IFERROR(INDEX('CA Exclusion Map'!$F$2:$F$2001,MATCH($C156,'CA Exclusion Map'!$A$2:$A$2001,0)),"")</f>
        <v/>
      </c>
      <c r="X156" s="36"/>
      <c r="Y156" s="37"/>
      <c r="Z156" s="38"/>
      <c r="AA156" s="38"/>
      <c r="AB156" s="39" t="str">
        <f aca="true">IF(T156="","",IF(T156&lt;&gt;"Yes","N/A",IF(AA156="","NO EXPIRY SET",IF(TODAY()&gt;AA156,"EXPIRED",IF(AA156-TODAY()&lt;=30,"Expiring Soon","Active")))))</f>
        <v/>
      </c>
      <c r="AC156" s="36"/>
      <c r="AD156" s="36"/>
      <c r="AE156" s="37"/>
      <c r="AF156" s="36"/>
      <c r="AG156" s="37"/>
      <c r="AH156" s="37"/>
      <c r="AI156" s="37"/>
      <c r="AJ156" s="37"/>
      <c r="AK156" s="38"/>
      <c r="AL156" s="37"/>
      <c r="AM156" s="37"/>
      <c r="AN156" s="41" t="str">
        <f aca="false">IF(AK156="","",AK156+90)</f>
        <v/>
      </c>
      <c r="AO156" s="39" t="str">
        <f aca="true">IF(C156="","",IF(AK156="","NOT REVIEWED",IF(TODAY()&gt;AN156,"OVERDUE",IF(AN156-TODAY()&lt;=14,"Due Soon","Current"))))</f>
        <v/>
      </c>
      <c r="AP156" s="36"/>
    </row>
    <row r="157" customFormat="false" ht="15" hidden="false" customHeight="false" outlineLevel="0" collapsed="false">
      <c r="A157" s="36"/>
      <c r="B157" s="36"/>
      <c r="C157" s="36"/>
      <c r="D157" s="37"/>
      <c r="E157" s="38"/>
      <c r="F157" s="38"/>
      <c r="G157" s="36"/>
      <c r="H157" s="37"/>
      <c r="I157" s="39" t="str">
        <f aca="true">IF(F157="","",TODAY()-F157)</f>
        <v/>
      </c>
      <c r="J157" s="40" t="str">
        <f aca="false">IFERROR(INDEX('Azure Resource Map'!$H$2:$H$2001,MATCH($C157,'Azure Resource Map'!$A$2:$A$2001,0)),"")</f>
        <v/>
      </c>
      <c r="K157" s="40" t="str">
        <f aca="false">IFERROR(INDEX('Azure Resource Map'!$I$2:$I$2001,MATCH($C157,'Azure Resource Map'!$A$2:$A$2001,0)),"")</f>
        <v/>
      </c>
      <c r="L157" s="39" t="str">
        <f aca="false">IFERROR(INDEX('Azure Resource Map'!$J$2:$J$2001,MATCH($C157,'Azure Resource Map'!$A$2:$A$2001,0)),"")</f>
        <v/>
      </c>
      <c r="M157" s="40" t="str">
        <f aca="false">IFERROR(INDEX('Azure Resource Map'!$K$2:$K$2001,MATCH($C157,'Azure Resource Map'!$A$2:$A$2001,0)),"")</f>
        <v/>
      </c>
      <c r="N157" s="39" t="str">
        <f aca="false">IFERROR(INDEX('Azure Resource Map'!$L$2:$L$2001,MATCH($C157,'Azure Resource Map'!$A$2:$A$2001,0)),"")</f>
        <v/>
      </c>
      <c r="O157" s="39" t="str">
        <f aca="false">IFERROR(INDEX('Azure Resource Map'!$M$2:$M$2001,MATCH($C157,'Azure Resource Map'!$A$2:$A$2001,0)),"")</f>
        <v/>
      </c>
      <c r="P157" s="40" t="str">
        <f aca="false">IFERROR(INDEX('Azure Resource Map'!$D$2:$D$2001,MATCH($C157,'Azure Resource Map'!$A$2:$A$2001,0)),"")</f>
        <v/>
      </c>
      <c r="Q157" s="39" t="str">
        <f aca="false">IFERROR(INDEX('Azure Resource Map'!$E$2:$E$2001,MATCH($C157,'Azure Resource Map'!$A$2:$A$2001,0)),"")</f>
        <v/>
      </c>
      <c r="R157" s="39" t="str">
        <f aca="false">IFERROR(INDEX('Azure Resource Map'!$F$2:$F$2001,MATCH($C157,'Azure Resource Map'!$A$2:$A$2001,0)),"")</f>
        <v/>
      </c>
      <c r="S157" s="37"/>
      <c r="T157" s="39" t="str">
        <f aca="false">IF($C157="","",IF(ISNUMBER(MATCH($C157,'CA Exclusion Map'!$A$2:$A$2001,0)),"Yes","No"))</f>
        <v/>
      </c>
      <c r="U157" s="39" t="str">
        <f aca="false">IFERROR(INDEX('CA Exclusion Map'!$D$2:$D$2001,MATCH($C157,'CA Exclusion Map'!$A$2:$A$2001,0)),"")</f>
        <v/>
      </c>
      <c r="V157" s="40" t="str">
        <f aca="false">IFERROR(INDEX('CA Exclusion Map'!$E$2:$E$2001,MATCH($C157,'CA Exclusion Map'!$A$2:$A$2001,0)),"")</f>
        <v/>
      </c>
      <c r="W157" s="40" t="str">
        <f aca="false">IFERROR(INDEX('CA Exclusion Map'!$F$2:$F$2001,MATCH($C157,'CA Exclusion Map'!$A$2:$A$2001,0)),"")</f>
        <v/>
      </c>
      <c r="X157" s="36"/>
      <c r="Y157" s="37"/>
      <c r="Z157" s="38"/>
      <c r="AA157" s="38"/>
      <c r="AB157" s="39" t="str">
        <f aca="true">IF(T157="","",IF(T157&lt;&gt;"Yes","N/A",IF(AA157="","NO EXPIRY SET",IF(TODAY()&gt;AA157,"EXPIRED",IF(AA157-TODAY()&lt;=30,"Expiring Soon","Active")))))</f>
        <v/>
      </c>
      <c r="AC157" s="36"/>
      <c r="AD157" s="36"/>
      <c r="AE157" s="37"/>
      <c r="AF157" s="36"/>
      <c r="AG157" s="37"/>
      <c r="AH157" s="37"/>
      <c r="AI157" s="37"/>
      <c r="AJ157" s="37"/>
      <c r="AK157" s="38"/>
      <c r="AL157" s="37"/>
      <c r="AM157" s="37"/>
      <c r="AN157" s="41" t="str">
        <f aca="false">IF(AK157="","",AK157+90)</f>
        <v/>
      </c>
      <c r="AO157" s="39" t="str">
        <f aca="true">IF(C157="","",IF(AK157="","NOT REVIEWED",IF(TODAY()&gt;AN157,"OVERDUE",IF(AN157-TODAY()&lt;=14,"Due Soon","Current"))))</f>
        <v/>
      </c>
      <c r="AP157" s="36"/>
    </row>
    <row r="158" customFormat="false" ht="15" hidden="false" customHeight="false" outlineLevel="0" collapsed="false">
      <c r="A158" s="36"/>
      <c r="B158" s="36"/>
      <c r="C158" s="36"/>
      <c r="D158" s="37"/>
      <c r="E158" s="38"/>
      <c r="F158" s="38"/>
      <c r="G158" s="36"/>
      <c r="H158" s="37"/>
      <c r="I158" s="39" t="str">
        <f aca="true">IF(F158="","",TODAY()-F158)</f>
        <v/>
      </c>
      <c r="J158" s="40" t="str">
        <f aca="false">IFERROR(INDEX('Azure Resource Map'!$H$2:$H$2001,MATCH($C158,'Azure Resource Map'!$A$2:$A$2001,0)),"")</f>
        <v/>
      </c>
      <c r="K158" s="40" t="str">
        <f aca="false">IFERROR(INDEX('Azure Resource Map'!$I$2:$I$2001,MATCH($C158,'Azure Resource Map'!$A$2:$A$2001,0)),"")</f>
        <v/>
      </c>
      <c r="L158" s="39" t="str">
        <f aca="false">IFERROR(INDEX('Azure Resource Map'!$J$2:$J$2001,MATCH($C158,'Azure Resource Map'!$A$2:$A$2001,0)),"")</f>
        <v/>
      </c>
      <c r="M158" s="40" t="str">
        <f aca="false">IFERROR(INDEX('Azure Resource Map'!$K$2:$K$2001,MATCH($C158,'Azure Resource Map'!$A$2:$A$2001,0)),"")</f>
        <v/>
      </c>
      <c r="N158" s="39" t="str">
        <f aca="false">IFERROR(INDEX('Azure Resource Map'!$L$2:$L$2001,MATCH($C158,'Azure Resource Map'!$A$2:$A$2001,0)),"")</f>
        <v/>
      </c>
      <c r="O158" s="39" t="str">
        <f aca="false">IFERROR(INDEX('Azure Resource Map'!$M$2:$M$2001,MATCH($C158,'Azure Resource Map'!$A$2:$A$2001,0)),"")</f>
        <v/>
      </c>
      <c r="P158" s="40" t="str">
        <f aca="false">IFERROR(INDEX('Azure Resource Map'!$D$2:$D$2001,MATCH($C158,'Azure Resource Map'!$A$2:$A$2001,0)),"")</f>
        <v/>
      </c>
      <c r="Q158" s="39" t="str">
        <f aca="false">IFERROR(INDEX('Azure Resource Map'!$E$2:$E$2001,MATCH($C158,'Azure Resource Map'!$A$2:$A$2001,0)),"")</f>
        <v/>
      </c>
      <c r="R158" s="39" t="str">
        <f aca="false">IFERROR(INDEX('Azure Resource Map'!$F$2:$F$2001,MATCH($C158,'Azure Resource Map'!$A$2:$A$2001,0)),"")</f>
        <v/>
      </c>
      <c r="S158" s="37"/>
      <c r="T158" s="39" t="str">
        <f aca="false">IF($C158="","",IF(ISNUMBER(MATCH($C158,'CA Exclusion Map'!$A$2:$A$2001,0)),"Yes","No"))</f>
        <v/>
      </c>
      <c r="U158" s="39" t="str">
        <f aca="false">IFERROR(INDEX('CA Exclusion Map'!$D$2:$D$2001,MATCH($C158,'CA Exclusion Map'!$A$2:$A$2001,0)),"")</f>
        <v/>
      </c>
      <c r="V158" s="40" t="str">
        <f aca="false">IFERROR(INDEX('CA Exclusion Map'!$E$2:$E$2001,MATCH($C158,'CA Exclusion Map'!$A$2:$A$2001,0)),"")</f>
        <v/>
      </c>
      <c r="W158" s="40" t="str">
        <f aca="false">IFERROR(INDEX('CA Exclusion Map'!$F$2:$F$2001,MATCH($C158,'CA Exclusion Map'!$A$2:$A$2001,0)),"")</f>
        <v/>
      </c>
      <c r="X158" s="36"/>
      <c r="Y158" s="37"/>
      <c r="Z158" s="38"/>
      <c r="AA158" s="38"/>
      <c r="AB158" s="39" t="str">
        <f aca="true">IF(T158="","",IF(T158&lt;&gt;"Yes","N/A",IF(AA158="","NO EXPIRY SET",IF(TODAY()&gt;AA158,"EXPIRED",IF(AA158-TODAY()&lt;=30,"Expiring Soon","Active")))))</f>
        <v/>
      </c>
      <c r="AC158" s="36"/>
      <c r="AD158" s="36"/>
      <c r="AE158" s="37"/>
      <c r="AF158" s="36"/>
      <c r="AG158" s="37"/>
      <c r="AH158" s="37"/>
      <c r="AI158" s="37"/>
      <c r="AJ158" s="37"/>
      <c r="AK158" s="38"/>
      <c r="AL158" s="37"/>
      <c r="AM158" s="37"/>
      <c r="AN158" s="41" t="str">
        <f aca="false">IF(AK158="","",AK158+90)</f>
        <v/>
      </c>
      <c r="AO158" s="39" t="str">
        <f aca="true">IF(C158="","",IF(AK158="","NOT REVIEWED",IF(TODAY()&gt;AN158,"OVERDUE",IF(AN158-TODAY()&lt;=14,"Due Soon","Current"))))</f>
        <v/>
      </c>
      <c r="AP158" s="36"/>
    </row>
    <row r="159" customFormat="false" ht="15" hidden="false" customHeight="false" outlineLevel="0" collapsed="false">
      <c r="A159" s="36"/>
      <c r="B159" s="36"/>
      <c r="C159" s="36"/>
      <c r="D159" s="37"/>
      <c r="E159" s="38"/>
      <c r="F159" s="38"/>
      <c r="G159" s="36"/>
      <c r="H159" s="37"/>
      <c r="I159" s="39" t="str">
        <f aca="true">IF(F159="","",TODAY()-F159)</f>
        <v/>
      </c>
      <c r="J159" s="40" t="str">
        <f aca="false">IFERROR(INDEX('Azure Resource Map'!$H$2:$H$2001,MATCH($C159,'Azure Resource Map'!$A$2:$A$2001,0)),"")</f>
        <v/>
      </c>
      <c r="K159" s="40" t="str">
        <f aca="false">IFERROR(INDEX('Azure Resource Map'!$I$2:$I$2001,MATCH($C159,'Azure Resource Map'!$A$2:$A$2001,0)),"")</f>
        <v/>
      </c>
      <c r="L159" s="39" t="str">
        <f aca="false">IFERROR(INDEX('Azure Resource Map'!$J$2:$J$2001,MATCH($C159,'Azure Resource Map'!$A$2:$A$2001,0)),"")</f>
        <v/>
      </c>
      <c r="M159" s="40" t="str">
        <f aca="false">IFERROR(INDEX('Azure Resource Map'!$K$2:$K$2001,MATCH($C159,'Azure Resource Map'!$A$2:$A$2001,0)),"")</f>
        <v/>
      </c>
      <c r="N159" s="39" t="str">
        <f aca="false">IFERROR(INDEX('Azure Resource Map'!$L$2:$L$2001,MATCH($C159,'Azure Resource Map'!$A$2:$A$2001,0)),"")</f>
        <v/>
      </c>
      <c r="O159" s="39" t="str">
        <f aca="false">IFERROR(INDEX('Azure Resource Map'!$M$2:$M$2001,MATCH($C159,'Azure Resource Map'!$A$2:$A$2001,0)),"")</f>
        <v/>
      </c>
      <c r="P159" s="40" t="str">
        <f aca="false">IFERROR(INDEX('Azure Resource Map'!$D$2:$D$2001,MATCH($C159,'Azure Resource Map'!$A$2:$A$2001,0)),"")</f>
        <v/>
      </c>
      <c r="Q159" s="39" t="str">
        <f aca="false">IFERROR(INDEX('Azure Resource Map'!$E$2:$E$2001,MATCH($C159,'Azure Resource Map'!$A$2:$A$2001,0)),"")</f>
        <v/>
      </c>
      <c r="R159" s="39" t="str">
        <f aca="false">IFERROR(INDEX('Azure Resource Map'!$F$2:$F$2001,MATCH($C159,'Azure Resource Map'!$A$2:$A$2001,0)),"")</f>
        <v/>
      </c>
      <c r="S159" s="37"/>
      <c r="T159" s="39" t="str">
        <f aca="false">IF($C159="","",IF(ISNUMBER(MATCH($C159,'CA Exclusion Map'!$A$2:$A$2001,0)),"Yes","No"))</f>
        <v/>
      </c>
      <c r="U159" s="39" t="str">
        <f aca="false">IFERROR(INDEX('CA Exclusion Map'!$D$2:$D$2001,MATCH($C159,'CA Exclusion Map'!$A$2:$A$2001,0)),"")</f>
        <v/>
      </c>
      <c r="V159" s="40" t="str">
        <f aca="false">IFERROR(INDEX('CA Exclusion Map'!$E$2:$E$2001,MATCH($C159,'CA Exclusion Map'!$A$2:$A$2001,0)),"")</f>
        <v/>
      </c>
      <c r="W159" s="40" t="str">
        <f aca="false">IFERROR(INDEX('CA Exclusion Map'!$F$2:$F$2001,MATCH($C159,'CA Exclusion Map'!$A$2:$A$2001,0)),"")</f>
        <v/>
      </c>
      <c r="X159" s="36"/>
      <c r="Y159" s="37"/>
      <c r="Z159" s="38"/>
      <c r="AA159" s="38"/>
      <c r="AB159" s="39" t="str">
        <f aca="true">IF(T159="","",IF(T159&lt;&gt;"Yes","N/A",IF(AA159="","NO EXPIRY SET",IF(TODAY()&gt;AA159,"EXPIRED",IF(AA159-TODAY()&lt;=30,"Expiring Soon","Active")))))</f>
        <v/>
      </c>
      <c r="AC159" s="36"/>
      <c r="AD159" s="36"/>
      <c r="AE159" s="37"/>
      <c r="AF159" s="36"/>
      <c r="AG159" s="37"/>
      <c r="AH159" s="37"/>
      <c r="AI159" s="37"/>
      <c r="AJ159" s="37"/>
      <c r="AK159" s="38"/>
      <c r="AL159" s="37"/>
      <c r="AM159" s="37"/>
      <c r="AN159" s="41" t="str">
        <f aca="false">IF(AK159="","",AK159+90)</f>
        <v/>
      </c>
      <c r="AO159" s="39" t="str">
        <f aca="true">IF(C159="","",IF(AK159="","NOT REVIEWED",IF(TODAY()&gt;AN159,"OVERDUE",IF(AN159-TODAY()&lt;=14,"Due Soon","Current"))))</f>
        <v/>
      </c>
      <c r="AP159" s="36"/>
    </row>
    <row r="160" customFormat="false" ht="15" hidden="false" customHeight="false" outlineLevel="0" collapsed="false">
      <c r="A160" s="36"/>
      <c r="B160" s="36"/>
      <c r="C160" s="36"/>
      <c r="D160" s="37"/>
      <c r="E160" s="38"/>
      <c r="F160" s="38"/>
      <c r="G160" s="36"/>
      <c r="H160" s="37"/>
      <c r="I160" s="39" t="str">
        <f aca="true">IF(F160="","",TODAY()-F160)</f>
        <v/>
      </c>
      <c r="J160" s="40" t="str">
        <f aca="false">IFERROR(INDEX('Azure Resource Map'!$H$2:$H$2001,MATCH($C160,'Azure Resource Map'!$A$2:$A$2001,0)),"")</f>
        <v/>
      </c>
      <c r="K160" s="40" t="str">
        <f aca="false">IFERROR(INDEX('Azure Resource Map'!$I$2:$I$2001,MATCH($C160,'Azure Resource Map'!$A$2:$A$2001,0)),"")</f>
        <v/>
      </c>
      <c r="L160" s="39" t="str">
        <f aca="false">IFERROR(INDEX('Azure Resource Map'!$J$2:$J$2001,MATCH($C160,'Azure Resource Map'!$A$2:$A$2001,0)),"")</f>
        <v/>
      </c>
      <c r="M160" s="40" t="str">
        <f aca="false">IFERROR(INDEX('Azure Resource Map'!$K$2:$K$2001,MATCH($C160,'Azure Resource Map'!$A$2:$A$2001,0)),"")</f>
        <v/>
      </c>
      <c r="N160" s="39" t="str">
        <f aca="false">IFERROR(INDEX('Azure Resource Map'!$L$2:$L$2001,MATCH($C160,'Azure Resource Map'!$A$2:$A$2001,0)),"")</f>
        <v/>
      </c>
      <c r="O160" s="39" t="str">
        <f aca="false">IFERROR(INDEX('Azure Resource Map'!$M$2:$M$2001,MATCH($C160,'Azure Resource Map'!$A$2:$A$2001,0)),"")</f>
        <v/>
      </c>
      <c r="P160" s="40" t="str">
        <f aca="false">IFERROR(INDEX('Azure Resource Map'!$D$2:$D$2001,MATCH($C160,'Azure Resource Map'!$A$2:$A$2001,0)),"")</f>
        <v/>
      </c>
      <c r="Q160" s="39" t="str">
        <f aca="false">IFERROR(INDEX('Azure Resource Map'!$E$2:$E$2001,MATCH($C160,'Azure Resource Map'!$A$2:$A$2001,0)),"")</f>
        <v/>
      </c>
      <c r="R160" s="39" t="str">
        <f aca="false">IFERROR(INDEX('Azure Resource Map'!$F$2:$F$2001,MATCH($C160,'Azure Resource Map'!$A$2:$A$2001,0)),"")</f>
        <v/>
      </c>
      <c r="S160" s="37"/>
      <c r="T160" s="39" t="str">
        <f aca="false">IF($C160="","",IF(ISNUMBER(MATCH($C160,'CA Exclusion Map'!$A$2:$A$2001,0)),"Yes","No"))</f>
        <v/>
      </c>
      <c r="U160" s="39" t="str">
        <f aca="false">IFERROR(INDEX('CA Exclusion Map'!$D$2:$D$2001,MATCH($C160,'CA Exclusion Map'!$A$2:$A$2001,0)),"")</f>
        <v/>
      </c>
      <c r="V160" s="40" t="str">
        <f aca="false">IFERROR(INDEX('CA Exclusion Map'!$E$2:$E$2001,MATCH($C160,'CA Exclusion Map'!$A$2:$A$2001,0)),"")</f>
        <v/>
      </c>
      <c r="W160" s="40" t="str">
        <f aca="false">IFERROR(INDEX('CA Exclusion Map'!$F$2:$F$2001,MATCH($C160,'CA Exclusion Map'!$A$2:$A$2001,0)),"")</f>
        <v/>
      </c>
      <c r="X160" s="36"/>
      <c r="Y160" s="37"/>
      <c r="Z160" s="38"/>
      <c r="AA160" s="38"/>
      <c r="AB160" s="39" t="str">
        <f aca="true">IF(T160="","",IF(T160&lt;&gt;"Yes","N/A",IF(AA160="","NO EXPIRY SET",IF(TODAY()&gt;AA160,"EXPIRED",IF(AA160-TODAY()&lt;=30,"Expiring Soon","Active")))))</f>
        <v/>
      </c>
      <c r="AC160" s="36"/>
      <c r="AD160" s="36"/>
      <c r="AE160" s="37"/>
      <c r="AF160" s="36"/>
      <c r="AG160" s="37"/>
      <c r="AH160" s="37"/>
      <c r="AI160" s="37"/>
      <c r="AJ160" s="37"/>
      <c r="AK160" s="38"/>
      <c r="AL160" s="37"/>
      <c r="AM160" s="37"/>
      <c r="AN160" s="41" t="str">
        <f aca="false">IF(AK160="","",AK160+90)</f>
        <v/>
      </c>
      <c r="AO160" s="39" t="str">
        <f aca="true">IF(C160="","",IF(AK160="","NOT REVIEWED",IF(TODAY()&gt;AN160,"OVERDUE",IF(AN160-TODAY()&lt;=14,"Due Soon","Current"))))</f>
        <v/>
      </c>
      <c r="AP160" s="36"/>
    </row>
    <row r="161" customFormat="false" ht="15" hidden="false" customHeight="false" outlineLevel="0" collapsed="false">
      <c r="A161" s="36"/>
      <c r="B161" s="36"/>
      <c r="C161" s="36"/>
      <c r="D161" s="37"/>
      <c r="E161" s="38"/>
      <c r="F161" s="38"/>
      <c r="G161" s="36"/>
      <c r="H161" s="37"/>
      <c r="I161" s="39" t="str">
        <f aca="true">IF(F161="","",TODAY()-F161)</f>
        <v/>
      </c>
      <c r="J161" s="40" t="str">
        <f aca="false">IFERROR(INDEX('Azure Resource Map'!$H$2:$H$2001,MATCH($C161,'Azure Resource Map'!$A$2:$A$2001,0)),"")</f>
        <v/>
      </c>
      <c r="K161" s="40" t="str">
        <f aca="false">IFERROR(INDEX('Azure Resource Map'!$I$2:$I$2001,MATCH($C161,'Azure Resource Map'!$A$2:$A$2001,0)),"")</f>
        <v/>
      </c>
      <c r="L161" s="39" t="str">
        <f aca="false">IFERROR(INDEX('Azure Resource Map'!$J$2:$J$2001,MATCH($C161,'Azure Resource Map'!$A$2:$A$2001,0)),"")</f>
        <v/>
      </c>
      <c r="M161" s="40" t="str">
        <f aca="false">IFERROR(INDEX('Azure Resource Map'!$K$2:$K$2001,MATCH($C161,'Azure Resource Map'!$A$2:$A$2001,0)),"")</f>
        <v/>
      </c>
      <c r="N161" s="39" t="str">
        <f aca="false">IFERROR(INDEX('Azure Resource Map'!$L$2:$L$2001,MATCH($C161,'Azure Resource Map'!$A$2:$A$2001,0)),"")</f>
        <v/>
      </c>
      <c r="O161" s="39" t="str">
        <f aca="false">IFERROR(INDEX('Azure Resource Map'!$M$2:$M$2001,MATCH($C161,'Azure Resource Map'!$A$2:$A$2001,0)),"")</f>
        <v/>
      </c>
      <c r="P161" s="40" t="str">
        <f aca="false">IFERROR(INDEX('Azure Resource Map'!$D$2:$D$2001,MATCH($C161,'Azure Resource Map'!$A$2:$A$2001,0)),"")</f>
        <v/>
      </c>
      <c r="Q161" s="39" t="str">
        <f aca="false">IFERROR(INDEX('Azure Resource Map'!$E$2:$E$2001,MATCH($C161,'Azure Resource Map'!$A$2:$A$2001,0)),"")</f>
        <v/>
      </c>
      <c r="R161" s="39" t="str">
        <f aca="false">IFERROR(INDEX('Azure Resource Map'!$F$2:$F$2001,MATCH($C161,'Azure Resource Map'!$A$2:$A$2001,0)),"")</f>
        <v/>
      </c>
      <c r="S161" s="37"/>
      <c r="T161" s="39" t="str">
        <f aca="false">IF($C161="","",IF(ISNUMBER(MATCH($C161,'CA Exclusion Map'!$A$2:$A$2001,0)),"Yes","No"))</f>
        <v/>
      </c>
      <c r="U161" s="39" t="str">
        <f aca="false">IFERROR(INDEX('CA Exclusion Map'!$D$2:$D$2001,MATCH($C161,'CA Exclusion Map'!$A$2:$A$2001,0)),"")</f>
        <v/>
      </c>
      <c r="V161" s="40" t="str">
        <f aca="false">IFERROR(INDEX('CA Exclusion Map'!$E$2:$E$2001,MATCH($C161,'CA Exclusion Map'!$A$2:$A$2001,0)),"")</f>
        <v/>
      </c>
      <c r="W161" s="40" t="str">
        <f aca="false">IFERROR(INDEX('CA Exclusion Map'!$F$2:$F$2001,MATCH($C161,'CA Exclusion Map'!$A$2:$A$2001,0)),"")</f>
        <v/>
      </c>
      <c r="X161" s="36"/>
      <c r="Y161" s="37"/>
      <c r="Z161" s="38"/>
      <c r="AA161" s="38"/>
      <c r="AB161" s="39" t="str">
        <f aca="true">IF(T161="","",IF(T161&lt;&gt;"Yes","N/A",IF(AA161="","NO EXPIRY SET",IF(TODAY()&gt;AA161,"EXPIRED",IF(AA161-TODAY()&lt;=30,"Expiring Soon","Active")))))</f>
        <v/>
      </c>
      <c r="AC161" s="36"/>
      <c r="AD161" s="36"/>
      <c r="AE161" s="37"/>
      <c r="AF161" s="36"/>
      <c r="AG161" s="37"/>
      <c r="AH161" s="37"/>
      <c r="AI161" s="37"/>
      <c r="AJ161" s="37"/>
      <c r="AK161" s="38"/>
      <c r="AL161" s="37"/>
      <c r="AM161" s="37"/>
      <c r="AN161" s="41" t="str">
        <f aca="false">IF(AK161="","",AK161+90)</f>
        <v/>
      </c>
      <c r="AO161" s="39" t="str">
        <f aca="true">IF(C161="","",IF(AK161="","NOT REVIEWED",IF(TODAY()&gt;AN161,"OVERDUE",IF(AN161-TODAY()&lt;=14,"Due Soon","Current"))))</f>
        <v/>
      </c>
      <c r="AP161" s="36"/>
    </row>
    <row r="162" customFormat="false" ht="15" hidden="false" customHeight="false" outlineLevel="0" collapsed="false">
      <c r="A162" s="36"/>
      <c r="B162" s="36"/>
      <c r="C162" s="36"/>
      <c r="D162" s="37"/>
      <c r="E162" s="38"/>
      <c r="F162" s="38"/>
      <c r="G162" s="36"/>
      <c r="H162" s="37"/>
      <c r="I162" s="39" t="str">
        <f aca="true">IF(F162="","",TODAY()-F162)</f>
        <v/>
      </c>
      <c r="J162" s="40" t="str">
        <f aca="false">IFERROR(INDEX('Azure Resource Map'!$H$2:$H$2001,MATCH($C162,'Azure Resource Map'!$A$2:$A$2001,0)),"")</f>
        <v/>
      </c>
      <c r="K162" s="40" t="str">
        <f aca="false">IFERROR(INDEX('Azure Resource Map'!$I$2:$I$2001,MATCH($C162,'Azure Resource Map'!$A$2:$A$2001,0)),"")</f>
        <v/>
      </c>
      <c r="L162" s="39" t="str">
        <f aca="false">IFERROR(INDEX('Azure Resource Map'!$J$2:$J$2001,MATCH($C162,'Azure Resource Map'!$A$2:$A$2001,0)),"")</f>
        <v/>
      </c>
      <c r="M162" s="40" t="str">
        <f aca="false">IFERROR(INDEX('Azure Resource Map'!$K$2:$K$2001,MATCH($C162,'Azure Resource Map'!$A$2:$A$2001,0)),"")</f>
        <v/>
      </c>
      <c r="N162" s="39" t="str">
        <f aca="false">IFERROR(INDEX('Azure Resource Map'!$L$2:$L$2001,MATCH($C162,'Azure Resource Map'!$A$2:$A$2001,0)),"")</f>
        <v/>
      </c>
      <c r="O162" s="39" t="str">
        <f aca="false">IFERROR(INDEX('Azure Resource Map'!$M$2:$M$2001,MATCH($C162,'Azure Resource Map'!$A$2:$A$2001,0)),"")</f>
        <v/>
      </c>
      <c r="P162" s="40" t="str">
        <f aca="false">IFERROR(INDEX('Azure Resource Map'!$D$2:$D$2001,MATCH($C162,'Azure Resource Map'!$A$2:$A$2001,0)),"")</f>
        <v/>
      </c>
      <c r="Q162" s="39" t="str">
        <f aca="false">IFERROR(INDEX('Azure Resource Map'!$E$2:$E$2001,MATCH($C162,'Azure Resource Map'!$A$2:$A$2001,0)),"")</f>
        <v/>
      </c>
      <c r="R162" s="39" t="str">
        <f aca="false">IFERROR(INDEX('Azure Resource Map'!$F$2:$F$2001,MATCH($C162,'Azure Resource Map'!$A$2:$A$2001,0)),"")</f>
        <v/>
      </c>
      <c r="S162" s="37"/>
      <c r="T162" s="39" t="str">
        <f aca="false">IF($C162="","",IF(ISNUMBER(MATCH($C162,'CA Exclusion Map'!$A$2:$A$2001,0)),"Yes","No"))</f>
        <v/>
      </c>
      <c r="U162" s="39" t="str">
        <f aca="false">IFERROR(INDEX('CA Exclusion Map'!$D$2:$D$2001,MATCH($C162,'CA Exclusion Map'!$A$2:$A$2001,0)),"")</f>
        <v/>
      </c>
      <c r="V162" s="40" t="str">
        <f aca="false">IFERROR(INDEX('CA Exclusion Map'!$E$2:$E$2001,MATCH($C162,'CA Exclusion Map'!$A$2:$A$2001,0)),"")</f>
        <v/>
      </c>
      <c r="W162" s="40" t="str">
        <f aca="false">IFERROR(INDEX('CA Exclusion Map'!$F$2:$F$2001,MATCH($C162,'CA Exclusion Map'!$A$2:$A$2001,0)),"")</f>
        <v/>
      </c>
      <c r="X162" s="36"/>
      <c r="Y162" s="37"/>
      <c r="Z162" s="38"/>
      <c r="AA162" s="38"/>
      <c r="AB162" s="39" t="str">
        <f aca="true">IF(T162="","",IF(T162&lt;&gt;"Yes","N/A",IF(AA162="","NO EXPIRY SET",IF(TODAY()&gt;AA162,"EXPIRED",IF(AA162-TODAY()&lt;=30,"Expiring Soon","Active")))))</f>
        <v/>
      </c>
      <c r="AC162" s="36"/>
      <c r="AD162" s="36"/>
      <c r="AE162" s="37"/>
      <c r="AF162" s="36"/>
      <c r="AG162" s="37"/>
      <c r="AH162" s="37"/>
      <c r="AI162" s="37"/>
      <c r="AJ162" s="37"/>
      <c r="AK162" s="38"/>
      <c r="AL162" s="37"/>
      <c r="AM162" s="37"/>
      <c r="AN162" s="41" t="str">
        <f aca="false">IF(AK162="","",AK162+90)</f>
        <v/>
      </c>
      <c r="AO162" s="39" t="str">
        <f aca="true">IF(C162="","",IF(AK162="","NOT REVIEWED",IF(TODAY()&gt;AN162,"OVERDUE",IF(AN162-TODAY()&lt;=14,"Due Soon","Current"))))</f>
        <v/>
      </c>
      <c r="AP162" s="36"/>
    </row>
    <row r="163" customFormat="false" ht="15" hidden="false" customHeight="false" outlineLevel="0" collapsed="false">
      <c r="A163" s="36"/>
      <c r="B163" s="36"/>
      <c r="C163" s="36"/>
      <c r="D163" s="37"/>
      <c r="E163" s="38"/>
      <c r="F163" s="38"/>
      <c r="G163" s="36"/>
      <c r="H163" s="37"/>
      <c r="I163" s="39" t="str">
        <f aca="true">IF(F163="","",TODAY()-F163)</f>
        <v/>
      </c>
      <c r="J163" s="40" t="str">
        <f aca="false">IFERROR(INDEX('Azure Resource Map'!$H$2:$H$2001,MATCH($C163,'Azure Resource Map'!$A$2:$A$2001,0)),"")</f>
        <v/>
      </c>
      <c r="K163" s="40" t="str">
        <f aca="false">IFERROR(INDEX('Azure Resource Map'!$I$2:$I$2001,MATCH($C163,'Azure Resource Map'!$A$2:$A$2001,0)),"")</f>
        <v/>
      </c>
      <c r="L163" s="39" t="str">
        <f aca="false">IFERROR(INDEX('Azure Resource Map'!$J$2:$J$2001,MATCH($C163,'Azure Resource Map'!$A$2:$A$2001,0)),"")</f>
        <v/>
      </c>
      <c r="M163" s="40" t="str">
        <f aca="false">IFERROR(INDEX('Azure Resource Map'!$K$2:$K$2001,MATCH($C163,'Azure Resource Map'!$A$2:$A$2001,0)),"")</f>
        <v/>
      </c>
      <c r="N163" s="39" t="str">
        <f aca="false">IFERROR(INDEX('Azure Resource Map'!$L$2:$L$2001,MATCH($C163,'Azure Resource Map'!$A$2:$A$2001,0)),"")</f>
        <v/>
      </c>
      <c r="O163" s="39" t="str">
        <f aca="false">IFERROR(INDEX('Azure Resource Map'!$M$2:$M$2001,MATCH($C163,'Azure Resource Map'!$A$2:$A$2001,0)),"")</f>
        <v/>
      </c>
      <c r="P163" s="40" t="str">
        <f aca="false">IFERROR(INDEX('Azure Resource Map'!$D$2:$D$2001,MATCH($C163,'Azure Resource Map'!$A$2:$A$2001,0)),"")</f>
        <v/>
      </c>
      <c r="Q163" s="39" t="str">
        <f aca="false">IFERROR(INDEX('Azure Resource Map'!$E$2:$E$2001,MATCH($C163,'Azure Resource Map'!$A$2:$A$2001,0)),"")</f>
        <v/>
      </c>
      <c r="R163" s="39" t="str">
        <f aca="false">IFERROR(INDEX('Azure Resource Map'!$F$2:$F$2001,MATCH($C163,'Azure Resource Map'!$A$2:$A$2001,0)),"")</f>
        <v/>
      </c>
      <c r="S163" s="37"/>
      <c r="T163" s="39" t="str">
        <f aca="false">IF($C163="","",IF(ISNUMBER(MATCH($C163,'CA Exclusion Map'!$A$2:$A$2001,0)),"Yes","No"))</f>
        <v/>
      </c>
      <c r="U163" s="39" t="str">
        <f aca="false">IFERROR(INDEX('CA Exclusion Map'!$D$2:$D$2001,MATCH($C163,'CA Exclusion Map'!$A$2:$A$2001,0)),"")</f>
        <v/>
      </c>
      <c r="V163" s="40" t="str">
        <f aca="false">IFERROR(INDEX('CA Exclusion Map'!$E$2:$E$2001,MATCH($C163,'CA Exclusion Map'!$A$2:$A$2001,0)),"")</f>
        <v/>
      </c>
      <c r="W163" s="40" t="str">
        <f aca="false">IFERROR(INDEX('CA Exclusion Map'!$F$2:$F$2001,MATCH($C163,'CA Exclusion Map'!$A$2:$A$2001,0)),"")</f>
        <v/>
      </c>
      <c r="X163" s="36"/>
      <c r="Y163" s="37"/>
      <c r="Z163" s="38"/>
      <c r="AA163" s="38"/>
      <c r="AB163" s="39" t="str">
        <f aca="true">IF(T163="","",IF(T163&lt;&gt;"Yes","N/A",IF(AA163="","NO EXPIRY SET",IF(TODAY()&gt;AA163,"EXPIRED",IF(AA163-TODAY()&lt;=30,"Expiring Soon","Active")))))</f>
        <v/>
      </c>
      <c r="AC163" s="36"/>
      <c r="AD163" s="36"/>
      <c r="AE163" s="37"/>
      <c r="AF163" s="36"/>
      <c r="AG163" s="37"/>
      <c r="AH163" s="37"/>
      <c r="AI163" s="37"/>
      <c r="AJ163" s="37"/>
      <c r="AK163" s="38"/>
      <c r="AL163" s="37"/>
      <c r="AM163" s="37"/>
      <c r="AN163" s="41" t="str">
        <f aca="false">IF(AK163="","",AK163+90)</f>
        <v/>
      </c>
      <c r="AO163" s="39" t="str">
        <f aca="true">IF(C163="","",IF(AK163="","NOT REVIEWED",IF(TODAY()&gt;AN163,"OVERDUE",IF(AN163-TODAY()&lt;=14,"Due Soon","Current"))))</f>
        <v/>
      </c>
      <c r="AP163" s="36"/>
    </row>
    <row r="164" customFormat="false" ht="15" hidden="false" customHeight="false" outlineLevel="0" collapsed="false">
      <c r="A164" s="36"/>
      <c r="B164" s="36"/>
      <c r="C164" s="36"/>
      <c r="D164" s="37"/>
      <c r="E164" s="38"/>
      <c r="F164" s="38"/>
      <c r="G164" s="36"/>
      <c r="H164" s="37"/>
      <c r="I164" s="39" t="str">
        <f aca="true">IF(F164="","",TODAY()-F164)</f>
        <v/>
      </c>
      <c r="J164" s="40" t="str">
        <f aca="false">IFERROR(INDEX('Azure Resource Map'!$H$2:$H$2001,MATCH($C164,'Azure Resource Map'!$A$2:$A$2001,0)),"")</f>
        <v/>
      </c>
      <c r="K164" s="40" t="str">
        <f aca="false">IFERROR(INDEX('Azure Resource Map'!$I$2:$I$2001,MATCH($C164,'Azure Resource Map'!$A$2:$A$2001,0)),"")</f>
        <v/>
      </c>
      <c r="L164" s="39" t="str">
        <f aca="false">IFERROR(INDEX('Azure Resource Map'!$J$2:$J$2001,MATCH($C164,'Azure Resource Map'!$A$2:$A$2001,0)),"")</f>
        <v/>
      </c>
      <c r="M164" s="40" t="str">
        <f aca="false">IFERROR(INDEX('Azure Resource Map'!$K$2:$K$2001,MATCH($C164,'Azure Resource Map'!$A$2:$A$2001,0)),"")</f>
        <v/>
      </c>
      <c r="N164" s="39" t="str">
        <f aca="false">IFERROR(INDEX('Azure Resource Map'!$L$2:$L$2001,MATCH($C164,'Azure Resource Map'!$A$2:$A$2001,0)),"")</f>
        <v/>
      </c>
      <c r="O164" s="39" t="str">
        <f aca="false">IFERROR(INDEX('Azure Resource Map'!$M$2:$M$2001,MATCH($C164,'Azure Resource Map'!$A$2:$A$2001,0)),"")</f>
        <v/>
      </c>
      <c r="P164" s="40" t="str">
        <f aca="false">IFERROR(INDEX('Azure Resource Map'!$D$2:$D$2001,MATCH($C164,'Azure Resource Map'!$A$2:$A$2001,0)),"")</f>
        <v/>
      </c>
      <c r="Q164" s="39" t="str">
        <f aca="false">IFERROR(INDEX('Azure Resource Map'!$E$2:$E$2001,MATCH($C164,'Azure Resource Map'!$A$2:$A$2001,0)),"")</f>
        <v/>
      </c>
      <c r="R164" s="39" t="str">
        <f aca="false">IFERROR(INDEX('Azure Resource Map'!$F$2:$F$2001,MATCH($C164,'Azure Resource Map'!$A$2:$A$2001,0)),"")</f>
        <v/>
      </c>
      <c r="S164" s="37"/>
      <c r="T164" s="39" t="str">
        <f aca="false">IF($C164="","",IF(ISNUMBER(MATCH($C164,'CA Exclusion Map'!$A$2:$A$2001,0)),"Yes","No"))</f>
        <v/>
      </c>
      <c r="U164" s="39" t="str">
        <f aca="false">IFERROR(INDEX('CA Exclusion Map'!$D$2:$D$2001,MATCH($C164,'CA Exclusion Map'!$A$2:$A$2001,0)),"")</f>
        <v/>
      </c>
      <c r="V164" s="40" t="str">
        <f aca="false">IFERROR(INDEX('CA Exclusion Map'!$E$2:$E$2001,MATCH($C164,'CA Exclusion Map'!$A$2:$A$2001,0)),"")</f>
        <v/>
      </c>
      <c r="W164" s="40" t="str">
        <f aca="false">IFERROR(INDEX('CA Exclusion Map'!$F$2:$F$2001,MATCH($C164,'CA Exclusion Map'!$A$2:$A$2001,0)),"")</f>
        <v/>
      </c>
      <c r="X164" s="36"/>
      <c r="Y164" s="37"/>
      <c r="Z164" s="38"/>
      <c r="AA164" s="38"/>
      <c r="AB164" s="39" t="str">
        <f aca="true">IF(T164="","",IF(T164&lt;&gt;"Yes","N/A",IF(AA164="","NO EXPIRY SET",IF(TODAY()&gt;AA164,"EXPIRED",IF(AA164-TODAY()&lt;=30,"Expiring Soon","Active")))))</f>
        <v/>
      </c>
      <c r="AC164" s="36"/>
      <c r="AD164" s="36"/>
      <c r="AE164" s="37"/>
      <c r="AF164" s="36"/>
      <c r="AG164" s="37"/>
      <c r="AH164" s="37"/>
      <c r="AI164" s="37"/>
      <c r="AJ164" s="37"/>
      <c r="AK164" s="38"/>
      <c r="AL164" s="37"/>
      <c r="AM164" s="37"/>
      <c r="AN164" s="41" t="str">
        <f aca="false">IF(AK164="","",AK164+90)</f>
        <v/>
      </c>
      <c r="AO164" s="39" t="str">
        <f aca="true">IF(C164="","",IF(AK164="","NOT REVIEWED",IF(TODAY()&gt;AN164,"OVERDUE",IF(AN164-TODAY()&lt;=14,"Due Soon","Current"))))</f>
        <v/>
      </c>
      <c r="AP164" s="36"/>
    </row>
    <row r="165" customFormat="false" ht="15" hidden="false" customHeight="false" outlineLevel="0" collapsed="false">
      <c r="A165" s="36"/>
      <c r="B165" s="36"/>
      <c r="C165" s="36"/>
      <c r="D165" s="37"/>
      <c r="E165" s="38"/>
      <c r="F165" s="38"/>
      <c r="G165" s="36"/>
      <c r="H165" s="37"/>
      <c r="I165" s="39" t="str">
        <f aca="true">IF(F165="","",TODAY()-F165)</f>
        <v/>
      </c>
      <c r="J165" s="40" t="str">
        <f aca="false">IFERROR(INDEX('Azure Resource Map'!$H$2:$H$2001,MATCH($C165,'Azure Resource Map'!$A$2:$A$2001,0)),"")</f>
        <v/>
      </c>
      <c r="K165" s="40" t="str">
        <f aca="false">IFERROR(INDEX('Azure Resource Map'!$I$2:$I$2001,MATCH($C165,'Azure Resource Map'!$A$2:$A$2001,0)),"")</f>
        <v/>
      </c>
      <c r="L165" s="39" t="str">
        <f aca="false">IFERROR(INDEX('Azure Resource Map'!$J$2:$J$2001,MATCH($C165,'Azure Resource Map'!$A$2:$A$2001,0)),"")</f>
        <v/>
      </c>
      <c r="M165" s="40" t="str">
        <f aca="false">IFERROR(INDEX('Azure Resource Map'!$K$2:$K$2001,MATCH($C165,'Azure Resource Map'!$A$2:$A$2001,0)),"")</f>
        <v/>
      </c>
      <c r="N165" s="39" t="str">
        <f aca="false">IFERROR(INDEX('Azure Resource Map'!$L$2:$L$2001,MATCH($C165,'Azure Resource Map'!$A$2:$A$2001,0)),"")</f>
        <v/>
      </c>
      <c r="O165" s="39" t="str">
        <f aca="false">IFERROR(INDEX('Azure Resource Map'!$M$2:$M$2001,MATCH($C165,'Azure Resource Map'!$A$2:$A$2001,0)),"")</f>
        <v/>
      </c>
      <c r="P165" s="40" t="str">
        <f aca="false">IFERROR(INDEX('Azure Resource Map'!$D$2:$D$2001,MATCH($C165,'Azure Resource Map'!$A$2:$A$2001,0)),"")</f>
        <v/>
      </c>
      <c r="Q165" s="39" t="str">
        <f aca="false">IFERROR(INDEX('Azure Resource Map'!$E$2:$E$2001,MATCH($C165,'Azure Resource Map'!$A$2:$A$2001,0)),"")</f>
        <v/>
      </c>
      <c r="R165" s="39" t="str">
        <f aca="false">IFERROR(INDEX('Azure Resource Map'!$F$2:$F$2001,MATCH($C165,'Azure Resource Map'!$A$2:$A$2001,0)),"")</f>
        <v/>
      </c>
      <c r="S165" s="37"/>
      <c r="T165" s="39" t="str">
        <f aca="false">IF($C165="","",IF(ISNUMBER(MATCH($C165,'CA Exclusion Map'!$A$2:$A$2001,0)),"Yes","No"))</f>
        <v/>
      </c>
      <c r="U165" s="39" t="str">
        <f aca="false">IFERROR(INDEX('CA Exclusion Map'!$D$2:$D$2001,MATCH($C165,'CA Exclusion Map'!$A$2:$A$2001,0)),"")</f>
        <v/>
      </c>
      <c r="V165" s="40" t="str">
        <f aca="false">IFERROR(INDEX('CA Exclusion Map'!$E$2:$E$2001,MATCH($C165,'CA Exclusion Map'!$A$2:$A$2001,0)),"")</f>
        <v/>
      </c>
      <c r="W165" s="40" t="str">
        <f aca="false">IFERROR(INDEX('CA Exclusion Map'!$F$2:$F$2001,MATCH($C165,'CA Exclusion Map'!$A$2:$A$2001,0)),"")</f>
        <v/>
      </c>
      <c r="X165" s="36"/>
      <c r="Y165" s="37"/>
      <c r="Z165" s="38"/>
      <c r="AA165" s="38"/>
      <c r="AB165" s="39" t="str">
        <f aca="true">IF(T165="","",IF(T165&lt;&gt;"Yes","N/A",IF(AA165="","NO EXPIRY SET",IF(TODAY()&gt;AA165,"EXPIRED",IF(AA165-TODAY()&lt;=30,"Expiring Soon","Active")))))</f>
        <v/>
      </c>
      <c r="AC165" s="36"/>
      <c r="AD165" s="36"/>
      <c r="AE165" s="37"/>
      <c r="AF165" s="36"/>
      <c r="AG165" s="37"/>
      <c r="AH165" s="37"/>
      <c r="AI165" s="37"/>
      <c r="AJ165" s="37"/>
      <c r="AK165" s="38"/>
      <c r="AL165" s="37"/>
      <c r="AM165" s="37"/>
      <c r="AN165" s="41" t="str">
        <f aca="false">IF(AK165="","",AK165+90)</f>
        <v/>
      </c>
      <c r="AO165" s="39" t="str">
        <f aca="true">IF(C165="","",IF(AK165="","NOT REVIEWED",IF(TODAY()&gt;AN165,"OVERDUE",IF(AN165-TODAY()&lt;=14,"Due Soon","Current"))))</f>
        <v/>
      </c>
      <c r="AP165" s="36"/>
    </row>
    <row r="166" customFormat="false" ht="15" hidden="false" customHeight="false" outlineLevel="0" collapsed="false">
      <c r="A166" s="36"/>
      <c r="B166" s="36"/>
      <c r="C166" s="36"/>
      <c r="D166" s="37"/>
      <c r="E166" s="38"/>
      <c r="F166" s="38"/>
      <c r="G166" s="36"/>
      <c r="H166" s="37"/>
      <c r="I166" s="39" t="str">
        <f aca="true">IF(F166="","",TODAY()-F166)</f>
        <v/>
      </c>
      <c r="J166" s="40" t="str">
        <f aca="false">IFERROR(INDEX('Azure Resource Map'!$H$2:$H$2001,MATCH($C166,'Azure Resource Map'!$A$2:$A$2001,0)),"")</f>
        <v/>
      </c>
      <c r="K166" s="40" t="str">
        <f aca="false">IFERROR(INDEX('Azure Resource Map'!$I$2:$I$2001,MATCH($C166,'Azure Resource Map'!$A$2:$A$2001,0)),"")</f>
        <v/>
      </c>
      <c r="L166" s="39" t="str">
        <f aca="false">IFERROR(INDEX('Azure Resource Map'!$J$2:$J$2001,MATCH($C166,'Azure Resource Map'!$A$2:$A$2001,0)),"")</f>
        <v/>
      </c>
      <c r="M166" s="40" t="str">
        <f aca="false">IFERROR(INDEX('Azure Resource Map'!$K$2:$K$2001,MATCH($C166,'Azure Resource Map'!$A$2:$A$2001,0)),"")</f>
        <v/>
      </c>
      <c r="N166" s="39" t="str">
        <f aca="false">IFERROR(INDEX('Azure Resource Map'!$L$2:$L$2001,MATCH($C166,'Azure Resource Map'!$A$2:$A$2001,0)),"")</f>
        <v/>
      </c>
      <c r="O166" s="39" t="str">
        <f aca="false">IFERROR(INDEX('Azure Resource Map'!$M$2:$M$2001,MATCH($C166,'Azure Resource Map'!$A$2:$A$2001,0)),"")</f>
        <v/>
      </c>
      <c r="P166" s="40" t="str">
        <f aca="false">IFERROR(INDEX('Azure Resource Map'!$D$2:$D$2001,MATCH($C166,'Azure Resource Map'!$A$2:$A$2001,0)),"")</f>
        <v/>
      </c>
      <c r="Q166" s="39" t="str">
        <f aca="false">IFERROR(INDEX('Azure Resource Map'!$E$2:$E$2001,MATCH($C166,'Azure Resource Map'!$A$2:$A$2001,0)),"")</f>
        <v/>
      </c>
      <c r="R166" s="39" t="str">
        <f aca="false">IFERROR(INDEX('Azure Resource Map'!$F$2:$F$2001,MATCH($C166,'Azure Resource Map'!$A$2:$A$2001,0)),"")</f>
        <v/>
      </c>
      <c r="S166" s="37"/>
      <c r="T166" s="39" t="str">
        <f aca="false">IF($C166="","",IF(ISNUMBER(MATCH($C166,'CA Exclusion Map'!$A$2:$A$2001,0)),"Yes","No"))</f>
        <v/>
      </c>
      <c r="U166" s="39" t="str">
        <f aca="false">IFERROR(INDEX('CA Exclusion Map'!$D$2:$D$2001,MATCH($C166,'CA Exclusion Map'!$A$2:$A$2001,0)),"")</f>
        <v/>
      </c>
      <c r="V166" s="40" t="str">
        <f aca="false">IFERROR(INDEX('CA Exclusion Map'!$E$2:$E$2001,MATCH($C166,'CA Exclusion Map'!$A$2:$A$2001,0)),"")</f>
        <v/>
      </c>
      <c r="W166" s="40" t="str">
        <f aca="false">IFERROR(INDEX('CA Exclusion Map'!$F$2:$F$2001,MATCH($C166,'CA Exclusion Map'!$A$2:$A$2001,0)),"")</f>
        <v/>
      </c>
      <c r="X166" s="36"/>
      <c r="Y166" s="37"/>
      <c r="Z166" s="38"/>
      <c r="AA166" s="38"/>
      <c r="AB166" s="39" t="str">
        <f aca="true">IF(T166="","",IF(T166&lt;&gt;"Yes","N/A",IF(AA166="","NO EXPIRY SET",IF(TODAY()&gt;AA166,"EXPIRED",IF(AA166-TODAY()&lt;=30,"Expiring Soon","Active")))))</f>
        <v/>
      </c>
      <c r="AC166" s="36"/>
      <c r="AD166" s="36"/>
      <c r="AE166" s="37"/>
      <c r="AF166" s="36"/>
      <c r="AG166" s="37"/>
      <c r="AH166" s="37"/>
      <c r="AI166" s="37"/>
      <c r="AJ166" s="37"/>
      <c r="AK166" s="38"/>
      <c r="AL166" s="37"/>
      <c r="AM166" s="37"/>
      <c r="AN166" s="41" t="str">
        <f aca="false">IF(AK166="","",AK166+90)</f>
        <v/>
      </c>
      <c r="AO166" s="39" t="str">
        <f aca="true">IF(C166="","",IF(AK166="","NOT REVIEWED",IF(TODAY()&gt;AN166,"OVERDUE",IF(AN166-TODAY()&lt;=14,"Due Soon","Current"))))</f>
        <v/>
      </c>
      <c r="AP166" s="36"/>
    </row>
    <row r="167" customFormat="false" ht="15" hidden="false" customHeight="false" outlineLevel="0" collapsed="false">
      <c r="A167" s="36"/>
      <c r="B167" s="36"/>
      <c r="C167" s="36"/>
      <c r="D167" s="37"/>
      <c r="E167" s="38"/>
      <c r="F167" s="38"/>
      <c r="G167" s="36"/>
      <c r="H167" s="37"/>
      <c r="I167" s="39" t="str">
        <f aca="true">IF(F167="","",TODAY()-F167)</f>
        <v/>
      </c>
      <c r="J167" s="40" t="str">
        <f aca="false">IFERROR(INDEX('Azure Resource Map'!$H$2:$H$2001,MATCH($C167,'Azure Resource Map'!$A$2:$A$2001,0)),"")</f>
        <v/>
      </c>
      <c r="K167" s="40" t="str">
        <f aca="false">IFERROR(INDEX('Azure Resource Map'!$I$2:$I$2001,MATCH($C167,'Azure Resource Map'!$A$2:$A$2001,0)),"")</f>
        <v/>
      </c>
      <c r="L167" s="39" t="str">
        <f aca="false">IFERROR(INDEX('Azure Resource Map'!$J$2:$J$2001,MATCH($C167,'Azure Resource Map'!$A$2:$A$2001,0)),"")</f>
        <v/>
      </c>
      <c r="M167" s="40" t="str">
        <f aca="false">IFERROR(INDEX('Azure Resource Map'!$K$2:$K$2001,MATCH($C167,'Azure Resource Map'!$A$2:$A$2001,0)),"")</f>
        <v/>
      </c>
      <c r="N167" s="39" t="str">
        <f aca="false">IFERROR(INDEX('Azure Resource Map'!$L$2:$L$2001,MATCH($C167,'Azure Resource Map'!$A$2:$A$2001,0)),"")</f>
        <v/>
      </c>
      <c r="O167" s="39" t="str">
        <f aca="false">IFERROR(INDEX('Azure Resource Map'!$M$2:$M$2001,MATCH($C167,'Azure Resource Map'!$A$2:$A$2001,0)),"")</f>
        <v/>
      </c>
      <c r="P167" s="40" t="str">
        <f aca="false">IFERROR(INDEX('Azure Resource Map'!$D$2:$D$2001,MATCH($C167,'Azure Resource Map'!$A$2:$A$2001,0)),"")</f>
        <v/>
      </c>
      <c r="Q167" s="39" t="str">
        <f aca="false">IFERROR(INDEX('Azure Resource Map'!$E$2:$E$2001,MATCH($C167,'Azure Resource Map'!$A$2:$A$2001,0)),"")</f>
        <v/>
      </c>
      <c r="R167" s="39" t="str">
        <f aca="false">IFERROR(INDEX('Azure Resource Map'!$F$2:$F$2001,MATCH($C167,'Azure Resource Map'!$A$2:$A$2001,0)),"")</f>
        <v/>
      </c>
      <c r="S167" s="37"/>
      <c r="T167" s="39" t="str">
        <f aca="false">IF($C167="","",IF(ISNUMBER(MATCH($C167,'CA Exclusion Map'!$A$2:$A$2001,0)),"Yes","No"))</f>
        <v/>
      </c>
      <c r="U167" s="39" t="str">
        <f aca="false">IFERROR(INDEX('CA Exclusion Map'!$D$2:$D$2001,MATCH($C167,'CA Exclusion Map'!$A$2:$A$2001,0)),"")</f>
        <v/>
      </c>
      <c r="V167" s="40" t="str">
        <f aca="false">IFERROR(INDEX('CA Exclusion Map'!$E$2:$E$2001,MATCH($C167,'CA Exclusion Map'!$A$2:$A$2001,0)),"")</f>
        <v/>
      </c>
      <c r="W167" s="40" t="str">
        <f aca="false">IFERROR(INDEX('CA Exclusion Map'!$F$2:$F$2001,MATCH($C167,'CA Exclusion Map'!$A$2:$A$2001,0)),"")</f>
        <v/>
      </c>
      <c r="X167" s="36"/>
      <c r="Y167" s="37"/>
      <c r="Z167" s="38"/>
      <c r="AA167" s="38"/>
      <c r="AB167" s="39" t="str">
        <f aca="true">IF(T167="","",IF(T167&lt;&gt;"Yes","N/A",IF(AA167="","NO EXPIRY SET",IF(TODAY()&gt;AA167,"EXPIRED",IF(AA167-TODAY()&lt;=30,"Expiring Soon","Active")))))</f>
        <v/>
      </c>
      <c r="AC167" s="36"/>
      <c r="AD167" s="36"/>
      <c r="AE167" s="37"/>
      <c r="AF167" s="36"/>
      <c r="AG167" s="37"/>
      <c r="AH167" s="37"/>
      <c r="AI167" s="37"/>
      <c r="AJ167" s="37"/>
      <c r="AK167" s="38"/>
      <c r="AL167" s="37"/>
      <c r="AM167" s="37"/>
      <c r="AN167" s="41" t="str">
        <f aca="false">IF(AK167="","",AK167+90)</f>
        <v/>
      </c>
      <c r="AO167" s="39" t="str">
        <f aca="true">IF(C167="","",IF(AK167="","NOT REVIEWED",IF(TODAY()&gt;AN167,"OVERDUE",IF(AN167-TODAY()&lt;=14,"Due Soon","Current"))))</f>
        <v/>
      </c>
      <c r="AP167" s="36"/>
    </row>
    <row r="168" customFormat="false" ht="15" hidden="false" customHeight="false" outlineLevel="0" collapsed="false">
      <c r="A168" s="36"/>
      <c r="B168" s="36"/>
      <c r="C168" s="36"/>
      <c r="D168" s="37"/>
      <c r="E168" s="38"/>
      <c r="F168" s="38"/>
      <c r="G168" s="36"/>
      <c r="H168" s="37"/>
      <c r="I168" s="39" t="str">
        <f aca="true">IF(F168="","",TODAY()-F168)</f>
        <v/>
      </c>
      <c r="J168" s="40" t="str">
        <f aca="false">IFERROR(INDEX('Azure Resource Map'!$H$2:$H$2001,MATCH($C168,'Azure Resource Map'!$A$2:$A$2001,0)),"")</f>
        <v/>
      </c>
      <c r="K168" s="40" t="str">
        <f aca="false">IFERROR(INDEX('Azure Resource Map'!$I$2:$I$2001,MATCH($C168,'Azure Resource Map'!$A$2:$A$2001,0)),"")</f>
        <v/>
      </c>
      <c r="L168" s="39" t="str">
        <f aca="false">IFERROR(INDEX('Azure Resource Map'!$J$2:$J$2001,MATCH($C168,'Azure Resource Map'!$A$2:$A$2001,0)),"")</f>
        <v/>
      </c>
      <c r="M168" s="40" t="str">
        <f aca="false">IFERROR(INDEX('Azure Resource Map'!$K$2:$K$2001,MATCH($C168,'Azure Resource Map'!$A$2:$A$2001,0)),"")</f>
        <v/>
      </c>
      <c r="N168" s="39" t="str">
        <f aca="false">IFERROR(INDEX('Azure Resource Map'!$L$2:$L$2001,MATCH($C168,'Azure Resource Map'!$A$2:$A$2001,0)),"")</f>
        <v/>
      </c>
      <c r="O168" s="39" t="str">
        <f aca="false">IFERROR(INDEX('Azure Resource Map'!$M$2:$M$2001,MATCH($C168,'Azure Resource Map'!$A$2:$A$2001,0)),"")</f>
        <v/>
      </c>
      <c r="P168" s="40" t="str">
        <f aca="false">IFERROR(INDEX('Azure Resource Map'!$D$2:$D$2001,MATCH($C168,'Azure Resource Map'!$A$2:$A$2001,0)),"")</f>
        <v/>
      </c>
      <c r="Q168" s="39" t="str">
        <f aca="false">IFERROR(INDEX('Azure Resource Map'!$E$2:$E$2001,MATCH($C168,'Azure Resource Map'!$A$2:$A$2001,0)),"")</f>
        <v/>
      </c>
      <c r="R168" s="39" t="str">
        <f aca="false">IFERROR(INDEX('Azure Resource Map'!$F$2:$F$2001,MATCH($C168,'Azure Resource Map'!$A$2:$A$2001,0)),"")</f>
        <v/>
      </c>
      <c r="S168" s="37"/>
      <c r="T168" s="39" t="str">
        <f aca="false">IF($C168="","",IF(ISNUMBER(MATCH($C168,'CA Exclusion Map'!$A$2:$A$2001,0)),"Yes","No"))</f>
        <v/>
      </c>
      <c r="U168" s="39" t="str">
        <f aca="false">IFERROR(INDEX('CA Exclusion Map'!$D$2:$D$2001,MATCH($C168,'CA Exclusion Map'!$A$2:$A$2001,0)),"")</f>
        <v/>
      </c>
      <c r="V168" s="40" t="str">
        <f aca="false">IFERROR(INDEX('CA Exclusion Map'!$E$2:$E$2001,MATCH($C168,'CA Exclusion Map'!$A$2:$A$2001,0)),"")</f>
        <v/>
      </c>
      <c r="W168" s="40" t="str">
        <f aca="false">IFERROR(INDEX('CA Exclusion Map'!$F$2:$F$2001,MATCH($C168,'CA Exclusion Map'!$A$2:$A$2001,0)),"")</f>
        <v/>
      </c>
      <c r="X168" s="36"/>
      <c r="Y168" s="37"/>
      <c r="Z168" s="38"/>
      <c r="AA168" s="38"/>
      <c r="AB168" s="39" t="str">
        <f aca="true">IF(T168="","",IF(T168&lt;&gt;"Yes","N/A",IF(AA168="","NO EXPIRY SET",IF(TODAY()&gt;AA168,"EXPIRED",IF(AA168-TODAY()&lt;=30,"Expiring Soon","Active")))))</f>
        <v/>
      </c>
      <c r="AC168" s="36"/>
      <c r="AD168" s="36"/>
      <c r="AE168" s="37"/>
      <c r="AF168" s="36"/>
      <c r="AG168" s="37"/>
      <c r="AH168" s="37"/>
      <c r="AI168" s="37"/>
      <c r="AJ168" s="37"/>
      <c r="AK168" s="38"/>
      <c r="AL168" s="37"/>
      <c r="AM168" s="37"/>
      <c r="AN168" s="41" t="str">
        <f aca="false">IF(AK168="","",AK168+90)</f>
        <v/>
      </c>
      <c r="AO168" s="39" t="str">
        <f aca="true">IF(C168="","",IF(AK168="","NOT REVIEWED",IF(TODAY()&gt;AN168,"OVERDUE",IF(AN168-TODAY()&lt;=14,"Due Soon","Current"))))</f>
        <v/>
      </c>
      <c r="AP168" s="36"/>
    </row>
    <row r="169" customFormat="false" ht="15" hidden="false" customHeight="false" outlineLevel="0" collapsed="false">
      <c r="A169" s="36"/>
      <c r="B169" s="36"/>
      <c r="C169" s="36"/>
      <c r="D169" s="37"/>
      <c r="E169" s="38"/>
      <c r="F169" s="38"/>
      <c r="G169" s="36"/>
      <c r="H169" s="37"/>
      <c r="I169" s="39" t="str">
        <f aca="true">IF(F169="","",TODAY()-F169)</f>
        <v/>
      </c>
      <c r="J169" s="40" t="str">
        <f aca="false">IFERROR(INDEX('Azure Resource Map'!$H$2:$H$2001,MATCH($C169,'Azure Resource Map'!$A$2:$A$2001,0)),"")</f>
        <v/>
      </c>
      <c r="K169" s="40" t="str">
        <f aca="false">IFERROR(INDEX('Azure Resource Map'!$I$2:$I$2001,MATCH($C169,'Azure Resource Map'!$A$2:$A$2001,0)),"")</f>
        <v/>
      </c>
      <c r="L169" s="39" t="str">
        <f aca="false">IFERROR(INDEX('Azure Resource Map'!$J$2:$J$2001,MATCH($C169,'Azure Resource Map'!$A$2:$A$2001,0)),"")</f>
        <v/>
      </c>
      <c r="M169" s="40" t="str">
        <f aca="false">IFERROR(INDEX('Azure Resource Map'!$K$2:$K$2001,MATCH($C169,'Azure Resource Map'!$A$2:$A$2001,0)),"")</f>
        <v/>
      </c>
      <c r="N169" s="39" t="str">
        <f aca="false">IFERROR(INDEX('Azure Resource Map'!$L$2:$L$2001,MATCH($C169,'Azure Resource Map'!$A$2:$A$2001,0)),"")</f>
        <v/>
      </c>
      <c r="O169" s="39" t="str">
        <f aca="false">IFERROR(INDEX('Azure Resource Map'!$M$2:$M$2001,MATCH($C169,'Azure Resource Map'!$A$2:$A$2001,0)),"")</f>
        <v/>
      </c>
      <c r="P169" s="40" t="str">
        <f aca="false">IFERROR(INDEX('Azure Resource Map'!$D$2:$D$2001,MATCH($C169,'Azure Resource Map'!$A$2:$A$2001,0)),"")</f>
        <v/>
      </c>
      <c r="Q169" s="39" t="str">
        <f aca="false">IFERROR(INDEX('Azure Resource Map'!$E$2:$E$2001,MATCH($C169,'Azure Resource Map'!$A$2:$A$2001,0)),"")</f>
        <v/>
      </c>
      <c r="R169" s="39" t="str">
        <f aca="false">IFERROR(INDEX('Azure Resource Map'!$F$2:$F$2001,MATCH($C169,'Azure Resource Map'!$A$2:$A$2001,0)),"")</f>
        <v/>
      </c>
      <c r="S169" s="37"/>
      <c r="T169" s="39" t="str">
        <f aca="false">IF($C169="","",IF(ISNUMBER(MATCH($C169,'CA Exclusion Map'!$A$2:$A$2001,0)),"Yes","No"))</f>
        <v/>
      </c>
      <c r="U169" s="39" t="str">
        <f aca="false">IFERROR(INDEX('CA Exclusion Map'!$D$2:$D$2001,MATCH($C169,'CA Exclusion Map'!$A$2:$A$2001,0)),"")</f>
        <v/>
      </c>
      <c r="V169" s="40" t="str">
        <f aca="false">IFERROR(INDEX('CA Exclusion Map'!$E$2:$E$2001,MATCH($C169,'CA Exclusion Map'!$A$2:$A$2001,0)),"")</f>
        <v/>
      </c>
      <c r="W169" s="40" t="str">
        <f aca="false">IFERROR(INDEX('CA Exclusion Map'!$F$2:$F$2001,MATCH($C169,'CA Exclusion Map'!$A$2:$A$2001,0)),"")</f>
        <v/>
      </c>
      <c r="X169" s="36"/>
      <c r="Y169" s="37"/>
      <c r="Z169" s="38"/>
      <c r="AA169" s="38"/>
      <c r="AB169" s="39" t="str">
        <f aca="true">IF(T169="","",IF(T169&lt;&gt;"Yes","N/A",IF(AA169="","NO EXPIRY SET",IF(TODAY()&gt;AA169,"EXPIRED",IF(AA169-TODAY()&lt;=30,"Expiring Soon","Active")))))</f>
        <v/>
      </c>
      <c r="AC169" s="36"/>
      <c r="AD169" s="36"/>
      <c r="AE169" s="37"/>
      <c r="AF169" s="36"/>
      <c r="AG169" s="37"/>
      <c r="AH169" s="37"/>
      <c r="AI169" s="37"/>
      <c r="AJ169" s="37"/>
      <c r="AK169" s="38"/>
      <c r="AL169" s="37"/>
      <c r="AM169" s="37"/>
      <c r="AN169" s="41" t="str">
        <f aca="false">IF(AK169="","",AK169+90)</f>
        <v/>
      </c>
      <c r="AO169" s="39" t="str">
        <f aca="true">IF(C169="","",IF(AK169="","NOT REVIEWED",IF(TODAY()&gt;AN169,"OVERDUE",IF(AN169-TODAY()&lt;=14,"Due Soon","Current"))))</f>
        <v/>
      </c>
      <c r="AP169" s="36"/>
    </row>
    <row r="170" customFormat="false" ht="15" hidden="false" customHeight="false" outlineLevel="0" collapsed="false">
      <c r="A170" s="36"/>
      <c r="B170" s="36"/>
      <c r="C170" s="36"/>
      <c r="D170" s="37"/>
      <c r="E170" s="38"/>
      <c r="F170" s="38"/>
      <c r="G170" s="36"/>
      <c r="H170" s="37"/>
      <c r="I170" s="39" t="str">
        <f aca="true">IF(F170="","",TODAY()-F170)</f>
        <v/>
      </c>
      <c r="J170" s="40" t="str">
        <f aca="false">IFERROR(INDEX('Azure Resource Map'!$H$2:$H$2001,MATCH($C170,'Azure Resource Map'!$A$2:$A$2001,0)),"")</f>
        <v/>
      </c>
      <c r="K170" s="40" t="str">
        <f aca="false">IFERROR(INDEX('Azure Resource Map'!$I$2:$I$2001,MATCH($C170,'Azure Resource Map'!$A$2:$A$2001,0)),"")</f>
        <v/>
      </c>
      <c r="L170" s="39" t="str">
        <f aca="false">IFERROR(INDEX('Azure Resource Map'!$J$2:$J$2001,MATCH($C170,'Azure Resource Map'!$A$2:$A$2001,0)),"")</f>
        <v/>
      </c>
      <c r="M170" s="40" t="str">
        <f aca="false">IFERROR(INDEX('Azure Resource Map'!$K$2:$K$2001,MATCH($C170,'Azure Resource Map'!$A$2:$A$2001,0)),"")</f>
        <v/>
      </c>
      <c r="N170" s="39" t="str">
        <f aca="false">IFERROR(INDEX('Azure Resource Map'!$L$2:$L$2001,MATCH($C170,'Azure Resource Map'!$A$2:$A$2001,0)),"")</f>
        <v/>
      </c>
      <c r="O170" s="39" t="str">
        <f aca="false">IFERROR(INDEX('Azure Resource Map'!$M$2:$M$2001,MATCH($C170,'Azure Resource Map'!$A$2:$A$2001,0)),"")</f>
        <v/>
      </c>
      <c r="P170" s="40" t="str">
        <f aca="false">IFERROR(INDEX('Azure Resource Map'!$D$2:$D$2001,MATCH($C170,'Azure Resource Map'!$A$2:$A$2001,0)),"")</f>
        <v/>
      </c>
      <c r="Q170" s="39" t="str">
        <f aca="false">IFERROR(INDEX('Azure Resource Map'!$E$2:$E$2001,MATCH($C170,'Azure Resource Map'!$A$2:$A$2001,0)),"")</f>
        <v/>
      </c>
      <c r="R170" s="39" t="str">
        <f aca="false">IFERROR(INDEX('Azure Resource Map'!$F$2:$F$2001,MATCH($C170,'Azure Resource Map'!$A$2:$A$2001,0)),"")</f>
        <v/>
      </c>
      <c r="S170" s="37"/>
      <c r="T170" s="39" t="str">
        <f aca="false">IF($C170="","",IF(ISNUMBER(MATCH($C170,'CA Exclusion Map'!$A$2:$A$2001,0)),"Yes","No"))</f>
        <v/>
      </c>
      <c r="U170" s="39" t="str">
        <f aca="false">IFERROR(INDEX('CA Exclusion Map'!$D$2:$D$2001,MATCH($C170,'CA Exclusion Map'!$A$2:$A$2001,0)),"")</f>
        <v/>
      </c>
      <c r="V170" s="40" t="str">
        <f aca="false">IFERROR(INDEX('CA Exclusion Map'!$E$2:$E$2001,MATCH($C170,'CA Exclusion Map'!$A$2:$A$2001,0)),"")</f>
        <v/>
      </c>
      <c r="W170" s="40" t="str">
        <f aca="false">IFERROR(INDEX('CA Exclusion Map'!$F$2:$F$2001,MATCH($C170,'CA Exclusion Map'!$A$2:$A$2001,0)),"")</f>
        <v/>
      </c>
      <c r="X170" s="36"/>
      <c r="Y170" s="37"/>
      <c r="Z170" s="38"/>
      <c r="AA170" s="38"/>
      <c r="AB170" s="39" t="str">
        <f aca="true">IF(T170="","",IF(T170&lt;&gt;"Yes","N/A",IF(AA170="","NO EXPIRY SET",IF(TODAY()&gt;AA170,"EXPIRED",IF(AA170-TODAY()&lt;=30,"Expiring Soon","Active")))))</f>
        <v/>
      </c>
      <c r="AC170" s="36"/>
      <c r="AD170" s="36"/>
      <c r="AE170" s="37"/>
      <c r="AF170" s="36"/>
      <c r="AG170" s="37"/>
      <c r="AH170" s="37"/>
      <c r="AI170" s="37"/>
      <c r="AJ170" s="37"/>
      <c r="AK170" s="38"/>
      <c r="AL170" s="37"/>
      <c r="AM170" s="37"/>
      <c r="AN170" s="41" t="str">
        <f aca="false">IF(AK170="","",AK170+90)</f>
        <v/>
      </c>
      <c r="AO170" s="39" t="str">
        <f aca="true">IF(C170="","",IF(AK170="","NOT REVIEWED",IF(TODAY()&gt;AN170,"OVERDUE",IF(AN170-TODAY()&lt;=14,"Due Soon","Current"))))</f>
        <v/>
      </c>
      <c r="AP170" s="36"/>
    </row>
    <row r="171" customFormat="false" ht="15" hidden="false" customHeight="false" outlineLevel="0" collapsed="false">
      <c r="A171" s="36"/>
      <c r="B171" s="36"/>
      <c r="C171" s="36"/>
      <c r="D171" s="37"/>
      <c r="E171" s="38"/>
      <c r="F171" s="38"/>
      <c r="G171" s="36"/>
      <c r="H171" s="37"/>
      <c r="I171" s="39" t="str">
        <f aca="true">IF(F171="","",TODAY()-F171)</f>
        <v/>
      </c>
      <c r="J171" s="40" t="str">
        <f aca="false">IFERROR(INDEX('Azure Resource Map'!$H$2:$H$2001,MATCH($C171,'Azure Resource Map'!$A$2:$A$2001,0)),"")</f>
        <v/>
      </c>
      <c r="K171" s="40" t="str">
        <f aca="false">IFERROR(INDEX('Azure Resource Map'!$I$2:$I$2001,MATCH($C171,'Azure Resource Map'!$A$2:$A$2001,0)),"")</f>
        <v/>
      </c>
      <c r="L171" s="39" t="str">
        <f aca="false">IFERROR(INDEX('Azure Resource Map'!$J$2:$J$2001,MATCH($C171,'Azure Resource Map'!$A$2:$A$2001,0)),"")</f>
        <v/>
      </c>
      <c r="M171" s="40" t="str">
        <f aca="false">IFERROR(INDEX('Azure Resource Map'!$K$2:$K$2001,MATCH($C171,'Azure Resource Map'!$A$2:$A$2001,0)),"")</f>
        <v/>
      </c>
      <c r="N171" s="39" t="str">
        <f aca="false">IFERROR(INDEX('Azure Resource Map'!$L$2:$L$2001,MATCH($C171,'Azure Resource Map'!$A$2:$A$2001,0)),"")</f>
        <v/>
      </c>
      <c r="O171" s="39" t="str">
        <f aca="false">IFERROR(INDEX('Azure Resource Map'!$M$2:$M$2001,MATCH($C171,'Azure Resource Map'!$A$2:$A$2001,0)),"")</f>
        <v/>
      </c>
      <c r="P171" s="40" t="str">
        <f aca="false">IFERROR(INDEX('Azure Resource Map'!$D$2:$D$2001,MATCH($C171,'Azure Resource Map'!$A$2:$A$2001,0)),"")</f>
        <v/>
      </c>
      <c r="Q171" s="39" t="str">
        <f aca="false">IFERROR(INDEX('Azure Resource Map'!$E$2:$E$2001,MATCH($C171,'Azure Resource Map'!$A$2:$A$2001,0)),"")</f>
        <v/>
      </c>
      <c r="R171" s="39" t="str">
        <f aca="false">IFERROR(INDEX('Azure Resource Map'!$F$2:$F$2001,MATCH($C171,'Azure Resource Map'!$A$2:$A$2001,0)),"")</f>
        <v/>
      </c>
      <c r="S171" s="37"/>
      <c r="T171" s="39" t="str">
        <f aca="false">IF($C171="","",IF(ISNUMBER(MATCH($C171,'CA Exclusion Map'!$A$2:$A$2001,0)),"Yes","No"))</f>
        <v/>
      </c>
      <c r="U171" s="39" t="str">
        <f aca="false">IFERROR(INDEX('CA Exclusion Map'!$D$2:$D$2001,MATCH($C171,'CA Exclusion Map'!$A$2:$A$2001,0)),"")</f>
        <v/>
      </c>
      <c r="V171" s="40" t="str">
        <f aca="false">IFERROR(INDEX('CA Exclusion Map'!$E$2:$E$2001,MATCH($C171,'CA Exclusion Map'!$A$2:$A$2001,0)),"")</f>
        <v/>
      </c>
      <c r="W171" s="40" t="str">
        <f aca="false">IFERROR(INDEX('CA Exclusion Map'!$F$2:$F$2001,MATCH($C171,'CA Exclusion Map'!$A$2:$A$2001,0)),"")</f>
        <v/>
      </c>
      <c r="X171" s="36"/>
      <c r="Y171" s="37"/>
      <c r="Z171" s="38"/>
      <c r="AA171" s="38"/>
      <c r="AB171" s="39" t="str">
        <f aca="true">IF(T171="","",IF(T171&lt;&gt;"Yes","N/A",IF(AA171="","NO EXPIRY SET",IF(TODAY()&gt;AA171,"EXPIRED",IF(AA171-TODAY()&lt;=30,"Expiring Soon","Active")))))</f>
        <v/>
      </c>
      <c r="AC171" s="36"/>
      <c r="AD171" s="36"/>
      <c r="AE171" s="37"/>
      <c r="AF171" s="36"/>
      <c r="AG171" s="37"/>
      <c r="AH171" s="37"/>
      <c r="AI171" s="37"/>
      <c r="AJ171" s="37"/>
      <c r="AK171" s="38"/>
      <c r="AL171" s="37"/>
      <c r="AM171" s="37"/>
      <c r="AN171" s="41" t="str">
        <f aca="false">IF(AK171="","",AK171+90)</f>
        <v/>
      </c>
      <c r="AO171" s="39" t="str">
        <f aca="true">IF(C171="","",IF(AK171="","NOT REVIEWED",IF(TODAY()&gt;AN171,"OVERDUE",IF(AN171-TODAY()&lt;=14,"Due Soon","Current"))))</f>
        <v/>
      </c>
      <c r="AP171" s="36"/>
    </row>
    <row r="172" customFormat="false" ht="15" hidden="false" customHeight="false" outlineLevel="0" collapsed="false">
      <c r="A172" s="36"/>
      <c r="B172" s="36"/>
      <c r="C172" s="36"/>
      <c r="D172" s="37"/>
      <c r="E172" s="38"/>
      <c r="F172" s="38"/>
      <c r="G172" s="36"/>
      <c r="H172" s="37"/>
      <c r="I172" s="39" t="str">
        <f aca="true">IF(F172="","",TODAY()-F172)</f>
        <v/>
      </c>
      <c r="J172" s="40" t="str">
        <f aca="false">IFERROR(INDEX('Azure Resource Map'!$H$2:$H$2001,MATCH($C172,'Azure Resource Map'!$A$2:$A$2001,0)),"")</f>
        <v/>
      </c>
      <c r="K172" s="40" t="str">
        <f aca="false">IFERROR(INDEX('Azure Resource Map'!$I$2:$I$2001,MATCH($C172,'Azure Resource Map'!$A$2:$A$2001,0)),"")</f>
        <v/>
      </c>
      <c r="L172" s="39" t="str">
        <f aca="false">IFERROR(INDEX('Azure Resource Map'!$J$2:$J$2001,MATCH($C172,'Azure Resource Map'!$A$2:$A$2001,0)),"")</f>
        <v/>
      </c>
      <c r="M172" s="40" t="str">
        <f aca="false">IFERROR(INDEX('Azure Resource Map'!$K$2:$K$2001,MATCH($C172,'Azure Resource Map'!$A$2:$A$2001,0)),"")</f>
        <v/>
      </c>
      <c r="N172" s="39" t="str">
        <f aca="false">IFERROR(INDEX('Azure Resource Map'!$L$2:$L$2001,MATCH($C172,'Azure Resource Map'!$A$2:$A$2001,0)),"")</f>
        <v/>
      </c>
      <c r="O172" s="39" t="str">
        <f aca="false">IFERROR(INDEX('Azure Resource Map'!$M$2:$M$2001,MATCH($C172,'Azure Resource Map'!$A$2:$A$2001,0)),"")</f>
        <v/>
      </c>
      <c r="P172" s="40" t="str">
        <f aca="false">IFERROR(INDEX('Azure Resource Map'!$D$2:$D$2001,MATCH($C172,'Azure Resource Map'!$A$2:$A$2001,0)),"")</f>
        <v/>
      </c>
      <c r="Q172" s="39" t="str">
        <f aca="false">IFERROR(INDEX('Azure Resource Map'!$E$2:$E$2001,MATCH($C172,'Azure Resource Map'!$A$2:$A$2001,0)),"")</f>
        <v/>
      </c>
      <c r="R172" s="39" t="str">
        <f aca="false">IFERROR(INDEX('Azure Resource Map'!$F$2:$F$2001,MATCH($C172,'Azure Resource Map'!$A$2:$A$2001,0)),"")</f>
        <v/>
      </c>
      <c r="S172" s="37"/>
      <c r="T172" s="39" t="str">
        <f aca="false">IF($C172="","",IF(ISNUMBER(MATCH($C172,'CA Exclusion Map'!$A$2:$A$2001,0)),"Yes","No"))</f>
        <v/>
      </c>
      <c r="U172" s="39" t="str">
        <f aca="false">IFERROR(INDEX('CA Exclusion Map'!$D$2:$D$2001,MATCH($C172,'CA Exclusion Map'!$A$2:$A$2001,0)),"")</f>
        <v/>
      </c>
      <c r="V172" s="40" t="str">
        <f aca="false">IFERROR(INDEX('CA Exclusion Map'!$E$2:$E$2001,MATCH($C172,'CA Exclusion Map'!$A$2:$A$2001,0)),"")</f>
        <v/>
      </c>
      <c r="W172" s="40" t="str">
        <f aca="false">IFERROR(INDEX('CA Exclusion Map'!$F$2:$F$2001,MATCH($C172,'CA Exclusion Map'!$A$2:$A$2001,0)),"")</f>
        <v/>
      </c>
      <c r="X172" s="36"/>
      <c r="Y172" s="37"/>
      <c r="Z172" s="38"/>
      <c r="AA172" s="38"/>
      <c r="AB172" s="39" t="str">
        <f aca="true">IF(T172="","",IF(T172&lt;&gt;"Yes","N/A",IF(AA172="","NO EXPIRY SET",IF(TODAY()&gt;AA172,"EXPIRED",IF(AA172-TODAY()&lt;=30,"Expiring Soon","Active")))))</f>
        <v/>
      </c>
      <c r="AC172" s="36"/>
      <c r="AD172" s="36"/>
      <c r="AE172" s="37"/>
      <c r="AF172" s="36"/>
      <c r="AG172" s="37"/>
      <c r="AH172" s="37"/>
      <c r="AI172" s="37"/>
      <c r="AJ172" s="37"/>
      <c r="AK172" s="38"/>
      <c r="AL172" s="37"/>
      <c r="AM172" s="37"/>
      <c r="AN172" s="41" t="str">
        <f aca="false">IF(AK172="","",AK172+90)</f>
        <v/>
      </c>
      <c r="AO172" s="39" t="str">
        <f aca="true">IF(C172="","",IF(AK172="","NOT REVIEWED",IF(TODAY()&gt;AN172,"OVERDUE",IF(AN172-TODAY()&lt;=14,"Due Soon","Current"))))</f>
        <v/>
      </c>
      <c r="AP172" s="36"/>
    </row>
    <row r="173" customFormat="false" ht="15" hidden="false" customHeight="false" outlineLevel="0" collapsed="false">
      <c r="A173" s="36"/>
      <c r="B173" s="36"/>
      <c r="C173" s="36"/>
      <c r="D173" s="37"/>
      <c r="E173" s="38"/>
      <c r="F173" s="38"/>
      <c r="G173" s="36"/>
      <c r="H173" s="37"/>
      <c r="I173" s="39" t="str">
        <f aca="true">IF(F173="","",TODAY()-F173)</f>
        <v/>
      </c>
      <c r="J173" s="40" t="str">
        <f aca="false">IFERROR(INDEX('Azure Resource Map'!$H$2:$H$2001,MATCH($C173,'Azure Resource Map'!$A$2:$A$2001,0)),"")</f>
        <v/>
      </c>
      <c r="K173" s="40" t="str">
        <f aca="false">IFERROR(INDEX('Azure Resource Map'!$I$2:$I$2001,MATCH($C173,'Azure Resource Map'!$A$2:$A$2001,0)),"")</f>
        <v/>
      </c>
      <c r="L173" s="39" t="str">
        <f aca="false">IFERROR(INDEX('Azure Resource Map'!$J$2:$J$2001,MATCH($C173,'Azure Resource Map'!$A$2:$A$2001,0)),"")</f>
        <v/>
      </c>
      <c r="M173" s="40" t="str">
        <f aca="false">IFERROR(INDEX('Azure Resource Map'!$K$2:$K$2001,MATCH($C173,'Azure Resource Map'!$A$2:$A$2001,0)),"")</f>
        <v/>
      </c>
      <c r="N173" s="39" t="str">
        <f aca="false">IFERROR(INDEX('Azure Resource Map'!$L$2:$L$2001,MATCH($C173,'Azure Resource Map'!$A$2:$A$2001,0)),"")</f>
        <v/>
      </c>
      <c r="O173" s="39" t="str">
        <f aca="false">IFERROR(INDEX('Azure Resource Map'!$M$2:$M$2001,MATCH($C173,'Azure Resource Map'!$A$2:$A$2001,0)),"")</f>
        <v/>
      </c>
      <c r="P173" s="40" t="str">
        <f aca="false">IFERROR(INDEX('Azure Resource Map'!$D$2:$D$2001,MATCH($C173,'Azure Resource Map'!$A$2:$A$2001,0)),"")</f>
        <v/>
      </c>
      <c r="Q173" s="39" t="str">
        <f aca="false">IFERROR(INDEX('Azure Resource Map'!$E$2:$E$2001,MATCH($C173,'Azure Resource Map'!$A$2:$A$2001,0)),"")</f>
        <v/>
      </c>
      <c r="R173" s="39" t="str">
        <f aca="false">IFERROR(INDEX('Azure Resource Map'!$F$2:$F$2001,MATCH($C173,'Azure Resource Map'!$A$2:$A$2001,0)),"")</f>
        <v/>
      </c>
      <c r="S173" s="37"/>
      <c r="T173" s="39" t="str">
        <f aca="false">IF($C173="","",IF(ISNUMBER(MATCH($C173,'CA Exclusion Map'!$A$2:$A$2001,0)),"Yes","No"))</f>
        <v/>
      </c>
      <c r="U173" s="39" t="str">
        <f aca="false">IFERROR(INDEX('CA Exclusion Map'!$D$2:$D$2001,MATCH($C173,'CA Exclusion Map'!$A$2:$A$2001,0)),"")</f>
        <v/>
      </c>
      <c r="V173" s="40" t="str">
        <f aca="false">IFERROR(INDEX('CA Exclusion Map'!$E$2:$E$2001,MATCH($C173,'CA Exclusion Map'!$A$2:$A$2001,0)),"")</f>
        <v/>
      </c>
      <c r="W173" s="40" t="str">
        <f aca="false">IFERROR(INDEX('CA Exclusion Map'!$F$2:$F$2001,MATCH($C173,'CA Exclusion Map'!$A$2:$A$2001,0)),"")</f>
        <v/>
      </c>
      <c r="X173" s="36"/>
      <c r="Y173" s="37"/>
      <c r="Z173" s="38"/>
      <c r="AA173" s="38"/>
      <c r="AB173" s="39" t="str">
        <f aca="true">IF(T173="","",IF(T173&lt;&gt;"Yes","N/A",IF(AA173="","NO EXPIRY SET",IF(TODAY()&gt;AA173,"EXPIRED",IF(AA173-TODAY()&lt;=30,"Expiring Soon","Active")))))</f>
        <v/>
      </c>
      <c r="AC173" s="36"/>
      <c r="AD173" s="36"/>
      <c r="AE173" s="37"/>
      <c r="AF173" s="36"/>
      <c r="AG173" s="37"/>
      <c r="AH173" s="37"/>
      <c r="AI173" s="37"/>
      <c r="AJ173" s="37"/>
      <c r="AK173" s="38"/>
      <c r="AL173" s="37"/>
      <c r="AM173" s="37"/>
      <c r="AN173" s="41" t="str">
        <f aca="false">IF(AK173="","",AK173+90)</f>
        <v/>
      </c>
      <c r="AO173" s="39" t="str">
        <f aca="true">IF(C173="","",IF(AK173="","NOT REVIEWED",IF(TODAY()&gt;AN173,"OVERDUE",IF(AN173-TODAY()&lt;=14,"Due Soon","Current"))))</f>
        <v/>
      </c>
      <c r="AP173" s="36"/>
    </row>
    <row r="174" customFormat="false" ht="15" hidden="false" customHeight="false" outlineLevel="0" collapsed="false">
      <c r="A174" s="36"/>
      <c r="B174" s="36"/>
      <c r="C174" s="36"/>
      <c r="D174" s="37"/>
      <c r="E174" s="38"/>
      <c r="F174" s="38"/>
      <c r="G174" s="36"/>
      <c r="H174" s="37"/>
      <c r="I174" s="39" t="str">
        <f aca="true">IF(F174="","",TODAY()-F174)</f>
        <v/>
      </c>
      <c r="J174" s="40" t="str">
        <f aca="false">IFERROR(INDEX('Azure Resource Map'!$H$2:$H$2001,MATCH($C174,'Azure Resource Map'!$A$2:$A$2001,0)),"")</f>
        <v/>
      </c>
      <c r="K174" s="40" t="str">
        <f aca="false">IFERROR(INDEX('Azure Resource Map'!$I$2:$I$2001,MATCH($C174,'Azure Resource Map'!$A$2:$A$2001,0)),"")</f>
        <v/>
      </c>
      <c r="L174" s="39" t="str">
        <f aca="false">IFERROR(INDEX('Azure Resource Map'!$J$2:$J$2001,MATCH($C174,'Azure Resource Map'!$A$2:$A$2001,0)),"")</f>
        <v/>
      </c>
      <c r="M174" s="40" t="str">
        <f aca="false">IFERROR(INDEX('Azure Resource Map'!$K$2:$K$2001,MATCH($C174,'Azure Resource Map'!$A$2:$A$2001,0)),"")</f>
        <v/>
      </c>
      <c r="N174" s="39" t="str">
        <f aca="false">IFERROR(INDEX('Azure Resource Map'!$L$2:$L$2001,MATCH($C174,'Azure Resource Map'!$A$2:$A$2001,0)),"")</f>
        <v/>
      </c>
      <c r="O174" s="39" t="str">
        <f aca="false">IFERROR(INDEX('Azure Resource Map'!$M$2:$M$2001,MATCH($C174,'Azure Resource Map'!$A$2:$A$2001,0)),"")</f>
        <v/>
      </c>
      <c r="P174" s="40" t="str">
        <f aca="false">IFERROR(INDEX('Azure Resource Map'!$D$2:$D$2001,MATCH($C174,'Azure Resource Map'!$A$2:$A$2001,0)),"")</f>
        <v/>
      </c>
      <c r="Q174" s="39" t="str">
        <f aca="false">IFERROR(INDEX('Azure Resource Map'!$E$2:$E$2001,MATCH($C174,'Azure Resource Map'!$A$2:$A$2001,0)),"")</f>
        <v/>
      </c>
      <c r="R174" s="39" t="str">
        <f aca="false">IFERROR(INDEX('Azure Resource Map'!$F$2:$F$2001,MATCH($C174,'Azure Resource Map'!$A$2:$A$2001,0)),"")</f>
        <v/>
      </c>
      <c r="S174" s="37"/>
      <c r="T174" s="39" t="str">
        <f aca="false">IF($C174="","",IF(ISNUMBER(MATCH($C174,'CA Exclusion Map'!$A$2:$A$2001,0)),"Yes","No"))</f>
        <v/>
      </c>
      <c r="U174" s="39" t="str">
        <f aca="false">IFERROR(INDEX('CA Exclusion Map'!$D$2:$D$2001,MATCH($C174,'CA Exclusion Map'!$A$2:$A$2001,0)),"")</f>
        <v/>
      </c>
      <c r="V174" s="40" t="str">
        <f aca="false">IFERROR(INDEX('CA Exclusion Map'!$E$2:$E$2001,MATCH($C174,'CA Exclusion Map'!$A$2:$A$2001,0)),"")</f>
        <v/>
      </c>
      <c r="W174" s="40" t="str">
        <f aca="false">IFERROR(INDEX('CA Exclusion Map'!$F$2:$F$2001,MATCH($C174,'CA Exclusion Map'!$A$2:$A$2001,0)),"")</f>
        <v/>
      </c>
      <c r="X174" s="36"/>
      <c r="Y174" s="37"/>
      <c r="Z174" s="38"/>
      <c r="AA174" s="38"/>
      <c r="AB174" s="39" t="str">
        <f aca="true">IF(T174="","",IF(T174&lt;&gt;"Yes","N/A",IF(AA174="","NO EXPIRY SET",IF(TODAY()&gt;AA174,"EXPIRED",IF(AA174-TODAY()&lt;=30,"Expiring Soon","Active")))))</f>
        <v/>
      </c>
      <c r="AC174" s="36"/>
      <c r="AD174" s="36"/>
      <c r="AE174" s="37"/>
      <c r="AF174" s="36"/>
      <c r="AG174" s="37"/>
      <c r="AH174" s="37"/>
      <c r="AI174" s="37"/>
      <c r="AJ174" s="37"/>
      <c r="AK174" s="38"/>
      <c r="AL174" s="37"/>
      <c r="AM174" s="37"/>
      <c r="AN174" s="41" t="str">
        <f aca="false">IF(AK174="","",AK174+90)</f>
        <v/>
      </c>
      <c r="AO174" s="39" t="str">
        <f aca="true">IF(C174="","",IF(AK174="","NOT REVIEWED",IF(TODAY()&gt;AN174,"OVERDUE",IF(AN174-TODAY()&lt;=14,"Due Soon","Current"))))</f>
        <v/>
      </c>
      <c r="AP174" s="36"/>
    </row>
    <row r="175" customFormat="false" ht="15" hidden="false" customHeight="false" outlineLevel="0" collapsed="false">
      <c r="A175" s="36"/>
      <c r="B175" s="36"/>
      <c r="C175" s="36"/>
      <c r="D175" s="37"/>
      <c r="E175" s="38"/>
      <c r="F175" s="38"/>
      <c r="G175" s="36"/>
      <c r="H175" s="37"/>
      <c r="I175" s="39" t="str">
        <f aca="true">IF(F175="","",TODAY()-F175)</f>
        <v/>
      </c>
      <c r="J175" s="40" t="str">
        <f aca="false">IFERROR(INDEX('Azure Resource Map'!$H$2:$H$2001,MATCH($C175,'Azure Resource Map'!$A$2:$A$2001,0)),"")</f>
        <v/>
      </c>
      <c r="K175" s="40" t="str">
        <f aca="false">IFERROR(INDEX('Azure Resource Map'!$I$2:$I$2001,MATCH($C175,'Azure Resource Map'!$A$2:$A$2001,0)),"")</f>
        <v/>
      </c>
      <c r="L175" s="39" t="str">
        <f aca="false">IFERROR(INDEX('Azure Resource Map'!$J$2:$J$2001,MATCH($C175,'Azure Resource Map'!$A$2:$A$2001,0)),"")</f>
        <v/>
      </c>
      <c r="M175" s="40" t="str">
        <f aca="false">IFERROR(INDEX('Azure Resource Map'!$K$2:$K$2001,MATCH($C175,'Azure Resource Map'!$A$2:$A$2001,0)),"")</f>
        <v/>
      </c>
      <c r="N175" s="39" t="str">
        <f aca="false">IFERROR(INDEX('Azure Resource Map'!$L$2:$L$2001,MATCH($C175,'Azure Resource Map'!$A$2:$A$2001,0)),"")</f>
        <v/>
      </c>
      <c r="O175" s="39" t="str">
        <f aca="false">IFERROR(INDEX('Azure Resource Map'!$M$2:$M$2001,MATCH($C175,'Azure Resource Map'!$A$2:$A$2001,0)),"")</f>
        <v/>
      </c>
      <c r="P175" s="40" t="str">
        <f aca="false">IFERROR(INDEX('Azure Resource Map'!$D$2:$D$2001,MATCH($C175,'Azure Resource Map'!$A$2:$A$2001,0)),"")</f>
        <v/>
      </c>
      <c r="Q175" s="39" t="str">
        <f aca="false">IFERROR(INDEX('Azure Resource Map'!$E$2:$E$2001,MATCH($C175,'Azure Resource Map'!$A$2:$A$2001,0)),"")</f>
        <v/>
      </c>
      <c r="R175" s="39" t="str">
        <f aca="false">IFERROR(INDEX('Azure Resource Map'!$F$2:$F$2001,MATCH($C175,'Azure Resource Map'!$A$2:$A$2001,0)),"")</f>
        <v/>
      </c>
      <c r="S175" s="37"/>
      <c r="T175" s="39" t="str">
        <f aca="false">IF($C175="","",IF(ISNUMBER(MATCH($C175,'CA Exclusion Map'!$A$2:$A$2001,0)),"Yes","No"))</f>
        <v/>
      </c>
      <c r="U175" s="39" t="str">
        <f aca="false">IFERROR(INDEX('CA Exclusion Map'!$D$2:$D$2001,MATCH($C175,'CA Exclusion Map'!$A$2:$A$2001,0)),"")</f>
        <v/>
      </c>
      <c r="V175" s="40" t="str">
        <f aca="false">IFERROR(INDEX('CA Exclusion Map'!$E$2:$E$2001,MATCH($C175,'CA Exclusion Map'!$A$2:$A$2001,0)),"")</f>
        <v/>
      </c>
      <c r="W175" s="40" t="str">
        <f aca="false">IFERROR(INDEX('CA Exclusion Map'!$F$2:$F$2001,MATCH($C175,'CA Exclusion Map'!$A$2:$A$2001,0)),"")</f>
        <v/>
      </c>
      <c r="X175" s="36"/>
      <c r="Y175" s="37"/>
      <c r="Z175" s="38"/>
      <c r="AA175" s="38"/>
      <c r="AB175" s="39" t="str">
        <f aca="true">IF(T175="","",IF(T175&lt;&gt;"Yes","N/A",IF(AA175="","NO EXPIRY SET",IF(TODAY()&gt;AA175,"EXPIRED",IF(AA175-TODAY()&lt;=30,"Expiring Soon","Active")))))</f>
        <v/>
      </c>
      <c r="AC175" s="36"/>
      <c r="AD175" s="36"/>
      <c r="AE175" s="37"/>
      <c r="AF175" s="36"/>
      <c r="AG175" s="37"/>
      <c r="AH175" s="37"/>
      <c r="AI175" s="37"/>
      <c r="AJ175" s="37"/>
      <c r="AK175" s="38"/>
      <c r="AL175" s="37"/>
      <c r="AM175" s="37"/>
      <c r="AN175" s="41" t="str">
        <f aca="false">IF(AK175="","",AK175+90)</f>
        <v/>
      </c>
      <c r="AO175" s="39" t="str">
        <f aca="true">IF(C175="","",IF(AK175="","NOT REVIEWED",IF(TODAY()&gt;AN175,"OVERDUE",IF(AN175-TODAY()&lt;=14,"Due Soon","Current"))))</f>
        <v/>
      </c>
      <c r="AP175" s="36"/>
    </row>
    <row r="176" customFormat="false" ht="15" hidden="false" customHeight="false" outlineLevel="0" collapsed="false">
      <c r="A176" s="36"/>
      <c r="B176" s="36"/>
      <c r="C176" s="36"/>
      <c r="D176" s="37"/>
      <c r="E176" s="38"/>
      <c r="F176" s="38"/>
      <c r="G176" s="36"/>
      <c r="H176" s="37"/>
      <c r="I176" s="39" t="str">
        <f aca="true">IF(F176="","",TODAY()-F176)</f>
        <v/>
      </c>
      <c r="J176" s="40" t="str">
        <f aca="false">IFERROR(INDEX('Azure Resource Map'!$H$2:$H$2001,MATCH($C176,'Azure Resource Map'!$A$2:$A$2001,0)),"")</f>
        <v/>
      </c>
      <c r="K176" s="40" t="str">
        <f aca="false">IFERROR(INDEX('Azure Resource Map'!$I$2:$I$2001,MATCH($C176,'Azure Resource Map'!$A$2:$A$2001,0)),"")</f>
        <v/>
      </c>
      <c r="L176" s="39" t="str">
        <f aca="false">IFERROR(INDEX('Azure Resource Map'!$J$2:$J$2001,MATCH($C176,'Azure Resource Map'!$A$2:$A$2001,0)),"")</f>
        <v/>
      </c>
      <c r="M176" s="40" t="str">
        <f aca="false">IFERROR(INDEX('Azure Resource Map'!$K$2:$K$2001,MATCH($C176,'Azure Resource Map'!$A$2:$A$2001,0)),"")</f>
        <v/>
      </c>
      <c r="N176" s="39" t="str">
        <f aca="false">IFERROR(INDEX('Azure Resource Map'!$L$2:$L$2001,MATCH($C176,'Azure Resource Map'!$A$2:$A$2001,0)),"")</f>
        <v/>
      </c>
      <c r="O176" s="39" t="str">
        <f aca="false">IFERROR(INDEX('Azure Resource Map'!$M$2:$M$2001,MATCH($C176,'Azure Resource Map'!$A$2:$A$2001,0)),"")</f>
        <v/>
      </c>
      <c r="P176" s="40" t="str">
        <f aca="false">IFERROR(INDEX('Azure Resource Map'!$D$2:$D$2001,MATCH($C176,'Azure Resource Map'!$A$2:$A$2001,0)),"")</f>
        <v/>
      </c>
      <c r="Q176" s="39" t="str">
        <f aca="false">IFERROR(INDEX('Azure Resource Map'!$E$2:$E$2001,MATCH($C176,'Azure Resource Map'!$A$2:$A$2001,0)),"")</f>
        <v/>
      </c>
      <c r="R176" s="39" t="str">
        <f aca="false">IFERROR(INDEX('Azure Resource Map'!$F$2:$F$2001,MATCH($C176,'Azure Resource Map'!$A$2:$A$2001,0)),"")</f>
        <v/>
      </c>
      <c r="S176" s="37"/>
      <c r="T176" s="39" t="str">
        <f aca="false">IF($C176="","",IF(ISNUMBER(MATCH($C176,'CA Exclusion Map'!$A$2:$A$2001,0)),"Yes","No"))</f>
        <v/>
      </c>
      <c r="U176" s="39" t="str">
        <f aca="false">IFERROR(INDEX('CA Exclusion Map'!$D$2:$D$2001,MATCH($C176,'CA Exclusion Map'!$A$2:$A$2001,0)),"")</f>
        <v/>
      </c>
      <c r="V176" s="40" t="str">
        <f aca="false">IFERROR(INDEX('CA Exclusion Map'!$E$2:$E$2001,MATCH($C176,'CA Exclusion Map'!$A$2:$A$2001,0)),"")</f>
        <v/>
      </c>
      <c r="W176" s="40" t="str">
        <f aca="false">IFERROR(INDEX('CA Exclusion Map'!$F$2:$F$2001,MATCH($C176,'CA Exclusion Map'!$A$2:$A$2001,0)),"")</f>
        <v/>
      </c>
      <c r="X176" s="36"/>
      <c r="Y176" s="37"/>
      <c r="Z176" s="38"/>
      <c r="AA176" s="38"/>
      <c r="AB176" s="39" t="str">
        <f aca="true">IF(T176="","",IF(T176&lt;&gt;"Yes","N/A",IF(AA176="","NO EXPIRY SET",IF(TODAY()&gt;AA176,"EXPIRED",IF(AA176-TODAY()&lt;=30,"Expiring Soon","Active")))))</f>
        <v/>
      </c>
      <c r="AC176" s="36"/>
      <c r="AD176" s="36"/>
      <c r="AE176" s="37"/>
      <c r="AF176" s="36"/>
      <c r="AG176" s="37"/>
      <c r="AH176" s="37"/>
      <c r="AI176" s="37"/>
      <c r="AJ176" s="37"/>
      <c r="AK176" s="38"/>
      <c r="AL176" s="37"/>
      <c r="AM176" s="37"/>
      <c r="AN176" s="41" t="str">
        <f aca="false">IF(AK176="","",AK176+90)</f>
        <v/>
      </c>
      <c r="AO176" s="39" t="str">
        <f aca="true">IF(C176="","",IF(AK176="","NOT REVIEWED",IF(TODAY()&gt;AN176,"OVERDUE",IF(AN176-TODAY()&lt;=14,"Due Soon","Current"))))</f>
        <v/>
      </c>
      <c r="AP176" s="36"/>
    </row>
    <row r="177" customFormat="false" ht="15" hidden="false" customHeight="false" outlineLevel="0" collapsed="false">
      <c r="A177" s="36"/>
      <c r="B177" s="36"/>
      <c r="C177" s="36"/>
      <c r="D177" s="37"/>
      <c r="E177" s="38"/>
      <c r="F177" s="38"/>
      <c r="G177" s="36"/>
      <c r="H177" s="37"/>
      <c r="I177" s="39" t="str">
        <f aca="true">IF(F177="","",TODAY()-F177)</f>
        <v/>
      </c>
      <c r="J177" s="40" t="str">
        <f aca="false">IFERROR(INDEX('Azure Resource Map'!$H$2:$H$2001,MATCH($C177,'Azure Resource Map'!$A$2:$A$2001,0)),"")</f>
        <v/>
      </c>
      <c r="K177" s="40" t="str">
        <f aca="false">IFERROR(INDEX('Azure Resource Map'!$I$2:$I$2001,MATCH($C177,'Azure Resource Map'!$A$2:$A$2001,0)),"")</f>
        <v/>
      </c>
      <c r="L177" s="39" t="str">
        <f aca="false">IFERROR(INDEX('Azure Resource Map'!$J$2:$J$2001,MATCH($C177,'Azure Resource Map'!$A$2:$A$2001,0)),"")</f>
        <v/>
      </c>
      <c r="M177" s="40" t="str">
        <f aca="false">IFERROR(INDEX('Azure Resource Map'!$K$2:$K$2001,MATCH($C177,'Azure Resource Map'!$A$2:$A$2001,0)),"")</f>
        <v/>
      </c>
      <c r="N177" s="39" t="str">
        <f aca="false">IFERROR(INDEX('Azure Resource Map'!$L$2:$L$2001,MATCH($C177,'Azure Resource Map'!$A$2:$A$2001,0)),"")</f>
        <v/>
      </c>
      <c r="O177" s="39" t="str">
        <f aca="false">IFERROR(INDEX('Azure Resource Map'!$M$2:$M$2001,MATCH($C177,'Azure Resource Map'!$A$2:$A$2001,0)),"")</f>
        <v/>
      </c>
      <c r="P177" s="40" t="str">
        <f aca="false">IFERROR(INDEX('Azure Resource Map'!$D$2:$D$2001,MATCH($C177,'Azure Resource Map'!$A$2:$A$2001,0)),"")</f>
        <v/>
      </c>
      <c r="Q177" s="39" t="str">
        <f aca="false">IFERROR(INDEX('Azure Resource Map'!$E$2:$E$2001,MATCH($C177,'Azure Resource Map'!$A$2:$A$2001,0)),"")</f>
        <v/>
      </c>
      <c r="R177" s="39" t="str">
        <f aca="false">IFERROR(INDEX('Azure Resource Map'!$F$2:$F$2001,MATCH($C177,'Azure Resource Map'!$A$2:$A$2001,0)),"")</f>
        <v/>
      </c>
      <c r="S177" s="37"/>
      <c r="T177" s="39" t="str">
        <f aca="false">IF($C177="","",IF(ISNUMBER(MATCH($C177,'CA Exclusion Map'!$A$2:$A$2001,0)),"Yes","No"))</f>
        <v/>
      </c>
      <c r="U177" s="39" t="str">
        <f aca="false">IFERROR(INDEX('CA Exclusion Map'!$D$2:$D$2001,MATCH($C177,'CA Exclusion Map'!$A$2:$A$2001,0)),"")</f>
        <v/>
      </c>
      <c r="V177" s="40" t="str">
        <f aca="false">IFERROR(INDEX('CA Exclusion Map'!$E$2:$E$2001,MATCH($C177,'CA Exclusion Map'!$A$2:$A$2001,0)),"")</f>
        <v/>
      </c>
      <c r="W177" s="40" t="str">
        <f aca="false">IFERROR(INDEX('CA Exclusion Map'!$F$2:$F$2001,MATCH($C177,'CA Exclusion Map'!$A$2:$A$2001,0)),"")</f>
        <v/>
      </c>
      <c r="X177" s="36"/>
      <c r="Y177" s="37"/>
      <c r="Z177" s="38"/>
      <c r="AA177" s="38"/>
      <c r="AB177" s="39" t="str">
        <f aca="true">IF(T177="","",IF(T177&lt;&gt;"Yes","N/A",IF(AA177="","NO EXPIRY SET",IF(TODAY()&gt;AA177,"EXPIRED",IF(AA177-TODAY()&lt;=30,"Expiring Soon","Active")))))</f>
        <v/>
      </c>
      <c r="AC177" s="36"/>
      <c r="AD177" s="36"/>
      <c r="AE177" s="37"/>
      <c r="AF177" s="36"/>
      <c r="AG177" s="37"/>
      <c r="AH177" s="37"/>
      <c r="AI177" s="37"/>
      <c r="AJ177" s="37"/>
      <c r="AK177" s="38"/>
      <c r="AL177" s="37"/>
      <c r="AM177" s="37"/>
      <c r="AN177" s="41" t="str">
        <f aca="false">IF(AK177="","",AK177+90)</f>
        <v/>
      </c>
      <c r="AO177" s="39" t="str">
        <f aca="true">IF(C177="","",IF(AK177="","NOT REVIEWED",IF(TODAY()&gt;AN177,"OVERDUE",IF(AN177-TODAY()&lt;=14,"Due Soon","Current"))))</f>
        <v/>
      </c>
      <c r="AP177" s="36"/>
    </row>
    <row r="178" customFormat="false" ht="15" hidden="false" customHeight="false" outlineLevel="0" collapsed="false">
      <c r="A178" s="36"/>
      <c r="B178" s="36"/>
      <c r="C178" s="36"/>
      <c r="D178" s="37"/>
      <c r="E178" s="38"/>
      <c r="F178" s="38"/>
      <c r="G178" s="36"/>
      <c r="H178" s="37"/>
      <c r="I178" s="39" t="str">
        <f aca="true">IF(F178="","",TODAY()-F178)</f>
        <v/>
      </c>
      <c r="J178" s="40" t="str">
        <f aca="false">IFERROR(INDEX('Azure Resource Map'!$H$2:$H$2001,MATCH($C178,'Azure Resource Map'!$A$2:$A$2001,0)),"")</f>
        <v/>
      </c>
      <c r="K178" s="40" t="str">
        <f aca="false">IFERROR(INDEX('Azure Resource Map'!$I$2:$I$2001,MATCH($C178,'Azure Resource Map'!$A$2:$A$2001,0)),"")</f>
        <v/>
      </c>
      <c r="L178" s="39" t="str">
        <f aca="false">IFERROR(INDEX('Azure Resource Map'!$J$2:$J$2001,MATCH($C178,'Azure Resource Map'!$A$2:$A$2001,0)),"")</f>
        <v/>
      </c>
      <c r="M178" s="40" t="str">
        <f aca="false">IFERROR(INDEX('Azure Resource Map'!$K$2:$K$2001,MATCH($C178,'Azure Resource Map'!$A$2:$A$2001,0)),"")</f>
        <v/>
      </c>
      <c r="N178" s="39" t="str">
        <f aca="false">IFERROR(INDEX('Azure Resource Map'!$L$2:$L$2001,MATCH($C178,'Azure Resource Map'!$A$2:$A$2001,0)),"")</f>
        <v/>
      </c>
      <c r="O178" s="39" t="str">
        <f aca="false">IFERROR(INDEX('Azure Resource Map'!$M$2:$M$2001,MATCH($C178,'Azure Resource Map'!$A$2:$A$2001,0)),"")</f>
        <v/>
      </c>
      <c r="P178" s="40" t="str">
        <f aca="false">IFERROR(INDEX('Azure Resource Map'!$D$2:$D$2001,MATCH($C178,'Azure Resource Map'!$A$2:$A$2001,0)),"")</f>
        <v/>
      </c>
      <c r="Q178" s="39" t="str">
        <f aca="false">IFERROR(INDEX('Azure Resource Map'!$E$2:$E$2001,MATCH($C178,'Azure Resource Map'!$A$2:$A$2001,0)),"")</f>
        <v/>
      </c>
      <c r="R178" s="39" t="str">
        <f aca="false">IFERROR(INDEX('Azure Resource Map'!$F$2:$F$2001,MATCH($C178,'Azure Resource Map'!$A$2:$A$2001,0)),"")</f>
        <v/>
      </c>
      <c r="S178" s="37"/>
      <c r="T178" s="39" t="str">
        <f aca="false">IF($C178="","",IF(ISNUMBER(MATCH($C178,'CA Exclusion Map'!$A$2:$A$2001,0)),"Yes","No"))</f>
        <v/>
      </c>
      <c r="U178" s="39" t="str">
        <f aca="false">IFERROR(INDEX('CA Exclusion Map'!$D$2:$D$2001,MATCH($C178,'CA Exclusion Map'!$A$2:$A$2001,0)),"")</f>
        <v/>
      </c>
      <c r="V178" s="40" t="str">
        <f aca="false">IFERROR(INDEX('CA Exclusion Map'!$E$2:$E$2001,MATCH($C178,'CA Exclusion Map'!$A$2:$A$2001,0)),"")</f>
        <v/>
      </c>
      <c r="W178" s="40" t="str">
        <f aca="false">IFERROR(INDEX('CA Exclusion Map'!$F$2:$F$2001,MATCH($C178,'CA Exclusion Map'!$A$2:$A$2001,0)),"")</f>
        <v/>
      </c>
      <c r="X178" s="36"/>
      <c r="Y178" s="37"/>
      <c r="Z178" s="38"/>
      <c r="AA178" s="38"/>
      <c r="AB178" s="39" t="str">
        <f aca="true">IF(T178="","",IF(T178&lt;&gt;"Yes","N/A",IF(AA178="","NO EXPIRY SET",IF(TODAY()&gt;AA178,"EXPIRED",IF(AA178-TODAY()&lt;=30,"Expiring Soon","Active")))))</f>
        <v/>
      </c>
      <c r="AC178" s="36"/>
      <c r="AD178" s="36"/>
      <c r="AE178" s="37"/>
      <c r="AF178" s="36"/>
      <c r="AG178" s="37"/>
      <c r="AH178" s="37"/>
      <c r="AI178" s="37"/>
      <c r="AJ178" s="37"/>
      <c r="AK178" s="38"/>
      <c r="AL178" s="37"/>
      <c r="AM178" s="37"/>
      <c r="AN178" s="41" t="str">
        <f aca="false">IF(AK178="","",AK178+90)</f>
        <v/>
      </c>
      <c r="AO178" s="39" t="str">
        <f aca="true">IF(C178="","",IF(AK178="","NOT REVIEWED",IF(TODAY()&gt;AN178,"OVERDUE",IF(AN178-TODAY()&lt;=14,"Due Soon","Current"))))</f>
        <v/>
      </c>
      <c r="AP178" s="36"/>
    </row>
    <row r="179" customFormat="false" ht="15" hidden="false" customHeight="false" outlineLevel="0" collapsed="false">
      <c r="A179" s="36"/>
      <c r="B179" s="36"/>
      <c r="C179" s="36"/>
      <c r="D179" s="37"/>
      <c r="E179" s="38"/>
      <c r="F179" s="38"/>
      <c r="G179" s="36"/>
      <c r="H179" s="37"/>
      <c r="I179" s="39" t="str">
        <f aca="true">IF(F179="","",TODAY()-F179)</f>
        <v/>
      </c>
      <c r="J179" s="40" t="str">
        <f aca="false">IFERROR(INDEX('Azure Resource Map'!$H$2:$H$2001,MATCH($C179,'Azure Resource Map'!$A$2:$A$2001,0)),"")</f>
        <v/>
      </c>
      <c r="K179" s="40" t="str">
        <f aca="false">IFERROR(INDEX('Azure Resource Map'!$I$2:$I$2001,MATCH($C179,'Azure Resource Map'!$A$2:$A$2001,0)),"")</f>
        <v/>
      </c>
      <c r="L179" s="39" t="str">
        <f aca="false">IFERROR(INDEX('Azure Resource Map'!$J$2:$J$2001,MATCH($C179,'Azure Resource Map'!$A$2:$A$2001,0)),"")</f>
        <v/>
      </c>
      <c r="M179" s="40" t="str">
        <f aca="false">IFERROR(INDEX('Azure Resource Map'!$K$2:$K$2001,MATCH($C179,'Azure Resource Map'!$A$2:$A$2001,0)),"")</f>
        <v/>
      </c>
      <c r="N179" s="39" t="str">
        <f aca="false">IFERROR(INDEX('Azure Resource Map'!$L$2:$L$2001,MATCH($C179,'Azure Resource Map'!$A$2:$A$2001,0)),"")</f>
        <v/>
      </c>
      <c r="O179" s="39" t="str">
        <f aca="false">IFERROR(INDEX('Azure Resource Map'!$M$2:$M$2001,MATCH($C179,'Azure Resource Map'!$A$2:$A$2001,0)),"")</f>
        <v/>
      </c>
      <c r="P179" s="40" t="str">
        <f aca="false">IFERROR(INDEX('Azure Resource Map'!$D$2:$D$2001,MATCH($C179,'Azure Resource Map'!$A$2:$A$2001,0)),"")</f>
        <v/>
      </c>
      <c r="Q179" s="39" t="str">
        <f aca="false">IFERROR(INDEX('Azure Resource Map'!$E$2:$E$2001,MATCH($C179,'Azure Resource Map'!$A$2:$A$2001,0)),"")</f>
        <v/>
      </c>
      <c r="R179" s="39" t="str">
        <f aca="false">IFERROR(INDEX('Azure Resource Map'!$F$2:$F$2001,MATCH($C179,'Azure Resource Map'!$A$2:$A$2001,0)),"")</f>
        <v/>
      </c>
      <c r="S179" s="37"/>
      <c r="T179" s="39" t="str">
        <f aca="false">IF($C179="","",IF(ISNUMBER(MATCH($C179,'CA Exclusion Map'!$A$2:$A$2001,0)),"Yes","No"))</f>
        <v/>
      </c>
      <c r="U179" s="39" t="str">
        <f aca="false">IFERROR(INDEX('CA Exclusion Map'!$D$2:$D$2001,MATCH($C179,'CA Exclusion Map'!$A$2:$A$2001,0)),"")</f>
        <v/>
      </c>
      <c r="V179" s="40" t="str">
        <f aca="false">IFERROR(INDEX('CA Exclusion Map'!$E$2:$E$2001,MATCH($C179,'CA Exclusion Map'!$A$2:$A$2001,0)),"")</f>
        <v/>
      </c>
      <c r="W179" s="40" t="str">
        <f aca="false">IFERROR(INDEX('CA Exclusion Map'!$F$2:$F$2001,MATCH($C179,'CA Exclusion Map'!$A$2:$A$2001,0)),"")</f>
        <v/>
      </c>
      <c r="X179" s="36"/>
      <c r="Y179" s="37"/>
      <c r="Z179" s="38"/>
      <c r="AA179" s="38"/>
      <c r="AB179" s="39" t="str">
        <f aca="true">IF(T179="","",IF(T179&lt;&gt;"Yes","N/A",IF(AA179="","NO EXPIRY SET",IF(TODAY()&gt;AA179,"EXPIRED",IF(AA179-TODAY()&lt;=30,"Expiring Soon","Active")))))</f>
        <v/>
      </c>
      <c r="AC179" s="36"/>
      <c r="AD179" s="36"/>
      <c r="AE179" s="37"/>
      <c r="AF179" s="36"/>
      <c r="AG179" s="37"/>
      <c r="AH179" s="37"/>
      <c r="AI179" s="37"/>
      <c r="AJ179" s="37"/>
      <c r="AK179" s="38"/>
      <c r="AL179" s="37"/>
      <c r="AM179" s="37"/>
      <c r="AN179" s="41" t="str">
        <f aca="false">IF(AK179="","",AK179+90)</f>
        <v/>
      </c>
      <c r="AO179" s="39" t="str">
        <f aca="true">IF(C179="","",IF(AK179="","NOT REVIEWED",IF(TODAY()&gt;AN179,"OVERDUE",IF(AN179-TODAY()&lt;=14,"Due Soon","Current"))))</f>
        <v/>
      </c>
      <c r="AP179" s="36"/>
    </row>
    <row r="180" customFormat="false" ht="15" hidden="false" customHeight="false" outlineLevel="0" collapsed="false">
      <c r="A180" s="36"/>
      <c r="B180" s="36"/>
      <c r="C180" s="36"/>
      <c r="D180" s="37"/>
      <c r="E180" s="38"/>
      <c r="F180" s="38"/>
      <c r="G180" s="36"/>
      <c r="H180" s="37"/>
      <c r="I180" s="39" t="str">
        <f aca="true">IF(F180="","",TODAY()-F180)</f>
        <v/>
      </c>
      <c r="J180" s="40" t="str">
        <f aca="false">IFERROR(INDEX('Azure Resource Map'!$H$2:$H$2001,MATCH($C180,'Azure Resource Map'!$A$2:$A$2001,0)),"")</f>
        <v/>
      </c>
      <c r="K180" s="40" t="str">
        <f aca="false">IFERROR(INDEX('Azure Resource Map'!$I$2:$I$2001,MATCH($C180,'Azure Resource Map'!$A$2:$A$2001,0)),"")</f>
        <v/>
      </c>
      <c r="L180" s="39" t="str">
        <f aca="false">IFERROR(INDEX('Azure Resource Map'!$J$2:$J$2001,MATCH($C180,'Azure Resource Map'!$A$2:$A$2001,0)),"")</f>
        <v/>
      </c>
      <c r="M180" s="40" t="str">
        <f aca="false">IFERROR(INDEX('Azure Resource Map'!$K$2:$K$2001,MATCH($C180,'Azure Resource Map'!$A$2:$A$2001,0)),"")</f>
        <v/>
      </c>
      <c r="N180" s="39" t="str">
        <f aca="false">IFERROR(INDEX('Azure Resource Map'!$L$2:$L$2001,MATCH($C180,'Azure Resource Map'!$A$2:$A$2001,0)),"")</f>
        <v/>
      </c>
      <c r="O180" s="39" t="str">
        <f aca="false">IFERROR(INDEX('Azure Resource Map'!$M$2:$M$2001,MATCH($C180,'Azure Resource Map'!$A$2:$A$2001,0)),"")</f>
        <v/>
      </c>
      <c r="P180" s="40" t="str">
        <f aca="false">IFERROR(INDEX('Azure Resource Map'!$D$2:$D$2001,MATCH($C180,'Azure Resource Map'!$A$2:$A$2001,0)),"")</f>
        <v/>
      </c>
      <c r="Q180" s="39" t="str">
        <f aca="false">IFERROR(INDEX('Azure Resource Map'!$E$2:$E$2001,MATCH($C180,'Azure Resource Map'!$A$2:$A$2001,0)),"")</f>
        <v/>
      </c>
      <c r="R180" s="39" t="str">
        <f aca="false">IFERROR(INDEX('Azure Resource Map'!$F$2:$F$2001,MATCH($C180,'Azure Resource Map'!$A$2:$A$2001,0)),"")</f>
        <v/>
      </c>
      <c r="S180" s="37"/>
      <c r="T180" s="39" t="str">
        <f aca="false">IF($C180="","",IF(ISNUMBER(MATCH($C180,'CA Exclusion Map'!$A$2:$A$2001,0)),"Yes","No"))</f>
        <v/>
      </c>
      <c r="U180" s="39" t="str">
        <f aca="false">IFERROR(INDEX('CA Exclusion Map'!$D$2:$D$2001,MATCH($C180,'CA Exclusion Map'!$A$2:$A$2001,0)),"")</f>
        <v/>
      </c>
      <c r="V180" s="40" t="str">
        <f aca="false">IFERROR(INDEX('CA Exclusion Map'!$E$2:$E$2001,MATCH($C180,'CA Exclusion Map'!$A$2:$A$2001,0)),"")</f>
        <v/>
      </c>
      <c r="W180" s="40" t="str">
        <f aca="false">IFERROR(INDEX('CA Exclusion Map'!$F$2:$F$2001,MATCH($C180,'CA Exclusion Map'!$A$2:$A$2001,0)),"")</f>
        <v/>
      </c>
      <c r="X180" s="36"/>
      <c r="Y180" s="37"/>
      <c r="Z180" s="38"/>
      <c r="AA180" s="38"/>
      <c r="AB180" s="39" t="str">
        <f aca="true">IF(T180="","",IF(T180&lt;&gt;"Yes","N/A",IF(AA180="","NO EXPIRY SET",IF(TODAY()&gt;AA180,"EXPIRED",IF(AA180-TODAY()&lt;=30,"Expiring Soon","Active")))))</f>
        <v/>
      </c>
      <c r="AC180" s="36"/>
      <c r="AD180" s="36"/>
      <c r="AE180" s="37"/>
      <c r="AF180" s="36"/>
      <c r="AG180" s="37"/>
      <c r="AH180" s="37"/>
      <c r="AI180" s="37"/>
      <c r="AJ180" s="37"/>
      <c r="AK180" s="38"/>
      <c r="AL180" s="37"/>
      <c r="AM180" s="37"/>
      <c r="AN180" s="41" t="str">
        <f aca="false">IF(AK180="","",AK180+90)</f>
        <v/>
      </c>
      <c r="AO180" s="39" t="str">
        <f aca="true">IF(C180="","",IF(AK180="","NOT REVIEWED",IF(TODAY()&gt;AN180,"OVERDUE",IF(AN180-TODAY()&lt;=14,"Due Soon","Current"))))</f>
        <v/>
      </c>
      <c r="AP180" s="36"/>
    </row>
    <row r="181" customFormat="false" ht="15" hidden="false" customHeight="false" outlineLevel="0" collapsed="false">
      <c r="A181" s="36"/>
      <c r="B181" s="36"/>
      <c r="C181" s="36"/>
      <c r="D181" s="37"/>
      <c r="E181" s="38"/>
      <c r="F181" s="38"/>
      <c r="G181" s="36"/>
      <c r="H181" s="37"/>
      <c r="I181" s="39" t="str">
        <f aca="true">IF(F181="","",TODAY()-F181)</f>
        <v/>
      </c>
      <c r="J181" s="40" t="str">
        <f aca="false">IFERROR(INDEX('Azure Resource Map'!$H$2:$H$2001,MATCH($C181,'Azure Resource Map'!$A$2:$A$2001,0)),"")</f>
        <v/>
      </c>
      <c r="K181" s="40" t="str">
        <f aca="false">IFERROR(INDEX('Azure Resource Map'!$I$2:$I$2001,MATCH($C181,'Azure Resource Map'!$A$2:$A$2001,0)),"")</f>
        <v/>
      </c>
      <c r="L181" s="39" t="str">
        <f aca="false">IFERROR(INDEX('Azure Resource Map'!$J$2:$J$2001,MATCH($C181,'Azure Resource Map'!$A$2:$A$2001,0)),"")</f>
        <v/>
      </c>
      <c r="M181" s="40" t="str">
        <f aca="false">IFERROR(INDEX('Azure Resource Map'!$K$2:$K$2001,MATCH($C181,'Azure Resource Map'!$A$2:$A$2001,0)),"")</f>
        <v/>
      </c>
      <c r="N181" s="39" t="str">
        <f aca="false">IFERROR(INDEX('Azure Resource Map'!$L$2:$L$2001,MATCH($C181,'Azure Resource Map'!$A$2:$A$2001,0)),"")</f>
        <v/>
      </c>
      <c r="O181" s="39" t="str">
        <f aca="false">IFERROR(INDEX('Azure Resource Map'!$M$2:$M$2001,MATCH($C181,'Azure Resource Map'!$A$2:$A$2001,0)),"")</f>
        <v/>
      </c>
      <c r="P181" s="40" t="str">
        <f aca="false">IFERROR(INDEX('Azure Resource Map'!$D$2:$D$2001,MATCH($C181,'Azure Resource Map'!$A$2:$A$2001,0)),"")</f>
        <v/>
      </c>
      <c r="Q181" s="39" t="str">
        <f aca="false">IFERROR(INDEX('Azure Resource Map'!$E$2:$E$2001,MATCH($C181,'Azure Resource Map'!$A$2:$A$2001,0)),"")</f>
        <v/>
      </c>
      <c r="R181" s="39" t="str">
        <f aca="false">IFERROR(INDEX('Azure Resource Map'!$F$2:$F$2001,MATCH($C181,'Azure Resource Map'!$A$2:$A$2001,0)),"")</f>
        <v/>
      </c>
      <c r="S181" s="37"/>
      <c r="T181" s="39" t="str">
        <f aca="false">IF($C181="","",IF(ISNUMBER(MATCH($C181,'CA Exclusion Map'!$A$2:$A$2001,0)),"Yes","No"))</f>
        <v/>
      </c>
      <c r="U181" s="39" t="str">
        <f aca="false">IFERROR(INDEX('CA Exclusion Map'!$D$2:$D$2001,MATCH($C181,'CA Exclusion Map'!$A$2:$A$2001,0)),"")</f>
        <v/>
      </c>
      <c r="V181" s="40" t="str">
        <f aca="false">IFERROR(INDEX('CA Exclusion Map'!$E$2:$E$2001,MATCH($C181,'CA Exclusion Map'!$A$2:$A$2001,0)),"")</f>
        <v/>
      </c>
      <c r="W181" s="40" t="str">
        <f aca="false">IFERROR(INDEX('CA Exclusion Map'!$F$2:$F$2001,MATCH($C181,'CA Exclusion Map'!$A$2:$A$2001,0)),"")</f>
        <v/>
      </c>
      <c r="X181" s="36"/>
      <c r="Y181" s="37"/>
      <c r="Z181" s="38"/>
      <c r="AA181" s="38"/>
      <c r="AB181" s="39" t="str">
        <f aca="true">IF(T181="","",IF(T181&lt;&gt;"Yes","N/A",IF(AA181="","NO EXPIRY SET",IF(TODAY()&gt;AA181,"EXPIRED",IF(AA181-TODAY()&lt;=30,"Expiring Soon","Active")))))</f>
        <v/>
      </c>
      <c r="AC181" s="36"/>
      <c r="AD181" s="36"/>
      <c r="AE181" s="37"/>
      <c r="AF181" s="36"/>
      <c r="AG181" s="37"/>
      <c r="AH181" s="37"/>
      <c r="AI181" s="37"/>
      <c r="AJ181" s="37"/>
      <c r="AK181" s="38"/>
      <c r="AL181" s="37"/>
      <c r="AM181" s="37"/>
      <c r="AN181" s="41" t="str">
        <f aca="false">IF(AK181="","",AK181+90)</f>
        <v/>
      </c>
      <c r="AO181" s="39" t="str">
        <f aca="true">IF(C181="","",IF(AK181="","NOT REVIEWED",IF(TODAY()&gt;AN181,"OVERDUE",IF(AN181-TODAY()&lt;=14,"Due Soon","Current"))))</f>
        <v/>
      </c>
      <c r="AP181" s="36"/>
    </row>
    <row r="182" customFormat="false" ht="15" hidden="false" customHeight="false" outlineLevel="0" collapsed="false">
      <c r="A182" s="36"/>
      <c r="B182" s="36"/>
      <c r="C182" s="36"/>
      <c r="D182" s="37"/>
      <c r="E182" s="38"/>
      <c r="F182" s="38"/>
      <c r="G182" s="36"/>
      <c r="H182" s="37"/>
      <c r="I182" s="39" t="str">
        <f aca="true">IF(F182="","",TODAY()-F182)</f>
        <v/>
      </c>
      <c r="J182" s="40" t="str">
        <f aca="false">IFERROR(INDEX('Azure Resource Map'!$H$2:$H$2001,MATCH($C182,'Azure Resource Map'!$A$2:$A$2001,0)),"")</f>
        <v/>
      </c>
      <c r="K182" s="40" t="str">
        <f aca="false">IFERROR(INDEX('Azure Resource Map'!$I$2:$I$2001,MATCH($C182,'Azure Resource Map'!$A$2:$A$2001,0)),"")</f>
        <v/>
      </c>
      <c r="L182" s="39" t="str">
        <f aca="false">IFERROR(INDEX('Azure Resource Map'!$J$2:$J$2001,MATCH($C182,'Azure Resource Map'!$A$2:$A$2001,0)),"")</f>
        <v/>
      </c>
      <c r="M182" s="40" t="str">
        <f aca="false">IFERROR(INDEX('Azure Resource Map'!$K$2:$K$2001,MATCH($C182,'Azure Resource Map'!$A$2:$A$2001,0)),"")</f>
        <v/>
      </c>
      <c r="N182" s="39" t="str">
        <f aca="false">IFERROR(INDEX('Azure Resource Map'!$L$2:$L$2001,MATCH($C182,'Azure Resource Map'!$A$2:$A$2001,0)),"")</f>
        <v/>
      </c>
      <c r="O182" s="39" t="str">
        <f aca="false">IFERROR(INDEX('Azure Resource Map'!$M$2:$M$2001,MATCH($C182,'Azure Resource Map'!$A$2:$A$2001,0)),"")</f>
        <v/>
      </c>
      <c r="P182" s="40" t="str">
        <f aca="false">IFERROR(INDEX('Azure Resource Map'!$D$2:$D$2001,MATCH($C182,'Azure Resource Map'!$A$2:$A$2001,0)),"")</f>
        <v/>
      </c>
      <c r="Q182" s="39" t="str">
        <f aca="false">IFERROR(INDEX('Azure Resource Map'!$E$2:$E$2001,MATCH($C182,'Azure Resource Map'!$A$2:$A$2001,0)),"")</f>
        <v/>
      </c>
      <c r="R182" s="39" t="str">
        <f aca="false">IFERROR(INDEX('Azure Resource Map'!$F$2:$F$2001,MATCH($C182,'Azure Resource Map'!$A$2:$A$2001,0)),"")</f>
        <v/>
      </c>
      <c r="S182" s="37"/>
      <c r="T182" s="39" t="str">
        <f aca="false">IF($C182="","",IF(ISNUMBER(MATCH($C182,'CA Exclusion Map'!$A$2:$A$2001,0)),"Yes","No"))</f>
        <v/>
      </c>
      <c r="U182" s="39" t="str">
        <f aca="false">IFERROR(INDEX('CA Exclusion Map'!$D$2:$D$2001,MATCH($C182,'CA Exclusion Map'!$A$2:$A$2001,0)),"")</f>
        <v/>
      </c>
      <c r="V182" s="40" t="str">
        <f aca="false">IFERROR(INDEX('CA Exclusion Map'!$E$2:$E$2001,MATCH($C182,'CA Exclusion Map'!$A$2:$A$2001,0)),"")</f>
        <v/>
      </c>
      <c r="W182" s="40" t="str">
        <f aca="false">IFERROR(INDEX('CA Exclusion Map'!$F$2:$F$2001,MATCH($C182,'CA Exclusion Map'!$A$2:$A$2001,0)),"")</f>
        <v/>
      </c>
      <c r="X182" s="36"/>
      <c r="Y182" s="37"/>
      <c r="Z182" s="38"/>
      <c r="AA182" s="38"/>
      <c r="AB182" s="39" t="str">
        <f aca="true">IF(T182="","",IF(T182&lt;&gt;"Yes","N/A",IF(AA182="","NO EXPIRY SET",IF(TODAY()&gt;AA182,"EXPIRED",IF(AA182-TODAY()&lt;=30,"Expiring Soon","Active")))))</f>
        <v/>
      </c>
      <c r="AC182" s="36"/>
      <c r="AD182" s="36"/>
      <c r="AE182" s="37"/>
      <c r="AF182" s="36"/>
      <c r="AG182" s="37"/>
      <c r="AH182" s="37"/>
      <c r="AI182" s="37"/>
      <c r="AJ182" s="37"/>
      <c r="AK182" s="38"/>
      <c r="AL182" s="37"/>
      <c r="AM182" s="37"/>
      <c r="AN182" s="41" t="str">
        <f aca="false">IF(AK182="","",AK182+90)</f>
        <v/>
      </c>
      <c r="AO182" s="39" t="str">
        <f aca="true">IF(C182="","",IF(AK182="","NOT REVIEWED",IF(TODAY()&gt;AN182,"OVERDUE",IF(AN182-TODAY()&lt;=14,"Due Soon","Current"))))</f>
        <v/>
      </c>
      <c r="AP182" s="36"/>
    </row>
    <row r="183" customFormat="false" ht="15" hidden="false" customHeight="false" outlineLevel="0" collapsed="false">
      <c r="A183" s="36"/>
      <c r="B183" s="36"/>
      <c r="C183" s="36"/>
      <c r="D183" s="37"/>
      <c r="E183" s="38"/>
      <c r="F183" s="38"/>
      <c r="G183" s="36"/>
      <c r="H183" s="37"/>
      <c r="I183" s="39" t="str">
        <f aca="true">IF(F183="","",TODAY()-F183)</f>
        <v/>
      </c>
      <c r="J183" s="40" t="str">
        <f aca="false">IFERROR(INDEX('Azure Resource Map'!$H$2:$H$2001,MATCH($C183,'Azure Resource Map'!$A$2:$A$2001,0)),"")</f>
        <v/>
      </c>
      <c r="K183" s="40" t="str">
        <f aca="false">IFERROR(INDEX('Azure Resource Map'!$I$2:$I$2001,MATCH($C183,'Azure Resource Map'!$A$2:$A$2001,0)),"")</f>
        <v/>
      </c>
      <c r="L183" s="39" t="str">
        <f aca="false">IFERROR(INDEX('Azure Resource Map'!$J$2:$J$2001,MATCH($C183,'Azure Resource Map'!$A$2:$A$2001,0)),"")</f>
        <v/>
      </c>
      <c r="M183" s="40" t="str">
        <f aca="false">IFERROR(INDEX('Azure Resource Map'!$K$2:$K$2001,MATCH($C183,'Azure Resource Map'!$A$2:$A$2001,0)),"")</f>
        <v/>
      </c>
      <c r="N183" s="39" t="str">
        <f aca="false">IFERROR(INDEX('Azure Resource Map'!$L$2:$L$2001,MATCH($C183,'Azure Resource Map'!$A$2:$A$2001,0)),"")</f>
        <v/>
      </c>
      <c r="O183" s="39" t="str">
        <f aca="false">IFERROR(INDEX('Azure Resource Map'!$M$2:$M$2001,MATCH($C183,'Azure Resource Map'!$A$2:$A$2001,0)),"")</f>
        <v/>
      </c>
      <c r="P183" s="40" t="str">
        <f aca="false">IFERROR(INDEX('Azure Resource Map'!$D$2:$D$2001,MATCH($C183,'Azure Resource Map'!$A$2:$A$2001,0)),"")</f>
        <v/>
      </c>
      <c r="Q183" s="39" t="str">
        <f aca="false">IFERROR(INDEX('Azure Resource Map'!$E$2:$E$2001,MATCH($C183,'Azure Resource Map'!$A$2:$A$2001,0)),"")</f>
        <v/>
      </c>
      <c r="R183" s="39" t="str">
        <f aca="false">IFERROR(INDEX('Azure Resource Map'!$F$2:$F$2001,MATCH($C183,'Azure Resource Map'!$A$2:$A$2001,0)),"")</f>
        <v/>
      </c>
      <c r="S183" s="37"/>
      <c r="T183" s="39" t="str">
        <f aca="false">IF($C183="","",IF(ISNUMBER(MATCH($C183,'CA Exclusion Map'!$A$2:$A$2001,0)),"Yes","No"))</f>
        <v/>
      </c>
      <c r="U183" s="39" t="str">
        <f aca="false">IFERROR(INDEX('CA Exclusion Map'!$D$2:$D$2001,MATCH($C183,'CA Exclusion Map'!$A$2:$A$2001,0)),"")</f>
        <v/>
      </c>
      <c r="V183" s="40" t="str">
        <f aca="false">IFERROR(INDEX('CA Exclusion Map'!$E$2:$E$2001,MATCH($C183,'CA Exclusion Map'!$A$2:$A$2001,0)),"")</f>
        <v/>
      </c>
      <c r="W183" s="40" t="str">
        <f aca="false">IFERROR(INDEX('CA Exclusion Map'!$F$2:$F$2001,MATCH($C183,'CA Exclusion Map'!$A$2:$A$2001,0)),"")</f>
        <v/>
      </c>
      <c r="X183" s="36"/>
      <c r="Y183" s="37"/>
      <c r="Z183" s="38"/>
      <c r="AA183" s="38"/>
      <c r="AB183" s="39" t="str">
        <f aca="true">IF(T183="","",IF(T183&lt;&gt;"Yes","N/A",IF(AA183="","NO EXPIRY SET",IF(TODAY()&gt;AA183,"EXPIRED",IF(AA183-TODAY()&lt;=30,"Expiring Soon","Active")))))</f>
        <v/>
      </c>
      <c r="AC183" s="36"/>
      <c r="AD183" s="36"/>
      <c r="AE183" s="37"/>
      <c r="AF183" s="36"/>
      <c r="AG183" s="37"/>
      <c r="AH183" s="37"/>
      <c r="AI183" s="37"/>
      <c r="AJ183" s="37"/>
      <c r="AK183" s="38"/>
      <c r="AL183" s="37"/>
      <c r="AM183" s="37"/>
      <c r="AN183" s="41" t="str">
        <f aca="false">IF(AK183="","",AK183+90)</f>
        <v/>
      </c>
      <c r="AO183" s="39" t="str">
        <f aca="true">IF(C183="","",IF(AK183="","NOT REVIEWED",IF(TODAY()&gt;AN183,"OVERDUE",IF(AN183-TODAY()&lt;=14,"Due Soon","Current"))))</f>
        <v/>
      </c>
      <c r="AP183" s="36"/>
    </row>
    <row r="184" customFormat="false" ht="15" hidden="false" customHeight="false" outlineLevel="0" collapsed="false">
      <c r="A184" s="36"/>
      <c r="B184" s="36"/>
      <c r="C184" s="36"/>
      <c r="D184" s="37"/>
      <c r="E184" s="38"/>
      <c r="F184" s="38"/>
      <c r="G184" s="36"/>
      <c r="H184" s="37"/>
      <c r="I184" s="39" t="str">
        <f aca="true">IF(F184="","",TODAY()-F184)</f>
        <v/>
      </c>
      <c r="J184" s="40" t="str">
        <f aca="false">IFERROR(INDEX('Azure Resource Map'!$H$2:$H$2001,MATCH($C184,'Azure Resource Map'!$A$2:$A$2001,0)),"")</f>
        <v/>
      </c>
      <c r="K184" s="40" t="str">
        <f aca="false">IFERROR(INDEX('Azure Resource Map'!$I$2:$I$2001,MATCH($C184,'Azure Resource Map'!$A$2:$A$2001,0)),"")</f>
        <v/>
      </c>
      <c r="L184" s="39" t="str">
        <f aca="false">IFERROR(INDEX('Azure Resource Map'!$J$2:$J$2001,MATCH($C184,'Azure Resource Map'!$A$2:$A$2001,0)),"")</f>
        <v/>
      </c>
      <c r="M184" s="40" t="str">
        <f aca="false">IFERROR(INDEX('Azure Resource Map'!$K$2:$K$2001,MATCH($C184,'Azure Resource Map'!$A$2:$A$2001,0)),"")</f>
        <v/>
      </c>
      <c r="N184" s="39" t="str">
        <f aca="false">IFERROR(INDEX('Azure Resource Map'!$L$2:$L$2001,MATCH($C184,'Azure Resource Map'!$A$2:$A$2001,0)),"")</f>
        <v/>
      </c>
      <c r="O184" s="39" t="str">
        <f aca="false">IFERROR(INDEX('Azure Resource Map'!$M$2:$M$2001,MATCH($C184,'Azure Resource Map'!$A$2:$A$2001,0)),"")</f>
        <v/>
      </c>
      <c r="P184" s="40" t="str">
        <f aca="false">IFERROR(INDEX('Azure Resource Map'!$D$2:$D$2001,MATCH($C184,'Azure Resource Map'!$A$2:$A$2001,0)),"")</f>
        <v/>
      </c>
      <c r="Q184" s="39" t="str">
        <f aca="false">IFERROR(INDEX('Azure Resource Map'!$E$2:$E$2001,MATCH($C184,'Azure Resource Map'!$A$2:$A$2001,0)),"")</f>
        <v/>
      </c>
      <c r="R184" s="39" t="str">
        <f aca="false">IFERROR(INDEX('Azure Resource Map'!$F$2:$F$2001,MATCH($C184,'Azure Resource Map'!$A$2:$A$2001,0)),"")</f>
        <v/>
      </c>
      <c r="S184" s="37"/>
      <c r="T184" s="39" t="str">
        <f aca="false">IF($C184="","",IF(ISNUMBER(MATCH($C184,'CA Exclusion Map'!$A$2:$A$2001,0)),"Yes","No"))</f>
        <v/>
      </c>
      <c r="U184" s="39" t="str">
        <f aca="false">IFERROR(INDEX('CA Exclusion Map'!$D$2:$D$2001,MATCH($C184,'CA Exclusion Map'!$A$2:$A$2001,0)),"")</f>
        <v/>
      </c>
      <c r="V184" s="40" t="str">
        <f aca="false">IFERROR(INDEX('CA Exclusion Map'!$E$2:$E$2001,MATCH($C184,'CA Exclusion Map'!$A$2:$A$2001,0)),"")</f>
        <v/>
      </c>
      <c r="W184" s="40" t="str">
        <f aca="false">IFERROR(INDEX('CA Exclusion Map'!$F$2:$F$2001,MATCH($C184,'CA Exclusion Map'!$A$2:$A$2001,0)),"")</f>
        <v/>
      </c>
      <c r="X184" s="36"/>
      <c r="Y184" s="37"/>
      <c r="Z184" s="38"/>
      <c r="AA184" s="38"/>
      <c r="AB184" s="39" t="str">
        <f aca="true">IF(T184="","",IF(T184&lt;&gt;"Yes","N/A",IF(AA184="","NO EXPIRY SET",IF(TODAY()&gt;AA184,"EXPIRED",IF(AA184-TODAY()&lt;=30,"Expiring Soon","Active")))))</f>
        <v/>
      </c>
      <c r="AC184" s="36"/>
      <c r="AD184" s="36"/>
      <c r="AE184" s="37"/>
      <c r="AF184" s="36"/>
      <c r="AG184" s="37"/>
      <c r="AH184" s="37"/>
      <c r="AI184" s="37"/>
      <c r="AJ184" s="37"/>
      <c r="AK184" s="38"/>
      <c r="AL184" s="37"/>
      <c r="AM184" s="37"/>
      <c r="AN184" s="41" t="str">
        <f aca="false">IF(AK184="","",AK184+90)</f>
        <v/>
      </c>
      <c r="AO184" s="39" t="str">
        <f aca="true">IF(C184="","",IF(AK184="","NOT REVIEWED",IF(TODAY()&gt;AN184,"OVERDUE",IF(AN184-TODAY()&lt;=14,"Due Soon","Current"))))</f>
        <v/>
      </c>
      <c r="AP184" s="36"/>
    </row>
    <row r="185" customFormat="false" ht="15" hidden="false" customHeight="false" outlineLevel="0" collapsed="false">
      <c r="A185" s="36"/>
      <c r="B185" s="36"/>
      <c r="C185" s="36"/>
      <c r="D185" s="37"/>
      <c r="E185" s="38"/>
      <c r="F185" s="38"/>
      <c r="G185" s="36"/>
      <c r="H185" s="37"/>
      <c r="I185" s="39" t="str">
        <f aca="true">IF(F185="","",TODAY()-F185)</f>
        <v/>
      </c>
      <c r="J185" s="40" t="str">
        <f aca="false">IFERROR(INDEX('Azure Resource Map'!$H$2:$H$2001,MATCH($C185,'Azure Resource Map'!$A$2:$A$2001,0)),"")</f>
        <v/>
      </c>
      <c r="K185" s="40" t="str">
        <f aca="false">IFERROR(INDEX('Azure Resource Map'!$I$2:$I$2001,MATCH($C185,'Azure Resource Map'!$A$2:$A$2001,0)),"")</f>
        <v/>
      </c>
      <c r="L185" s="39" t="str">
        <f aca="false">IFERROR(INDEX('Azure Resource Map'!$J$2:$J$2001,MATCH($C185,'Azure Resource Map'!$A$2:$A$2001,0)),"")</f>
        <v/>
      </c>
      <c r="M185" s="40" t="str">
        <f aca="false">IFERROR(INDEX('Azure Resource Map'!$K$2:$K$2001,MATCH($C185,'Azure Resource Map'!$A$2:$A$2001,0)),"")</f>
        <v/>
      </c>
      <c r="N185" s="39" t="str">
        <f aca="false">IFERROR(INDEX('Azure Resource Map'!$L$2:$L$2001,MATCH($C185,'Azure Resource Map'!$A$2:$A$2001,0)),"")</f>
        <v/>
      </c>
      <c r="O185" s="39" t="str">
        <f aca="false">IFERROR(INDEX('Azure Resource Map'!$M$2:$M$2001,MATCH($C185,'Azure Resource Map'!$A$2:$A$2001,0)),"")</f>
        <v/>
      </c>
      <c r="P185" s="40" t="str">
        <f aca="false">IFERROR(INDEX('Azure Resource Map'!$D$2:$D$2001,MATCH($C185,'Azure Resource Map'!$A$2:$A$2001,0)),"")</f>
        <v/>
      </c>
      <c r="Q185" s="39" t="str">
        <f aca="false">IFERROR(INDEX('Azure Resource Map'!$E$2:$E$2001,MATCH($C185,'Azure Resource Map'!$A$2:$A$2001,0)),"")</f>
        <v/>
      </c>
      <c r="R185" s="39" t="str">
        <f aca="false">IFERROR(INDEX('Azure Resource Map'!$F$2:$F$2001,MATCH($C185,'Azure Resource Map'!$A$2:$A$2001,0)),"")</f>
        <v/>
      </c>
      <c r="S185" s="37"/>
      <c r="T185" s="39" t="str">
        <f aca="false">IF($C185="","",IF(ISNUMBER(MATCH($C185,'CA Exclusion Map'!$A$2:$A$2001,0)),"Yes","No"))</f>
        <v/>
      </c>
      <c r="U185" s="39" t="str">
        <f aca="false">IFERROR(INDEX('CA Exclusion Map'!$D$2:$D$2001,MATCH($C185,'CA Exclusion Map'!$A$2:$A$2001,0)),"")</f>
        <v/>
      </c>
      <c r="V185" s="40" t="str">
        <f aca="false">IFERROR(INDEX('CA Exclusion Map'!$E$2:$E$2001,MATCH($C185,'CA Exclusion Map'!$A$2:$A$2001,0)),"")</f>
        <v/>
      </c>
      <c r="W185" s="40" t="str">
        <f aca="false">IFERROR(INDEX('CA Exclusion Map'!$F$2:$F$2001,MATCH($C185,'CA Exclusion Map'!$A$2:$A$2001,0)),"")</f>
        <v/>
      </c>
      <c r="X185" s="36"/>
      <c r="Y185" s="37"/>
      <c r="Z185" s="38"/>
      <c r="AA185" s="38"/>
      <c r="AB185" s="39" t="str">
        <f aca="true">IF(T185="","",IF(T185&lt;&gt;"Yes","N/A",IF(AA185="","NO EXPIRY SET",IF(TODAY()&gt;AA185,"EXPIRED",IF(AA185-TODAY()&lt;=30,"Expiring Soon","Active")))))</f>
        <v/>
      </c>
      <c r="AC185" s="36"/>
      <c r="AD185" s="36"/>
      <c r="AE185" s="37"/>
      <c r="AF185" s="36"/>
      <c r="AG185" s="37"/>
      <c r="AH185" s="37"/>
      <c r="AI185" s="37"/>
      <c r="AJ185" s="37"/>
      <c r="AK185" s="38"/>
      <c r="AL185" s="37"/>
      <c r="AM185" s="37"/>
      <c r="AN185" s="41" t="str">
        <f aca="false">IF(AK185="","",AK185+90)</f>
        <v/>
      </c>
      <c r="AO185" s="39" t="str">
        <f aca="true">IF(C185="","",IF(AK185="","NOT REVIEWED",IF(TODAY()&gt;AN185,"OVERDUE",IF(AN185-TODAY()&lt;=14,"Due Soon","Current"))))</f>
        <v/>
      </c>
      <c r="AP185" s="36"/>
    </row>
    <row r="186" customFormat="false" ht="15" hidden="false" customHeight="false" outlineLevel="0" collapsed="false">
      <c r="A186" s="36"/>
      <c r="B186" s="36"/>
      <c r="C186" s="36"/>
      <c r="D186" s="37"/>
      <c r="E186" s="38"/>
      <c r="F186" s="38"/>
      <c r="G186" s="36"/>
      <c r="H186" s="37"/>
      <c r="I186" s="39" t="str">
        <f aca="true">IF(F186="","",TODAY()-F186)</f>
        <v/>
      </c>
      <c r="J186" s="40" t="str">
        <f aca="false">IFERROR(INDEX('Azure Resource Map'!$H$2:$H$2001,MATCH($C186,'Azure Resource Map'!$A$2:$A$2001,0)),"")</f>
        <v/>
      </c>
      <c r="K186" s="40" t="str">
        <f aca="false">IFERROR(INDEX('Azure Resource Map'!$I$2:$I$2001,MATCH($C186,'Azure Resource Map'!$A$2:$A$2001,0)),"")</f>
        <v/>
      </c>
      <c r="L186" s="39" t="str">
        <f aca="false">IFERROR(INDEX('Azure Resource Map'!$J$2:$J$2001,MATCH($C186,'Azure Resource Map'!$A$2:$A$2001,0)),"")</f>
        <v/>
      </c>
      <c r="M186" s="40" t="str">
        <f aca="false">IFERROR(INDEX('Azure Resource Map'!$K$2:$K$2001,MATCH($C186,'Azure Resource Map'!$A$2:$A$2001,0)),"")</f>
        <v/>
      </c>
      <c r="N186" s="39" t="str">
        <f aca="false">IFERROR(INDEX('Azure Resource Map'!$L$2:$L$2001,MATCH($C186,'Azure Resource Map'!$A$2:$A$2001,0)),"")</f>
        <v/>
      </c>
      <c r="O186" s="39" t="str">
        <f aca="false">IFERROR(INDEX('Azure Resource Map'!$M$2:$M$2001,MATCH($C186,'Azure Resource Map'!$A$2:$A$2001,0)),"")</f>
        <v/>
      </c>
      <c r="P186" s="40" t="str">
        <f aca="false">IFERROR(INDEX('Azure Resource Map'!$D$2:$D$2001,MATCH($C186,'Azure Resource Map'!$A$2:$A$2001,0)),"")</f>
        <v/>
      </c>
      <c r="Q186" s="39" t="str">
        <f aca="false">IFERROR(INDEX('Azure Resource Map'!$E$2:$E$2001,MATCH($C186,'Azure Resource Map'!$A$2:$A$2001,0)),"")</f>
        <v/>
      </c>
      <c r="R186" s="39" t="str">
        <f aca="false">IFERROR(INDEX('Azure Resource Map'!$F$2:$F$2001,MATCH($C186,'Azure Resource Map'!$A$2:$A$2001,0)),"")</f>
        <v/>
      </c>
      <c r="S186" s="37"/>
      <c r="T186" s="39" t="str">
        <f aca="false">IF($C186="","",IF(ISNUMBER(MATCH($C186,'CA Exclusion Map'!$A$2:$A$2001,0)),"Yes","No"))</f>
        <v/>
      </c>
      <c r="U186" s="39" t="str">
        <f aca="false">IFERROR(INDEX('CA Exclusion Map'!$D$2:$D$2001,MATCH($C186,'CA Exclusion Map'!$A$2:$A$2001,0)),"")</f>
        <v/>
      </c>
      <c r="V186" s="40" t="str">
        <f aca="false">IFERROR(INDEX('CA Exclusion Map'!$E$2:$E$2001,MATCH($C186,'CA Exclusion Map'!$A$2:$A$2001,0)),"")</f>
        <v/>
      </c>
      <c r="W186" s="40" t="str">
        <f aca="false">IFERROR(INDEX('CA Exclusion Map'!$F$2:$F$2001,MATCH($C186,'CA Exclusion Map'!$A$2:$A$2001,0)),"")</f>
        <v/>
      </c>
      <c r="X186" s="36"/>
      <c r="Y186" s="37"/>
      <c r="Z186" s="38"/>
      <c r="AA186" s="38"/>
      <c r="AB186" s="39" t="str">
        <f aca="true">IF(T186="","",IF(T186&lt;&gt;"Yes","N/A",IF(AA186="","NO EXPIRY SET",IF(TODAY()&gt;AA186,"EXPIRED",IF(AA186-TODAY()&lt;=30,"Expiring Soon","Active")))))</f>
        <v/>
      </c>
      <c r="AC186" s="36"/>
      <c r="AD186" s="36"/>
      <c r="AE186" s="37"/>
      <c r="AF186" s="36"/>
      <c r="AG186" s="37"/>
      <c r="AH186" s="37"/>
      <c r="AI186" s="37"/>
      <c r="AJ186" s="37"/>
      <c r="AK186" s="38"/>
      <c r="AL186" s="37"/>
      <c r="AM186" s="37"/>
      <c r="AN186" s="41" t="str">
        <f aca="false">IF(AK186="","",AK186+90)</f>
        <v/>
      </c>
      <c r="AO186" s="39" t="str">
        <f aca="true">IF(C186="","",IF(AK186="","NOT REVIEWED",IF(TODAY()&gt;AN186,"OVERDUE",IF(AN186-TODAY()&lt;=14,"Due Soon","Current"))))</f>
        <v/>
      </c>
      <c r="AP186" s="36"/>
    </row>
    <row r="187" customFormat="false" ht="15" hidden="false" customHeight="false" outlineLevel="0" collapsed="false">
      <c r="A187" s="36"/>
      <c r="B187" s="36"/>
      <c r="C187" s="36"/>
      <c r="D187" s="37"/>
      <c r="E187" s="38"/>
      <c r="F187" s="38"/>
      <c r="G187" s="36"/>
      <c r="H187" s="37"/>
      <c r="I187" s="39" t="str">
        <f aca="true">IF(F187="","",TODAY()-F187)</f>
        <v/>
      </c>
      <c r="J187" s="40" t="str">
        <f aca="false">IFERROR(INDEX('Azure Resource Map'!$H$2:$H$2001,MATCH($C187,'Azure Resource Map'!$A$2:$A$2001,0)),"")</f>
        <v/>
      </c>
      <c r="K187" s="40" t="str">
        <f aca="false">IFERROR(INDEX('Azure Resource Map'!$I$2:$I$2001,MATCH($C187,'Azure Resource Map'!$A$2:$A$2001,0)),"")</f>
        <v/>
      </c>
      <c r="L187" s="39" t="str">
        <f aca="false">IFERROR(INDEX('Azure Resource Map'!$J$2:$J$2001,MATCH($C187,'Azure Resource Map'!$A$2:$A$2001,0)),"")</f>
        <v/>
      </c>
      <c r="M187" s="40" t="str">
        <f aca="false">IFERROR(INDEX('Azure Resource Map'!$K$2:$K$2001,MATCH($C187,'Azure Resource Map'!$A$2:$A$2001,0)),"")</f>
        <v/>
      </c>
      <c r="N187" s="39" t="str">
        <f aca="false">IFERROR(INDEX('Azure Resource Map'!$L$2:$L$2001,MATCH($C187,'Azure Resource Map'!$A$2:$A$2001,0)),"")</f>
        <v/>
      </c>
      <c r="O187" s="39" t="str">
        <f aca="false">IFERROR(INDEX('Azure Resource Map'!$M$2:$M$2001,MATCH($C187,'Azure Resource Map'!$A$2:$A$2001,0)),"")</f>
        <v/>
      </c>
      <c r="P187" s="40" t="str">
        <f aca="false">IFERROR(INDEX('Azure Resource Map'!$D$2:$D$2001,MATCH($C187,'Azure Resource Map'!$A$2:$A$2001,0)),"")</f>
        <v/>
      </c>
      <c r="Q187" s="39" t="str">
        <f aca="false">IFERROR(INDEX('Azure Resource Map'!$E$2:$E$2001,MATCH($C187,'Azure Resource Map'!$A$2:$A$2001,0)),"")</f>
        <v/>
      </c>
      <c r="R187" s="39" t="str">
        <f aca="false">IFERROR(INDEX('Azure Resource Map'!$F$2:$F$2001,MATCH($C187,'Azure Resource Map'!$A$2:$A$2001,0)),"")</f>
        <v/>
      </c>
      <c r="S187" s="37"/>
      <c r="T187" s="39" t="str">
        <f aca="false">IF($C187="","",IF(ISNUMBER(MATCH($C187,'CA Exclusion Map'!$A$2:$A$2001,0)),"Yes","No"))</f>
        <v/>
      </c>
      <c r="U187" s="39" t="str">
        <f aca="false">IFERROR(INDEX('CA Exclusion Map'!$D$2:$D$2001,MATCH($C187,'CA Exclusion Map'!$A$2:$A$2001,0)),"")</f>
        <v/>
      </c>
      <c r="V187" s="40" t="str">
        <f aca="false">IFERROR(INDEX('CA Exclusion Map'!$E$2:$E$2001,MATCH($C187,'CA Exclusion Map'!$A$2:$A$2001,0)),"")</f>
        <v/>
      </c>
      <c r="W187" s="40" t="str">
        <f aca="false">IFERROR(INDEX('CA Exclusion Map'!$F$2:$F$2001,MATCH($C187,'CA Exclusion Map'!$A$2:$A$2001,0)),"")</f>
        <v/>
      </c>
      <c r="X187" s="36"/>
      <c r="Y187" s="37"/>
      <c r="Z187" s="38"/>
      <c r="AA187" s="38"/>
      <c r="AB187" s="39" t="str">
        <f aca="true">IF(T187="","",IF(T187&lt;&gt;"Yes","N/A",IF(AA187="","NO EXPIRY SET",IF(TODAY()&gt;AA187,"EXPIRED",IF(AA187-TODAY()&lt;=30,"Expiring Soon","Active")))))</f>
        <v/>
      </c>
      <c r="AC187" s="36"/>
      <c r="AD187" s="36"/>
      <c r="AE187" s="37"/>
      <c r="AF187" s="36"/>
      <c r="AG187" s="37"/>
      <c r="AH187" s="37"/>
      <c r="AI187" s="37"/>
      <c r="AJ187" s="37"/>
      <c r="AK187" s="38"/>
      <c r="AL187" s="37"/>
      <c r="AM187" s="37"/>
      <c r="AN187" s="41" t="str">
        <f aca="false">IF(AK187="","",AK187+90)</f>
        <v/>
      </c>
      <c r="AO187" s="39" t="str">
        <f aca="true">IF(C187="","",IF(AK187="","NOT REVIEWED",IF(TODAY()&gt;AN187,"OVERDUE",IF(AN187-TODAY()&lt;=14,"Due Soon","Current"))))</f>
        <v/>
      </c>
      <c r="AP187" s="36"/>
    </row>
    <row r="188" customFormat="false" ht="15" hidden="false" customHeight="false" outlineLevel="0" collapsed="false">
      <c r="A188" s="36"/>
      <c r="B188" s="36"/>
      <c r="C188" s="36"/>
      <c r="D188" s="37"/>
      <c r="E188" s="38"/>
      <c r="F188" s="38"/>
      <c r="G188" s="36"/>
      <c r="H188" s="37"/>
      <c r="I188" s="39" t="str">
        <f aca="true">IF(F188="","",TODAY()-F188)</f>
        <v/>
      </c>
      <c r="J188" s="40" t="str">
        <f aca="false">IFERROR(INDEX('Azure Resource Map'!$H$2:$H$2001,MATCH($C188,'Azure Resource Map'!$A$2:$A$2001,0)),"")</f>
        <v/>
      </c>
      <c r="K188" s="40" t="str">
        <f aca="false">IFERROR(INDEX('Azure Resource Map'!$I$2:$I$2001,MATCH($C188,'Azure Resource Map'!$A$2:$A$2001,0)),"")</f>
        <v/>
      </c>
      <c r="L188" s="39" t="str">
        <f aca="false">IFERROR(INDEX('Azure Resource Map'!$J$2:$J$2001,MATCH($C188,'Azure Resource Map'!$A$2:$A$2001,0)),"")</f>
        <v/>
      </c>
      <c r="M188" s="40" t="str">
        <f aca="false">IFERROR(INDEX('Azure Resource Map'!$K$2:$K$2001,MATCH($C188,'Azure Resource Map'!$A$2:$A$2001,0)),"")</f>
        <v/>
      </c>
      <c r="N188" s="39" t="str">
        <f aca="false">IFERROR(INDEX('Azure Resource Map'!$L$2:$L$2001,MATCH($C188,'Azure Resource Map'!$A$2:$A$2001,0)),"")</f>
        <v/>
      </c>
      <c r="O188" s="39" t="str">
        <f aca="false">IFERROR(INDEX('Azure Resource Map'!$M$2:$M$2001,MATCH($C188,'Azure Resource Map'!$A$2:$A$2001,0)),"")</f>
        <v/>
      </c>
      <c r="P188" s="40" t="str">
        <f aca="false">IFERROR(INDEX('Azure Resource Map'!$D$2:$D$2001,MATCH($C188,'Azure Resource Map'!$A$2:$A$2001,0)),"")</f>
        <v/>
      </c>
      <c r="Q188" s="39" t="str">
        <f aca="false">IFERROR(INDEX('Azure Resource Map'!$E$2:$E$2001,MATCH($C188,'Azure Resource Map'!$A$2:$A$2001,0)),"")</f>
        <v/>
      </c>
      <c r="R188" s="39" t="str">
        <f aca="false">IFERROR(INDEX('Azure Resource Map'!$F$2:$F$2001,MATCH($C188,'Azure Resource Map'!$A$2:$A$2001,0)),"")</f>
        <v/>
      </c>
      <c r="S188" s="37"/>
      <c r="T188" s="39" t="str">
        <f aca="false">IF($C188="","",IF(ISNUMBER(MATCH($C188,'CA Exclusion Map'!$A$2:$A$2001,0)),"Yes","No"))</f>
        <v/>
      </c>
      <c r="U188" s="39" t="str">
        <f aca="false">IFERROR(INDEX('CA Exclusion Map'!$D$2:$D$2001,MATCH($C188,'CA Exclusion Map'!$A$2:$A$2001,0)),"")</f>
        <v/>
      </c>
      <c r="V188" s="40" t="str">
        <f aca="false">IFERROR(INDEX('CA Exclusion Map'!$E$2:$E$2001,MATCH($C188,'CA Exclusion Map'!$A$2:$A$2001,0)),"")</f>
        <v/>
      </c>
      <c r="W188" s="40" t="str">
        <f aca="false">IFERROR(INDEX('CA Exclusion Map'!$F$2:$F$2001,MATCH($C188,'CA Exclusion Map'!$A$2:$A$2001,0)),"")</f>
        <v/>
      </c>
      <c r="X188" s="36"/>
      <c r="Y188" s="37"/>
      <c r="Z188" s="38"/>
      <c r="AA188" s="38"/>
      <c r="AB188" s="39" t="str">
        <f aca="true">IF(T188="","",IF(T188&lt;&gt;"Yes","N/A",IF(AA188="","NO EXPIRY SET",IF(TODAY()&gt;AA188,"EXPIRED",IF(AA188-TODAY()&lt;=30,"Expiring Soon","Active")))))</f>
        <v/>
      </c>
      <c r="AC188" s="36"/>
      <c r="AD188" s="36"/>
      <c r="AE188" s="37"/>
      <c r="AF188" s="36"/>
      <c r="AG188" s="37"/>
      <c r="AH188" s="37"/>
      <c r="AI188" s="37"/>
      <c r="AJ188" s="37"/>
      <c r="AK188" s="38"/>
      <c r="AL188" s="37"/>
      <c r="AM188" s="37"/>
      <c r="AN188" s="41" t="str">
        <f aca="false">IF(AK188="","",AK188+90)</f>
        <v/>
      </c>
      <c r="AO188" s="39" t="str">
        <f aca="true">IF(C188="","",IF(AK188="","NOT REVIEWED",IF(TODAY()&gt;AN188,"OVERDUE",IF(AN188-TODAY()&lt;=14,"Due Soon","Current"))))</f>
        <v/>
      </c>
      <c r="AP188" s="36"/>
    </row>
    <row r="189" customFormat="false" ht="15" hidden="false" customHeight="false" outlineLevel="0" collapsed="false">
      <c r="A189" s="36"/>
      <c r="B189" s="36"/>
      <c r="C189" s="36"/>
      <c r="D189" s="37"/>
      <c r="E189" s="38"/>
      <c r="F189" s="38"/>
      <c r="G189" s="36"/>
      <c r="H189" s="37"/>
      <c r="I189" s="39" t="str">
        <f aca="true">IF(F189="","",TODAY()-F189)</f>
        <v/>
      </c>
      <c r="J189" s="40" t="str">
        <f aca="false">IFERROR(INDEX('Azure Resource Map'!$H$2:$H$2001,MATCH($C189,'Azure Resource Map'!$A$2:$A$2001,0)),"")</f>
        <v/>
      </c>
      <c r="K189" s="40" t="str">
        <f aca="false">IFERROR(INDEX('Azure Resource Map'!$I$2:$I$2001,MATCH($C189,'Azure Resource Map'!$A$2:$A$2001,0)),"")</f>
        <v/>
      </c>
      <c r="L189" s="39" t="str">
        <f aca="false">IFERROR(INDEX('Azure Resource Map'!$J$2:$J$2001,MATCH($C189,'Azure Resource Map'!$A$2:$A$2001,0)),"")</f>
        <v/>
      </c>
      <c r="M189" s="40" t="str">
        <f aca="false">IFERROR(INDEX('Azure Resource Map'!$K$2:$K$2001,MATCH($C189,'Azure Resource Map'!$A$2:$A$2001,0)),"")</f>
        <v/>
      </c>
      <c r="N189" s="39" t="str">
        <f aca="false">IFERROR(INDEX('Azure Resource Map'!$L$2:$L$2001,MATCH($C189,'Azure Resource Map'!$A$2:$A$2001,0)),"")</f>
        <v/>
      </c>
      <c r="O189" s="39" t="str">
        <f aca="false">IFERROR(INDEX('Azure Resource Map'!$M$2:$M$2001,MATCH($C189,'Azure Resource Map'!$A$2:$A$2001,0)),"")</f>
        <v/>
      </c>
      <c r="P189" s="40" t="str">
        <f aca="false">IFERROR(INDEX('Azure Resource Map'!$D$2:$D$2001,MATCH($C189,'Azure Resource Map'!$A$2:$A$2001,0)),"")</f>
        <v/>
      </c>
      <c r="Q189" s="39" t="str">
        <f aca="false">IFERROR(INDEX('Azure Resource Map'!$E$2:$E$2001,MATCH($C189,'Azure Resource Map'!$A$2:$A$2001,0)),"")</f>
        <v/>
      </c>
      <c r="R189" s="39" t="str">
        <f aca="false">IFERROR(INDEX('Azure Resource Map'!$F$2:$F$2001,MATCH($C189,'Azure Resource Map'!$A$2:$A$2001,0)),"")</f>
        <v/>
      </c>
      <c r="S189" s="37"/>
      <c r="T189" s="39" t="str">
        <f aca="false">IF($C189="","",IF(ISNUMBER(MATCH($C189,'CA Exclusion Map'!$A$2:$A$2001,0)),"Yes","No"))</f>
        <v/>
      </c>
      <c r="U189" s="39" t="str">
        <f aca="false">IFERROR(INDEX('CA Exclusion Map'!$D$2:$D$2001,MATCH($C189,'CA Exclusion Map'!$A$2:$A$2001,0)),"")</f>
        <v/>
      </c>
      <c r="V189" s="40" t="str">
        <f aca="false">IFERROR(INDEX('CA Exclusion Map'!$E$2:$E$2001,MATCH($C189,'CA Exclusion Map'!$A$2:$A$2001,0)),"")</f>
        <v/>
      </c>
      <c r="W189" s="40" t="str">
        <f aca="false">IFERROR(INDEX('CA Exclusion Map'!$F$2:$F$2001,MATCH($C189,'CA Exclusion Map'!$A$2:$A$2001,0)),"")</f>
        <v/>
      </c>
      <c r="X189" s="36"/>
      <c r="Y189" s="37"/>
      <c r="Z189" s="38"/>
      <c r="AA189" s="38"/>
      <c r="AB189" s="39" t="str">
        <f aca="true">IF(T189="","",IF(T189&lt;&gt;"Yes","N/A",IF(AA189="","NO EXPIRY SET",IF(TODAY()&gt;AA189,"EXPIRED",IF(AA189-TODAY()&lt;=30,"Expiring Soon","Active")))))</f>
        <v/>
      </c>
      <c r="AC189" s="36"/>
      <c r="AD189" s="36"/>
      <c r="AE189" s="37"/>
      <c r="AF189" s="36"/>
      <c r="AG189" s="37"/>
      <c r="AH189" s="37"/>
      <c r="AI189" s="37"/>
      <c r="AJ189" s="37"/>
      <c r="AK189" s="38"/>
      <c r="AL189" s="37"/>
      <c r="AM189" s="37"/>
      <c r="AN189" s="41" t="str">
        <f aca="false">IF(AK189="","",AK189+90)</f>
        <v/>
      </c>
      <c r="AO189" s="39" t="str">
        <f aca="true">IF(C189="","",IF(AK189="","NOT REVIEWED",IF(TODAY()&gt;AN189,"OVERDUE",IF(AN189-TODAY()&lt;=14,"Due Soon","Current"))))</f>
        <v/>
      </c>
      <c r="AP189" s="36"/>
    </row>
    <row r="190" customFormat="false" ht="15" hidden="false" customHeight="false" outlineLevel="0" collapsed="false">
      <c r="A190" s="36"/>
      <c r="B190" s="36"/>
      <c r="C190" s="36"/>
      <c r="D190" s="37"/>
      <c r="E190" s="38"/>
      <c r="F190" s="38"/>
      <c r="G190" s="36"/>
      <c r="H190" s="37"/>
      <c r="I190" s="39" t="str">
        <f aca="true">IF(F190="","",TODAY()-F190)</f>
        <v/>
      </c>
      <c r="J190" s="40" t="str">
        <f aca="false">IFERROR(INDEX('Azure Resource Map'!$H$2:$H$2001,MATCH($C190,'Azure Resource Map'!$A$2:$A$2001,0)),"")</f>
        <v/>
      </c>
      <c r="K190" s="40" t="str">
        <f aca="false">IFERROR(INDEX('Azure Resource Map'!$I$2:$I$2001,MATCH($C190,'Azure Resource Map'!$A$2:$A$2001,0)),"")</f>
        <v/>
      </c>
      <c r="L190" s="39" t="str">
        <f aca="false">IFERROR(INDEX('Azure Resource Map'!$J$2:$J$2001,MATCH($C190,'Azure Resource Map'!$A$2:$A$2001,0)),"")</f>
        <v/>
      </c>
      <c r="M190" s="40" t="str">
        <f aca="false">IFERROR(INDEX('Azure Resource Map'!$K$2:$K$2001,MATCH($C190,'Azure Resource Map'!$A$2:$A$2001,0)),"")</f>
        <v/>
      </c>
      <c r="N190" s="39" t="str">
        <f aca="false">IFERROR(INDEX('Azure Resource Map'!$L$2:$L$2001,MATCH($C190,'Azure Resource Map'!$A$2:$A$2001,0)),"")</f>
        <v/>
      </c>
      <c r="O190" s="39" t="str">
        <f aca="false">IFERROR(INDEX('Azure Resource Map'!$M$2:$M$2001,MATCH($C190,'Azure Resource Map'!$A$2:$A$2001,0)),"")</f>
        <v/>
      </c>
      <c r="P190" s="40" t="str">
        <f aca="false">IFERROR(INDEX('Azure Resource Map'!$D$2:$D$2001,MATCH($C190,'Azure Resource Map'!$A$2:$A$2001,0)),"")</f>
        <v/>
      </c>
      <c r="Q190" s="39" t="str">
        <f aca="false">IFERROR(INDEX('Azure Resource Map'!$E$2:$E$2001,MATCH($C190,'Azure Resource Map'!$A$2:$A$2001,0)),"")</f>
        <v/>
      </c>
      <c r="R190" s="39" t="str">
        <f aca="false">IFERROR(INDEX('Azure Resource Map'!$F$2:$F$2001,MATCH($C190,'Azure Resource Map'!$A$2:$A$2001,0)),"")</f>
        <v/>
      </c>
      <c r="S190" s="37"/>
      <c r="T190" s="39" t="str">
        <f aca="false">IF($C190="","",IF(ISNUMBER(MATCH($C190,'CA Exclusion Map'!$A$2:$A$2001,0)),"Yes","No"))</f>
        <v/>
      </c>
      <c r="U190" s="39" t="str">
        <f aca="false">IFERROR(INDEX('CA Exclusion Map'!$D$2:$D$2001,MATCH($C190,'CA Exclusion Map'!$A$2:$A$2001,0)),"")</f>
        <v/>
      </c>
      <c r="V190" s="40" t="str">
        <f aca="false">IFERROR(INDEX('CA Exclusion Map'!$E$2:$E$2001,MATCH($C190,'CA Exclusion Map'!$A$2:$A$2001,0)),"")</f>
        <v/>
      </c>
      <c r="W190" s="40" t="str">
        <f aca="false">IFERROR(INDEX('CA Exclusion Map'!$F$2:$F$2001,MATCH($C190,'CA Exclusion Map'!$A$2:$A$2001,0)),"")</f>
        <v/>
      </c>
      <c r="X190" s="36"/>
      <c r="Y190" s="37"/>
      <c r="Z190" s="38"/>
      <c r="AA190" s="38"/>
      <c r="AB190" s="39" t="str">
        <f aca="true">IF(T190="","",IF(T190&lt;&gt;"Yes","N/A",IF(AA190="","NO EXPIRY SET",IF(TODAY()&gt;AA190,"EXPIRED",IF(AA190-TODAY()&lt;=30,"Expiring Soon","Active")))))</f>
        <v/>
      </c>
      <c r="AC190" s="36"/>
      <c r="AD190" s="36"/>
      <c r="AE190" s="37"/>
      <c r="AF190" s="36"/>
      <c r="AG190" s="37"/>
      <c r="AH190" s="37"/>
      <c r="AI190" s="37"/>
      <c r="AJ190" s="37"/>
      <c r="AK190" s="38"/>
      <c r="AL190" s="37"/>
      <c r="AM190" s="37"/>
      <c r="AN190" s="41" t="str">
        <f aca="false">IF(AK190="","",AK190+90)</f>
        <v/>
      </c>
      <c r="AO190" s="39" t="str">
        <f aca="true">IF(C190="","",IF(AK190="","NOT REVIEWED",IF(TODAY()&gt;AN190,"OVERDUE",IF(AN190-TODAY()&lt;=14,"Due Soon","Current"))))</f>
        <v/>
      </c>
      <c r="AP190" s="36"/>
    </row>
    <row r="191" customFormat="false" ht="15" hidden="false" customHeight="false" outlineLevel="0" collapsed="false">
      <c r="A191" s="36"/>
      <c r="B191" s="36"/>
      <c r="C191" s="36"/>
      <c r="D191" s="37"/>
      <c r="E191" s="38"/>
      <c r="F191" s="38"/>
      <c r="G191" s="36"/>
      <c r="H191" s="37"/>
      <c r="I191" s="39" t="str">
        <f aca="true">IF(F191="","",TODAY()-F191)</f>
        <v/>
      </c>
      <c r="J191" s="40" t="str">
        <f aca="false">IFERROR(INDEX('Azure Resource Map'!$H$2:$H$2001,MATCH($C191,'Azure Resource Map'!$A$2:$A$2001,0)),"")</f>
        <v/>
      </c>
      <c r="K191" s="40" t="str">
        <f aca="false">IFERROR(INDEX('Azure Resource Map'!$I$2:$I$2001,MATCH($C191,'Azure Resource Map'!$A$2:$A$2001,0)),"")</f>
        <v/>
      </c>
      <c r="L191" s="39" t="str">
        <f aca="false">IFERROR(INDEX('Azure Resource Map'!$J$2:$J$2001,MATCH($C191,'Azure Resource Map'!$A$2:$A$2001,0)),"")</f>
        <v/>
      </c>
      <c r="M191" s="40" t="str">
        <f aca="false">IFERROR(INDEX('Azure Resource Map'!$K$2:$K$2001,MATCH($C191,'Azure Resource Map'!$A$2:$A$2001,0)),"")</f>
        <v/>
      </c>
      <c r="N191" s="39" t="str">
        <f aca="false">IFERROR(INDEX('Azure Resource Map'!$L$2:$L$2001,MATCH($C191,'Azure Resource Map'!$A$2:$A$2001,0)),"")</f>
        <v/>
      </c>
      <c r="O191" s="39" t="str">
        <f aca="false">IFERROR(INDEX('Azure Resource Map'!$M$2:$M$2001,MATCH($C191,'Azure Resource Map'!$A$2:$A$2001,0)),"")</f>
        <v/>
      </c>
      <c r="P191" s="40" t="str">
        <f aca="false">IFERROR(INDEX('Azure Resource Map'!$D$2:$D$2001,MATCH($C191,'Azure Resource Map'!$A$2:$A$2001,0)),"")</f>
        <v/>
      </c>
      <c r="Q191" s="39" t="str">
        <f aca="false">IFERROR(INDEX('Azure Resource Map'!$E$2:$E$2001,MATCH($C191,'Azure Resource Map'!$A$2:$A$2001,0)),"")</f>
        <v/>
      </c>
      <c r="R191" s="39" t="str">
        <f aca="false">IFERROR(INDEX('Azure Resource Map'!$F$2:$F$2001,MATCH($C191,'Azure Resource Map'!$A$2:$A$2001,0)),"")</f>
        <v/>
      </c>
      <c r="S191" s="37"/>
      <c r="T191" s="39" t="str">
        <f aca="false">IF($C191="","",IF(ISNUMBER(MATCH($C191,'CA Exclusion Map'!$A$2:$A$2001,0)),"Yes","No"))</f>
        <v/>
      </c>
      <c r="U191" s="39" t="str">
        <f aca="false">IFERROR(INDEX('CA Exclusion Map'!$D$2:$D$2001,MATCH($C191,'CA Exclusion Map'!$A$2:$A$2001,0)),"")</f>
        <v/>
      </c>
      <c r="V191" s="40" t="str">
        <f aca="false">IFERROR(INDEX('CA Exclusion Map'!$E$2:$E$2001,MATCH($C191,'CA Exclusion Map'!$A$2:$A$2001,0)),"")</f>
        <v/>
      </c>
      <c r="W191" s="40" t="str">
        <f aca="false">IFERROR(INDEX('CA Exclusion Map'!$F$2:$F$2001,MATCH($C191,'CA Exclusion Map'!$A$2:$A$2001,0)),"")</f>
        <v/>
      </c>
      <c r="X191" s="36"/>
      <c r="Y191" s="37"/>
      <c r="Z191" s="38"/>
      <c r="AA191" s="38"/>
      <c r="AB191" s="39" t="str">
        <f aca="true">IF(T191="","",IF(T191&lt;&gt;"Yes","N/A",IF(AA191="","NO EXPIRY SET",IF(TODAY()&gt;AA191,"EXPIRED",IF(AA191-TODAY()&lt;=30,"Expiring Soon","Active")))))</f>
        <v/>
      </c>
      <c r="AC191" s="36"/>
      <c r="AD191" s="36"/>
      <c r="AE191" s="37"/>
      <c r="AF191" s="36"/>
      <c r="AG191" s="37"/>
      <c r="AH191" s="37"/>
      <c r="AI191" s="37"/>
      <c r="AJ191" s="37"/>
      <c r="AK191" s="38"/>
      <c r="AL191" s="37"/>
      <c r="AM191" s="37"/>
      <c r="AN191" s="41" t="str">
        <f aca="false">IF(AK191="","",AK191+90)</f>
        <v/>
      </c>
      <c r="AO191" s="39" t="str">
        <f aca="true">IF(C191="","",IF(AK191="","NOT REVIEWED",IF(TODAY()&gt;AN191,"OVERDUE",IF(AN191-TODAY()&lt;=14,"Due Soon","Current"))))</f>
        <v/>
      </c>
      <c r="AP191" s="36"/>
    </row>
    <row r="192" customFormat="false" ht="15" hidden="false" customHeight="false" outlineLevel="0" collapsed="false">
      <c r="A192" s="36"/>
      <c r="B192" s="36"/>
      <c r="C192" s="36"/>
      <c r="D192" s="37"/>
      <c r="E192" s="38"/>
      <c r="F192" s="38"/>
      <c r="G192" s="36"/>
      <c r="H192" s="37"/>
      <c r="I192" s="39" t="str">
        <f aca="true">IF(F192="","",TODAY()-F192)</f>
        <v/>
      </c>
      <c r="J192" s="40" t="str">
        <f aca="false">IFERROR(INDEX('Azure Resource Map'!$H$2:$H$2001,MATCH($C192,'Azure Resource Map'!$A$2:$A$2001,0)),"")</f>
        <v/>
      </c>
      <c r="K192" s="40" t="str">
        <f aca="false">IFERROR(INDEX('Azure Resource Map'!$I$2:$I$2001,MATCH($C192,'Azure Resource Map'!$A$2:$A$2001,0)),"")</f>
        <v/>
      </c>
      <c r="L192" s="39" t="str">
        <f aca="false">IFERROR(INDEX('Azure Resource Map'!$J$2:$J$2001,MATCH($C192,'Azure Resource Map'!$A$2:$A$2001,0)),"")</f>
        <v/>
      </c>
      <c r="M192" s="40" t="str">
        <f aca="false">IFERROR(INDEX('Azure Resource Map'!$K$2:$K$2001,MATCH($C192,'Azure Resource Map'!$A$2:$A$2001,0)),"")</f>
        <v/>
      </c>
      <c r="N192" s="39" t="str">
        <f aca="false">IFERROR(INDEX('Azure Resource Map'!$L$2:$L$2001,MATCH($C192,'Azure Resource Map'!$A$2:$A$2001,0)),"")</f>
        <v/>
      </c>
      <c r="O192" s="39" t="str">
        <f aca="false">IFERROR(INDEX('Azure Resource Map'!$M$2:$M$2001,MATCH($C192,'Azure Resource Map'!$A$2:$A$2001,0)),"")</f>
        <v/>
      </c>
      <c r="P192" s="40" t="str">
        <f aca="false">IFERROR(INDEX('Azure Resource Map'!$D$2:$D$2001,MATCH($C192,'Azure Resource Map'!$A$2:$A$2001,0)),"")</f>
        <v/>
      </c>
      <c r="Q192" s="39" t="str">
        <f aca="false">IFERROR(INDEX('Azure Resource Map'!$E$2:$E$2001,MATCH($C192,'Azure Resource Map'!$A$2:$A$2001,0)),"")</f>
        <v/>
      </c>
      <c r="R192" s="39" t="str">
        <f aca="false">IFERROR(INDEX('Azure Resource Map'!$F$2:$F$2001,MATCH($C192,'Azure Resource Map'!$A$2:$A$2001,0)),"")</f>
        <v/>
      </c>
      <c r="S192" s="37"/>
      <c r="T192" s="39" t="str">
        <f aca="false">IF($C192="","",IF(ISNUMBER(MATCH($C192,'CA Exclusion Map'!$A$2:$A$2001,0)),"Yes","No"))</f>
        <v/>
      </c>
      <c r="U192" s="39" t="str">
        <f aca="false">IFERROR(INDEX('CA Exclusion Map'!$D$2:$D$2001,MATCH($C192,'CA Exclusion Map'!$A$2:$A$2001,0)),"")</f>
        <v/>
      </c>
      <c r="V192" s="40" t="str">
        <f aca="false">IFERROR(INDEX('CA Exclusion Map'!$E$2:$E$2001,MATCH($C192,'CA Exclusion Map'!$A$2:$A$2001,0)),"")</f>
        <v/>
      </c>
      <c r="W192" s="40" t="str">
        <f aca="false">IFERROR(INDEX('CA Exclusion Map'!$F$2:$F$2001,MATCH($C192,'CA Exclusion Map'!$A$2:$A$2001,0)),"")</f>
        <v/>
      </c>
      <c r="X192" s="36"/>
      <c r="Y192" s="37"/>
      <c r="Z192" s="38"/>
      <c r="AA192" s="38"/>
      <c r="AB192" s="39" t="str">
        <f aca="true">IF(T192="","",IF(T192&lt;&gt;"Yes","N/A",IF(AA192="","NO EXPIRY SET",IF(TODAY()&gt;AA192,"EXPIRED",IF(AA192-TODAY()&lt;=30,"Expiring Soon","Active")))))</f>
        <v/>
      </c>
      <c r="AC192" s="36"/>
      <c r="AD192" s="36"/>
      <c r="AE192" s="37"/>
      <c r="AF192" s="36"/>
      <c r="AG192" s="37"/>
      <c r="AH192" s="37"/>
      <c r="AI192" s="37"/>
      <c r="AJ192" s="37"/>
      <c r="AK192" s="38"/>
      <c r="AL192" s="37"/>
      <c r="AM192" s="37"/>
      <c r="AN192" s="41" t="str">
        <f aca="false">IF(AK192="","",AK192+90)</f>
        <v/>
      </c>
      <c r="AO192" s="39" t="str">
        <f aca="true">IF(C192="","",IF(AK192="","NOT REVIEWED",IF(TODAY()&gt;AN192,"OVERDUE",IF(AN192-TODAY()&lt;=14,"Due Soon","Current"))))</f>
        <v/>
      </c>
      <c r="AP192" s="36"/>
    </row>
    <row r="193" customFormat="false" ht="15" hidden="false" customHeight="false" outlineLevel="0" collapsed="false">
      <c r="A193" s="36"/>
      <c r="B193" s="36"/>
      <c r="C193" s="36"/>
      <c r="D193" s="37"/>
      <c r="E193" s="38"/>
      <c r="F193" s="38"/>
      <c r="G193" s="36"/>
      <c r="H193" s="37"/>
      <c r="I193" s="39" t="str">
        <f aca="true">IF(F193="","",TODAY()-F193)</f>
        <v/>
      </c>
      <c r="J193" s="40" t="str">
        <f aca="false">IFERROR(INDEX('Azure Resource Map'!$H$2:$H$2001,MATCH($C193,'Azure Resource Map'!$A$2:$A$2001,0)),"")</f>
        <v/>
      </c>
      <c r="K193" s="40" t="str">
        <f aca="false">IFERROR(INDEX('Azure Resource Map'!$I$2:$I$2001,MATCH($C193,'Azure Resource Map'!$A$2:$A$2001,0)),"")</f>
        <v/>
      </c>
      <c r="L193" s="39" t="str">
        <f aca="false">IFERROR(INDEX('Azure Resource Map'!$J$2:$J$2001,MATCH($C193,'Azure Resource Map'!$A$2:$A$2001,0)),"")</f>
        <v/>
      </c>
      <c r="M193" s="40" t="str">
        <f aca="false">IFERROR(INDEX('Azure Resource Map'!$K$2:$K$2001,MATCH($C193,'Azure Resource Map'!$A$2:$A$2001,0)),"")</f>
        <v/>
      </c>
      <c r="N193" s="39" t="str">
        <f aca="false">IFERROR(INDEX('Azure Resource Map'!$L$2:$L$2001,MATCH($C193,'Azure Resource Map'!$A$2:$A$2001,0)),"")</f>
        <v/>
      </c>
      <c r="O193" s="39" t="str">
        <f aca="false">IFERROR(INDEX('Azure Resource Map'!$M$2:$M$2001,MATCH($C193,'Azure Resource Map'!$A$2:$A$2001,0)),"")</f>
        <v/>
      </c>
      <c r="P193" s="40" t="str">
        <f aca="false">IFERROR(INDEX('Azure Resource Map'!$D$2:$D$2001,MATCH($C193,'Azure Resource Map'!$A$2:$A$2001,0)),"")</f>
        <v/>
      </c>
      <c r="Q193" s="39" t="str">
        <f aca="false">IFERROR(INDEX('Azure Resource Map'!$E$2:$E$2001,MATCH($C193,'Azure Resource Map'!$A$2:$A$2001,0)),"")</f>
        <v/>
      </c>
      <c r="R193" s="39" t="str">
        <f aca="false">IFERROR(INDEX('Azure Resource Map'!$F$2:$F$2001,MATCH($C193,'Azure Resource Map'!$A$2:$A$2001,0)),"")</f>
        <v/>
      </c>
      <c r="S193" s="37"/>
      <c r="T193" s="39" t="str">
        <f aca="false">IF($C193="","",IF(ISNUMBER(MATCH($C193,'CA Exclusion Map'!$A$2:$A$2001,0)),"Yes","No"))</f>
        <v/>
      </c>
      <c r="U193" s="39" t="str">
        <f aca="false">IFERROR(INDEX('CA Exclusion Map'!$D$2:$D$2001,MATCH($C193,'CA Exclusion Map'!$A$2:$A$2001,0)),"")</f>
        <v/>
      </c>
      <c r="V193" s="40" t="str">
        <f aca="false">IFERROR(INDEX('CA Exclusion Map'!$E$2:$E$2001,MATCH($C193,'CA Exclusion Map'!$A$2:$A$2001,0)),"")</f>
        <v/>
      </c>
      <c r="W193" s="40" t="str">
        <f aca="false">IFERROR(INDEX('CA Exclusion Map'!$F$2:$F$2001,MATCH($C193,'CA Exclusion Map'!$A$2:$A$2001,0)),"")</f>
        <v/>
      </c>
      <c r="X193" s="36"/>
      <c r="Y193" s="37"/>
      <c r="Z193" s="38"/>
      <c r="AA193" s="38"/>
      <c r="AB193" s="39" t="str">
        <f aca="true">IF(T193="","",IF(T193&lt;&gt;"Yes","N/A",IF(AA193="","NO EXPIRY SET",IF(TODAY()&gt;AA193,"EXPIRED",IF(AA193-TODAY()&lt;=30,"Expiring Soon","Active")))))</f>
        <v/>
      </c>
      <c r="AC193" s="36"/>
      <c r="AD193" s="36"/>
      <c r="AE193" s="37"/>
      <c r="AF193" s="36"/>
      <c r="AG193" s="37"/>
      <c r="AH193" s="37"/>
      <c r="AI193" s="37"/>
      <c r="AJ193" s="37"/>
      <c r="AK193" s="38"/>
      <c r="AL193" s="37"/>
      <c r="AM193" s="37"/>
      <c r="AN193" s="41" t="str">
        <f aca="false">IF(AK193="","",AK193+90)</f>
        <v/>
      </c>
      <c r="AO193" s="39" t="str">
        <f aca="true">IF(C193="","",IF(AK193="","NOT REVIEWED",IF(TODAY()&gt;AN193,"OVERDUE",IF(AN193-TODAY()&lt;=14,"Due Soon","Current"))))</f>
        <v/>
      </c>
      <c r="AP193" s="36"/>
    </row>
    <row r="194" customFormat="false" ht="15" hidden="false" customHeight="false" outlineLevel="0" collapsed="false">
      <c r="A194" s="36"/>
      <c r="B194" s="36"/>
      <c r="C194" s="36"/>
      <c r="D194" s="37"/>
      <c r="E194" s="38"/>
      <c r="F194" s="38"/>
      <c r="G194" s="36"/>
      <c r="H194" s="37"/>
      <c r="I194" s="39" t="str">
        <f aca="true">IF(F194="","",TODAY()-F194)</f>
        <v/>
      </c>
      <c r="J194" s="40" t="str">
        <f aca="false">IFERROR(INDEX('Azure Resource Map'!$H$2:$H$2001,MATCH($C194,'Azure Resource Map'!$A$2:$A$2001,0)),"")</f>
        <v/>
      </c>
      <c r="K194" s="40" t="str">
        <f aca="false">IFERROR(INDEX('Azure Resource Map'!$I$2:$I$2001,MATCH($C194,'Azure Resource Map'!$A$2:$A$2001,0)),"")</f>
        <v/>
      </c>
      <c r="L194" s="39" t="str">
        <f aca="false">IFERROR(INDEX('Azure Resource Map'!$J$2:$J$2001,MATCH($C194,'Azure Resource Map'!$A$2:$A$2001,0)),"")</f>
        <v/>
      </c>
      <c r="M194" s="40" t="str">
        <f aca="false">IFERROR(INDEX('Azure Resource Map'!$K$2:$K$2001,MATCH($C194,'Azure Resource Map'!$A$2:$A$2001,0)),"")</f>
        <v/>
      </c>
      <c r="N194" s="39" t="str">
        <f aca="false">IFERROR(INDEX('Azure Resource Map'!$L$2:$L$2001,MATCH($C194,'Azure Resource Map'!$A$2:$A$2001,0)),"")</f>
        <v/>
      </c>
      <c r="O194" s="39" t="str">
        <f aca="false">IFERROR(INDEX('Azure Resource Map'!$M$2:$M$2001,MATCH($C194,'Azure Resource Map'!$A$2:$A$2001,0)),"")</f>
        <v/>
      </c>
      <c r="P194" s="40" t="str">
        <f aca="false">IFERROR(INDEX('Azure Resource Map'!$D$2:$D$2001,MATCH($C194,'Azure Resource Map'!$A$2:$A$2001,0)),"")</f>
        <v/>
      </c>
      <c r="Q194" s="39" t="str">
        <f aca="false">IFERROR(INDEX('Azure Resource Map'!$E$2:$E$2001,MATCH($C194,'Azure Resource Map'!$A$2:$A$2001,0)),"")</f>
        <v/>
      </c>
      <c r="R194" s="39" t="str">
        <f aca="false">IFERROR(INDEX('Azure Resource Map'!$F$2:$F$2001,MATCH($C194,'Azure Resource Map'!$A$2:$A$2001,0)),"")</f>
        <v/>
      </c>
      <c r="S194" s="37"/>
      <c r="T194" s="39" t="str">
        <f aca="false">IF($C194="","",IF(ISNUMBER(MATCH($C194,'CA Exclusion Map'!$A$2:$A$2001,0)),"Yes","No"))</f>
        <v/>
      </c>
      <c r="U194" s="39" t="str">
        <f aca="false">IFERROR(INDEX('CA Exclusion Map'!$D$2:$D$2001,MATCH($C194,'CA Exclusion Map'!$A$2:$A$2001,0)),"")</f>
        <v/>
      </c>
      <c r="V194" s="40" t="str">
        <f aca="false">IFERROR(INDEX('CA Exclusion Map'!$E$2:$E$2001,MATCH($C194,'CA Exclusion Map'!$A$2:$A$2001,0)),"")</f>
        <v/>
      </c>
      <c r="W194" s="40" t="str">
        <f aca="false">IFERROR(INDEX('CA Exclusion Map'!$F$2:$F$2001,MATCH($C194,'CA Exclusion Map'!$A$2:$A$2001,0)),"")</f>
        <v/>
      </c>
      <c r="X194" s="36"/>
      <c r="Y194" s="37"/>
      <c r="Z194" s="38"/>
      <c r="AA194" s="38"/>
      <c r="AB194" s="39" t="str">
        <f aca="true">IF(T194="","",IF(T194&lt;&gt;"Yes","N/A",IF(AA194="","NO EXPIRY SET",IF(TODAY()&gt;AA194,"EXPIRED",IF(AA194-TODAY()&lt;=30,"Expiring Soon","Active")))))</f>
        <v/>
      </c>
      <c r="AC194" s="36"/>
      <c r="AD194" s="36"/>
      <c r="AE194" s="37"/>
      <c r="AF194" s="36"/>
      <c r="AG194" s="37"/>
      <c r="AH194" s="37"/>
      <c r="AI194" s="37"/>
      <c r="AJ194" s="37"/>
      <c r="AK194" s="38"/>
      <c r="AL194" s="37"/>
      <c r="AM194" s="37"/>
      <c r="AN194" s="41" t="str">
        <f aca="false">IF(AK194="","",AK194+90)</f>
        <v/>
      </c>
      <c r="AO194" s="39" t="str">
        <f aca="true">IF(C194="","",IF(AK194="","NOT REVIEWED",IF(TODAY()&gt;AN194,"OVERDUE",IF(AN194-TODAY()&lt;=14,"Due Soon","Current"))))</f>
        <v/>
      </c>
      <c r="AP194" s="36"/>
    </row>
    <row r="195" customFormat="false" ht="15" hidden="false" customHeight="false" outlineLevel="0" collapsed="false">
      <c r="A195" s="36"/>
      <c r="B195" s="36"/>
      <c r="C195" s="36"/>
      <c r="D195" s="37"/>
      <c r="E195" s="38"/>
      <c r="F195" s="38"/>
      <c r="G195" s="36"/>
      <c r="H195" s="37"/>
      <c r="I195" s="39" t="str">
        <f aca="true">IF(F195="","",TODAY()-F195)</f>
        <v/>
      </c>
      <c r="J195" s="40" t="str">
        <f aca="false">IFERROR(INDEX('Azure Resource Map'!$H$2:$H$2001,MATCH($C195,'Azure Resource Map'!$A$2:$A$2001,0)),"")</f>
        <v/>
      </c>
      <c r="K195" s="40" t="str">
        <f aca="false">IFERROR(INDEX('Azure Resource Map'!$I$2:$I$2001,MATCH($C195,'Azure Resource Map'!$A$2:$A$2001,0)),"")</f>
        <v/>
      </c>
      <c r="L195" s="39" t="str">
        <f aca="false">IFERROR(INDEX('Azure Resource Map'!$J$2:$J$2001,MATCH($C195,'Azure Resource Map'!$A$2:$A$2001,0)),"")</f>
        <v/>
      </c>
      <c r="M195" s="40" t="str">
        <f aca="false">IFERROR(INDEX('Azure Resource Map'!$K$2:$K$2001,MATCH($C195,'Azure Resource Map'!$A$2:$A$2001,0)),"")</f>
        <v/>
      </c>
      <c r="N195" s="39" t="str">
        <f aca="false">IFERROR(INDEX('Azure Resource Map'!$L$2:$L$2001,MATCH($C195,'Azure Resource Map'!$A$2:$A$2001,0)),"")</f>
        <v/>
      </c>
      <c r="O195" s="39" t="str">
        <f aca="false">IFERROR(INDEX('Azure Resource Map'!$M$2:$M$2001,MATCH($C195,'Azure Resource Map'!$A$2:$A$2001,0)),"")</f>
        <v/>
      </c>
      <c r="P195" s="40" t="str">
        <f aca="false">IFERROR(INDEX('Azure Resource Map'!$D$2:$D$2001,MATCH($C195,'Azure Resource Map'!$A$2:$A$2001,0)),"")</f>
        <v/>
      </c>
      <c r="Q195" s="39" t="str">
        <f aca="false">IFERROR(INDEX('Azure Resource Map'!$E$2:$E$2001,MATCH($C195,'Azure Resource Map'!$A$2:$A$2001,0)),"")</f>
        <v/>
      </c>
      <c r="R195" s="39" t="str">
        <f aca="false">IFERROR(INDEX('Azure Resource Map'!$F$2:$F$2001,MATCH($C195,'Azure Resource Map'!$A$2:$A$2001,0)),"")</f>
        <v/>
      </c>
      <c r="S195" s="37"/>
      <c r="T195" s="39" t="str">
        <f aca="false">IF($C195="","",IF(ISNUMBER(MATCH($C195,'CA Exclusion Map'!$A$2:$A$2001,0)),"Yes","No"))</f>
        <v/>
      </c>
      <c r="U195" s="39" t="str">
        <f aca="false">IFERROR(INDEX('CA Exclusion Map'!$D$2:$D$2001,MATCH($C195,'CA Exclusion Map'!$A$2:$A$2001,0)),"")</f>
        <v/>
      </c>
      <c r="V195" s="40" t="str">
        <f aca="false">IFERROR(INDEX('CA Exclusion Map'!$E$2:$E$2001,MATCH($C195,'CA Exclusion Map'!$A$2:$A$2001,0)),"")</f>
        <v/>
      </c>
      <c r="W195" s="40" t="str">
        <f aca="false">IFERROR(INDEX('CA Exclusion Map'!$F$2:$F$2001,MATCH($C195,'CA Exclusion Map'!$A$2:$A$2001,0)),"")</f>
        <v/>
      </c>
      <c r="X195" s="36"/>
      <c r="Y195" s="37"/>
      <c r="Z195" s="38"/>
      <c r="AA195" s="38"/>
      <c r="AB195" s="39" t="str">
        <f aca="true">IF(T195="","",IF(T195&lt;&gt;"Yes","N/A",IF(AA195="","NO EXPIRY SET",IF(TODAY()&gt;AA195,"EXPIRED",IF(AA195-TODAY()&lt;=30,"Expiring Soon","Active")))))</f>
        <v/>
      </c>
      <c r="AC195" s="36"/>
      <c r="AD195" s="36"/>
      <c r="AE195" s="37"/>
      <c r="AF195" s="36"/>
      <c r="AG195" s="37"/>
      <c r="AH195" s="37"/>
      <c r="AI195" s="37"/>
      <c r="AJ195" s="37"/>
      <c r="AK195" s="38"/>
      <c r="AL195" s="37"/>
      <c r="AM195" s="37"/>
      <c r="AN195" s="41" t="str">
        <f aca="false">IF(AK195="","",AK195+90)</f>
        <v/>
      </c>
      <c r="AO195" s="39" t="str">
        <f aca="true">IF(C195="","",IF(AK195="","NOT REVIEWED",IF(TODAY()&gt;AN195,"OVERDUE",IF(AN195-TODAY()&lt;=14,"Due Soon","Current"))))</f>
        <v/>
      </c>
      <c r="AP195" s="36"/>
    </row>
    <row r="196" customFormat="false" ht="15" hidden="false" customHeight="false" outlineLevel="0" collapsed="false">
      <c r="A196" s="36"/>
      <c r="B196" s="36"/>
      <c r="C196" s="36"/>
      <c r="D196" s="37"/>
      <c r="E196" s="38"/>
      <c r="F196" s="38"/>
      <c r="G196" s="36"/>
      <c r="H196" s="37"/>
      <c r="I196" s="39" t="str">
        <f aca="true">IF(F196="","",TODAY()-F196)</f>
        <v/>
      </c>
      <c r="J196" s="40" t="str">
        <f aca="false">IFERROR(INDEX('Azure Resource Map'!$H$2:$H$2001,MATCH($C196,'Azure Resource Map'!$A$2:$A$2001,0)),"")</f>
        <v/>
      </c>
      <c r="K196" s="40" t="str">
        <f aca="false">IFERROR(INDEX('Azure Resource Map'!$I$2:$I$2001,MATCH($C196,'Azure Resource Map'!$A$2:$A$2001,0)),"")</f>
        <v/>
      </c>
      <c r="L196" s="39" t="str">
        <f aca="false">IFERROR(INDEX('Azure Resource Map'!$J$2:$J$2001,MATCH($C196,'Azure Resource Map'!$A$2:$A$2001,0)),"")</f>
        <v/>
      </c>
      <c r="M196" s="40" t="str">
        <f aca="false">IFERROR(INDEX('Azure Resource Map'!$K$2:$K$2001,MATCH($C196,'Azure Resource Map'!$A$2:$A$2001,0)),"")</f>
        <v/>
      </c>
      <c r="N196" s="39" t="str">
        <f aca="false">IFERROR(INDEX('Azure Resource Map'!$L$2:$L$2001,MATCH($C196,'Azure Resource Map'!$A$2:$A$2001,0)),"")</f>
        <v/>
      </c>
      <c r="O196" s="39" t="str">
        <f aca="false">IFERROR(INDEX('Azure Resource Map'!$M$2:$M$2001,MATCH($C196,'Azure Resource Map'!$A$2:$A$2001,0)),"")</f>
        <v/>
      </c>
      <c r="P196" s="40" t="str">
        <f aca="false">IFERROR(INDEX('Azure Resource Map'!$D$2:$D$2001,MATCH($C196,'Azure Resource Map'!$A$2:$A$2001,0)),"")</f>
        <v/>
      </c>
      <c r="Q196" s="39" t="str">
        <f aca="false">IFERROR(INDEX('Azure Resource Map'!$E$2:$E$2001,MATCH($C196,'Azure Resource Map'!$A$2:$A$2001,0)),"")</f>
        <v/>
      </c>
      <c r="R196" s="39" t="str">
        <f aca="false">IFERROR(INDEX('Azure Resource Map'!$F$2:$F$2001,MATCH($C196,'Azure Resource Map'!$A$2:$A$2001,0)),"")</f>
        <v/>
      </c>
      <c r="S196" s="37"/>
      <c r="T196" s="39" t="str">
        <f aca="false">IF($C196="","",IF(ISNUMBER(MATCH($C196,'CA Exclusion Map'!$A$2:$A$2001,0)),"Yes","No"))</f>
        <v/>
      </c>
      <c r="U196" s="39" t="str">
        <f aca="false">IFERROR(INDEX('CA Exclusion Map'!$D$2:$D$2001,MATCH($C196,'CA Exclusion Map'!$A$2:$A$2001,0)),"")</f>
        <v/>
      </c>
      <c r="V196" s="40" t="str">
        <f aca="false">IFERROR(INDEX('CA Exclusion Map'!$E$2:$E$2001,MATCH($C196,'CA Exclusion Map'!$A$2:$A$2001,0)),"")</f>
        <v/>
      </c>
      <c r="W196" s="40" t="str">
        <f aca="false">IFERROR(INDEX('CA Exclusion Map'!$F$2:$F$2001,MATCH($C196,'CA Exclusion Map'!$A$2:$A$2001,0)),"")</f>
        <v/>
      </c>
      <c r="X196" s="36"/>
      <c r="Y196" s="37"/>
      <c r="Z196" s="38"/>
      <c r="AA196" s="38"/>
      <c r="AB196" s="39" t="str">
        <f aca="true">IF(T196="","",IF(T196&lt;&gt;"Yes","N/A",IF(AA196="","NO EXPIRY SET",IF(TODAY()&gt;AA196,"EXPIRED",IF(AA196-TODAY()&lt;=30,"Expiring Soon","Active")))))</f>
        <v/>
      </c>
      <c r="AC196" s="36"/>
      <c r="AD196" s="36"/>
      <c r="AE196" s="37"/>
      <c r="AF196" s="36"/>
      <c r="AG196" s="37"/>
      <c r="AH196" s="37"/>
      <c r="AI196" s="37"/>
      <c r="AJ196" s="37"/>
      <c r="AK196" s="38"/>
      <c r="AL196" s="37"/>
      <c r="AM196" s="37"/>
      <c r="AN196" s="41" t="str">
        <f aca="false">IF(AK196="","",AK196+90)</f>
        <v/>
      </c>
      <c r="AO196" s="39" t="str">
        <f aca="true">IF(C196="","",IF(AK196="","NOT REVIEWED",IF(TODAY()&gt;AN196,"OVERDUE",IF(AN196-TODAY()&lt;=14,"Due Soon","Current"))))</f>
        <v/>
      </c>
      <c r="AP196" s="36"/>
    </row>
    <row r="197" customFormat="false" ht="15" hidden="false" customHeight="false" outlineLevel="0" collapsed="false">
      <c r="A197" s="36"/>
      <c r="B197" s="36"/>
      <c r="C197" s="36"/>
      <c r="D197" s="37"/>
      <c r="E197" s="38"/>
      <c r="F197" s="38"/>
      <c r="G197" s="36"/>
      <c r="H197" s="37"/>
      <c r="I197" s="39" t="str">
        <f aca="true">IF(F197="","",TODAY()-F197)</f>
        <v/>
      </c>
      <c r="J197" s="40" t="str">
        <f aca="false">IFERROR(INDEX('Azure Resource Map'!$H$2:$H$2001,MATCH($C197,'Azure Resource Map'!$A$2:$A$2001,0)),"")</f>
        <v/>
      </c>
      <c r="K197" s="40" t="str">
        <f aca="false">IFERROR(INDEX('Azure Resource Map'!$I$2:$I$2001,MATCH($C197,'Azure Resource Map'!$A$2:$A$2001,0)),"")</f>
        <v/>
      </c>
      <c r="L197" s="39" t="str">
        <f aca="false">IFERROR(INDEX('Azure Resource Map'!$J$2:$J$2001,MATCH($C197,'Azure Resource Map'!$A$2:$A$2001,0)),"")</f>
        <v/>
      </c>
      <c r="M197" s="40" t="str">
        <f aca="false">IFERROR(INDEX('Azure Resource Map'!$K$2:$K$2001,MATCH($C197,'Azure Resource Map'!$A$2:$A$2001,0)),"")</f>
        <v/>
      </c>
      <c r="N197" s="39" t="str">
        <f aca="false">IFERROR(INDEX('Azure Resource Map'!$L$2:$L$2001,MATCH($C197,'Azure Resource Map'!$A$2:$A$2001,0)),"")</f>
        <v/>
      </c>
      <c r="O197" s="39" t="str">
        <f aca="false">IFERROR(INDEX('Azure Resource Map'!$M$2:$M$2001,MATCH($C197,'Azure Resource Map'!$A$2:$A$2001,0)),"")</f>
        <v/>
      </c>
      <c r="P197" s="40" t="str">
        <f aca="false">IFERROR(INDEX('Azure Resource Map'!$D$2:$D$2001,MATCH($C197,'Azure Resource Map'!$A$2:$A$2001,0)),"")</f>
        <v/>
      </c>
      <c r="Q197" s="39" t="str">
        <f aca="false">IFERROR(INDEX('Azure Resource Map'!$E$2:$E$2001,MATCH($C197,'Azure Resource Map'!$A$2:$A$2001,0)),"")</f>
        <v/>
      </c>
      <c r="R197" s="39" t="str">
        <f aca="false">IFERROR(INDEX('Azure Resource Map'!$F$2:$F$2001,MATCH($C197,'Azure Resource Map'!$A$2:$A$2001,0)),"")</f>
        <v/>
      </c>
      <c r="S197" s="37"/>
      <c r="T197" s="39" t="str">
        <f aca="false">IF($C197="","",IF(ISNUMBER(MATCH($C197,'CA Exclusion Map'!$A$2:$A$2001,0)),"Yes","No"))</f>
        <v/>
      </c>
      <c r="U197" s="39" t="str">
        <f aca="false">IFERROR(INDEX('CA Exclusion Map'!$D$2:$D$2001,MATCH($C197,'CA Exclusion Map'!$A$2:$A$2001,0)),"")</f>
        <v/>
      </c>
      <c r="V197" s="40" t="str">
        <f aca="false">IFERROR(INDEX('CA Exclusion Map'!$E$2:$E$2001,MATCH($C197,'CA Exclusion Map'!$A$2:$A$2001,0)),"")</f>
        <v/>
      </c>
      <c r="W197" s="40" t="str">
        <f aca="false">IFERROR(INDEX('CA Exclusion Map'!$F$2:$F$2001,MATCH($C197,'CA Exclusion Map'!$A$2:$A$2001,0)),"")</f>
        <v/>
      </c>
      <c r="X197" s="36"/>
      <c r="Y197" s="37"/>
      <c r="Z197" s="38"/>
      <c r="AA197" s="38"/>
      <c r="AB197" s="39" t="str">
        <f aca="true">IF(T197="","",IF(T197&lt;&gt;"Yes","N/A",IF(AA197="","NO EXPIRY SET",IF(TODAY()&gt;AA197,"EXPIRED",IF(AA197-TODAY()&lt;=30,"Expiring Soon","Active")))))</f>
        <v/>
      </c>
      <c r="AC197" s="36"/>
      <c r="AD197" s="36"/>
      <c r="AE197" s="37"/>
      <c r="AF197" s="36"/>
      <c r="AG197" s="37"/>
      <c r="AH197" s="37"/>
      <c r="AI197" s="37"/>
      <c r="AJ197" s="37"/>
      <c r="AK197" s="38"/>
      <c r="AL197" s="37"/>
      <c r="AM197" s="37"/>
      <c r="AN197" s="41" t="str">
        <f aca="false">IF(AK197="","",AK197+90)</f>
        <v/>
      </c>
      <c r="AO197" s="39" t="str">
        <f aca="true">IF(C197="","",IF(AK197="","NOT REVIEWED",IF(TODAY()&gt;AN197,"OVERDUE",IF(AN197-TODAY()&lt;=14,"Due Soon","Current"))))</f>
        <v/>
      </c>
      <c r="AP197" s="36"/>
    </row>
    <row r="198" customFormat="false" ht="15" hidden="false" customHeight="false" outlineLevel="0" collapsed="false">
      <c r="A198" s="36"/>
      <c r="B198" s="36"/>
      <c r="C198" s="36"/>
      <c r="D198" s="37"/>
      <c r="E198" s="38"/>
      <c r="F198" s="38"/>
      <c r="G198" s="36"/>
      <c r="H198" s="37"/>
      <c r="I198" s="39" t="str">
        <f aca="true">IF(F198="","",TODAY()-F198)</f>
        <v/>
      </c>
      <c r="J198" s="40" t="str">
        <f aca="false">IFERROR(INDEX('Azure Resource Map'!$H$2:$H$2001,MATCH($C198,'Azure Resource Map'!$A$2:$A$2001,0)),"")</f>
        <v/>
      </c>
      <c r="K198" s="40" t="str">
        <f aca="false">IFERROR(INDEX('Azure Resource Map'!$I$2:$I$2001,MATCH($C198,'Azure Resource Map'!$A$2:$A$2001,0)),"")</f>
        <v/>
      </c>
      <c r="L198" s="39" t="str">
        <f aca="false">IFERROR(INDEX('Azure Resource Map'!$J$2:$J$2001,MATCH($C198,'Azure Resource Map'!$A$2:$A$2001,0)),"")</f>
        <v/>
      </c>
      <c r="M198" s="40" t="str">
        <f aca="false">IFERROR(INDEX('Azure Resource Map'!$K$2:$K$2001,MATCH($C198,'Azure Resource Map'!$A$2:$A$2001,0)),"")</f>
        <v/>
      </c>
      <c r="N198" s="39" t="str">
        <f aca="false">IFERROR(INDEX('Azure Resource Map'!$L$2:$L$2001,MATCH($C198,'Azure Resource Map'!$A$2:$A$2001,0)),"")</f>
        <v/>
      </c>
      <c r="O198" s="39" t="str">
        <f aca="false">IFERROR(INDEX('Azure Resource Map'!$M$2:$M$2001,MATCH($C198,'Azure Resource Map'!$A$2:$A$2001,0)),"")</f>
        <v/>
      </c>
      <c r="P198" s="40" t="str">
        <f aca="false">IFERROR(INDEX('Azure Resource Map'!$D$2:$D$2001,MATCH($C198,'Azure Resource Map'!$A$2:$A$2001,0)),"")</f>
        <v/>
      </c>
      <c r="Q198" s="39" t="str">
        <f aca="false">IFERROR(INDEX('Azure Resource Map'!$E$2:$E$2001,MATCH($C198,'Azure Resource Map'!$A$2:$A$2001,0)),"")</f>
        <v/>
      </c>
      <c r="R198" s="39" t="str">
        <f aca="false">IFERROR(INDEX('Azure Resource Map'!$F$2:$F$2001,MATCH($C198,'Azure Resource Map'!$A$2:$A$2001,0)),"")</f>
        <v/>
      </c>
      <c r="S198" s="37"/>
      <c r="T198" s="39" t="str">
        <f aca="false">IF($C198="","",IF(ISNUMBER(MATCH($C198,'CA Exclusion Map'!$A$2:$A$2001,0)),"Yes","No"))</f>
        <v/>
      </c>
      <c r="U198" s="39" t="str">
        <f aca="false">IFERROR(INDEX('CA Exclusion Map'!$D$2:$D$2001,MATCH($C198,'CA Exclusion Map'!$A$2:$A$2001,0)),"")</f>
        <v/>
      </c>
      <c r="V198" s="40" t="str">
        <f aca="false">IFERROR(INDEX('CA Exclusion Map'!$E$2:$E$2001,MATCH($C198,'CA Exclusion Map'!$A$2:$A$2001,0)),"")</f>
        <v/>
      </c>
      <c r="W198" s="40" t="str">
        <f aca="false">IFERROR(INDEX('CA Exclusion Map'!$F$2:$F$2001,MATCH($C198,'CA Exclusion Map'!$A$2:$A$2001,0)),"")</f>
        <v/>
      </c>
      <c r="X198" s="36"/>
      <c r="Y198" s="37"/>
      <c r="Z198" s="38"/>
      <c r="AA198" s="38"/>
      <c r="AB198" s="39" t="str">
        <f aca="true">IF(T198="","",IF(T198&lt;&gt;"Yes","N/A",IF(AA198="","NO EXPIRY SET",IF(TODAY()&gt;AA198,"EXPIRED",IF(AA198-TODAY()&lt;=30,"Expiring Soon","Active")))))</f>
        <v/>
      </c>
      <c r="AC198" s="36"/>
      <c r="AD198" s="36"/>
      <c r="AE198" s="37"/>
      <c r="AF198" s="36"/>
      <c r="AG198" s="37"/>
      <c r="AH198" s="37"/>
      <c r="AI198" s="37"/>
      <c r="AJ198" s="37"/>
      <c r="AK198" s="38"/>
      <c r="AL198" s="37"/>
      <c r="AM198" s="37"/>
      <c r="AN198" s="41" t="str">
        <f aca="false">IF(AK198="","",AK198+90)</f>
        <v/>
      </c>
      <c r="AO198" s="39" t="str">
        <f aca="true">IF(C198="","",IF(AK198="","NOT REVIEWED",IF(TODAY()&gt;AN198,"OVERDUE",IF(AN198-TODAY()&lt;=14,"Due Soon","Current"))))</f>
        <v/>
      </c>
      <c r="AP198" s="36"/>
    </row>
    <row r="199" customFormat="false" ht="15" hidden="false" customHeight="false" outlineLevel="0" collapsed="false">
      <c r="A199" s="36"/>
      <c r="B199" s="36"/>
      <c r="C199" s="36"/>
      <c r="D199" s="37"/>
      <c r="E199" s="38"/>
      <c r="F199" s="38"/>
      <c r="G199" s="36"/>
      <c r="H199" s="37"/>
      <c r="I199" s="39" t="str">
        <f aca="true">IF(F199="","",TODAY()-F199)</f>
        <v/>
      </c>
      <c r="J199" s="40" t="str">
        <f aca="false">IFERROR(INDEX('Azure Resource Map'!$H$2:$H$2001,MATCH($C199,'Azure Resource Map'!$A$2:$A$2001,0)),"")</f>
        <v/>
      </c>
      <c r="K199" s="40" t="str">
        <f aca="false">IFERROR(INDEX('Azure Resource Map'!$I$2:$I$2001,MATCH($C199,'Azure Resource Map'!$A$2:$A$2001,0)),"")</f>
        <v/>
      </c>
      <c r="L199" s="39" t="str">
        <f aca="false">IFERROR(INDEX('Azure Resource Map'!$J$2:$J$2001,MATCH($C199,'Azure Resource Map'!$A$2:$A$2001,0)),"")</f>
        <v/>
      </c>
      <c r="M199" s="40" t="str">
        <f aca="false">IFERROR(INDEX('Azure Resource Map'!$K$2:$K$2001,MATCH($C199,'Azure Resource Map'!$A$2:$A$2001,0)),"")</f>
        <v/>
      </c>
      <c r="N199" s="39" t="str">
        <f aca="false">IFERROR(INDEX('Azure Resource Map'!$L$2:$L$2001,MATCH($C199,'Azure Resource Map'!$A$2:$A$2001,0)),"")</f>
        <v/>
      </c>
      <c r="O199" s="39" t="str">
        <f aca="false">IFERROR(INDEX('Azure Resource Map'!$M$2:$M$2001,MATCH($C199,'Azure Resource Map'!$A$2:$A$2001,0)),"")</f>
        <v/>
      </c>
      <c r="P199" s="40" t="str">
        <f aca="false">IFERROR(INDEX('Azure Resource Map'!$D$2:$D$2001,MATCH($C199,'Azure Resource Map'!$A$2:$A$2001,0)),"")</f>
        <v/>
      </c>
      <c r="Q199" s="39" t="str">
        <f aca="false">IFERROR(INDEX('Azure Resource Map'!$E$2:$E$2001,MATCH($C199,'Azure Resource Map'!$A$2:$A$2001,0)),"")</f>
        <v/>
      </c>
      <c r="R199" s="39" t="str">
        <f aca="false">IFERROR(INDEX('Azure Resource Map'!$F$2:$F$2001,MATCH($C199,'Azure Resource Map'!$A$2:$A$2001,0)),"")</f>
        <v/>
      </c>
      <c r="S199" s="37"/>
      <c r="T199" s="39" t="str">
        <f aca="false">IF($C199="","",IF(ISNUMBER(MATCH($C199,'CA Exclusion Map'!$A$2:$A$2001,0)),"Yes","No"))</f>
        <v/>
      </c>
      <c r="U199" s="39" t="str">
        <f aca="false">IFERROR(INDEX('CA Exclusion Map'!$D$2:$D$2001,MATCH($C199,'CA Exclusion Map'!$A$2:$A$2001,0)),"")</f>
        <v/>
      </c>
      <c r="V199" s="40" t="str">
        <f aca="false">IFERROR(INDEX('CA Exclusion Map'!$E$2:$E$2001,MATCH($C199,'CA Exclusion Map'!$A$2:$A$2001,0)),"")</f>
        <v/>
      </c>
      <c r="W199" s="40" t="str">
        <f aca="false">IFERROR(INDEX('CA Exclusion Map'!$F$2:$F$2001,MATCH($C199,'CA Exclusion Map'!$A$2:$A$2001,0)),"")</f>
        <v/>
      </c>
      <c r="X199" s="36"/>
      <c r="Y199" s="37"/>
      <c r="Z199" s="38"/>
      <c r="AA199" s="38"/>
      <c r="AB199" s="39" t="str">
        <f aca="true">IF(T199="","",IF(T199&lt;&gt;"Yes","N/A",IF(AA199="","NO EXPIRY SET",IF(TODAY()&gt;AA199,"EXPIRED",IF(AA199-TODAY()&lt;=30,"Expiring Soon","Active")))))</f>
        <v/>
      </c>
      <c r="AC199" s="36"/>
      <c r="AD199" s="36"/>
      <c r="AE199" s="37"/>
      <c r="AF199" s="36"/>
      <c r="AG199" s="37"/>
      <c r="AH199" s="37"/>
      <c r="AI199" s="37"/>
      <c r="AJ199" s="37"/>
      <c r="AK199" s="38"/>
      <c r="AL199" s="37"/>
      <c r="AM199" s="37"/>
      <c r="AN199" s="41" t="str">
        <f aca="false">IF(AK199="","",AK199+90)</f>
        <v/>
      </c>
      <c r="AO199" s="39" t="str">
        <f aca="true">IF(C199="","",IF(AK199="","NOT REVIEWED",IF(TODAY()&gt;AN199,"OVERDUE",IF(AN199-TODAY()&lt;=14,"Due Soon","Current"))))</f>
        <v/>
      </c>
      <c r="AP199" s="36"/>
    </row>
    <row r="200" customFormat="false" ht="15" hidden="false" customHeight="false" outlineLevel="0" collapsed="false">
      <c r="A200" s="36"/>
      <c r="B200" s="36"/>
      <c r="C200" s="36"/>
      <c r="D200" s="37"/>
      <c r="E200" s="38"/>
      <c r="F200" s="38"/>
      <c r="G200" s="36"/>
      <c r="H200" s="37"/>
      <c r="I200" s="39" t="str">
        <f aca="true">IF(F200="","",TODAY()-F200)</f>
        <v/>
      </c>
      <c r="J200" s="40" t="str">
        <f aca="false">IFERROR(INDEX('Azure Resource Map'!$H$2:$H$2001,MATCH($C200,'Azure Resource Map'!$A$2:$A$2001,0)),"")</f>
        <v/>
      </c>
      <c r="K200" s="40" t="str">
        <f aca="false">IFERROR(INDEX('Azure Resource Map'!$I$2:$I$2001,MATCH($C200,'Azure Resource Map'!$A$2:$A$2001,0)),"")</f>
        <v/>
      </c>
      <c r="L200" s="39" t="str">
        <f aca="false">IFERROR(INDEX('Azure Resource Map'!$J$2:$J$2001,MATCH($C200,'Azure Resource Map'!$A$2:$A$2001,0)),"")</f>
        <v/>
      </c>
      <c r="M200" s="40" t="str">
        <f aca="false">IFERROR(INDEX('Azure Resource Map'!$K$2:$K$2001,MATCH($C200,'Azure Resource Map'!$A$2:$A$2001,0)),"")</f>
        <v/>
      </c>
      <c r="N200" s="39" t="str">
        <f aca="false">IFERROR(INDEX('Azure Resource Map'!$L$2:$L$2001,MATCH($C200,'Azure Resource Map'!$A$2:$A$2001,0)),"")</f>
        <v/>
      </c>
      <c r="O200" s="39" t="str">
        <f aca="false">IFERROR(INDEX('Azure Resource Map'!$M$2:$M$2001,MATCH($C200,'Azure Resource Map'!$A$2:$A$2001,0)),"")</f>
        <v/>
      </c>
      <c r="P200" s="40" t="str">
        <f aca="false">IFERROR(INDEX('Azure Resource Map'!$D$2:$D$2001,MATCH($C200,'Azure Resource Map'!$A$2:$A$2001,0)),"")</f>
        <v/>
      </c>
      <c r="Q200" s="39" t="str">
        <f aca="false">IFERROR(INDEX('Azure Resource Map'!$E$2:$E$2001,MATCH($C200,'Azure Resource Map'!$A$2:$A$2001,0)),"")</f>
        <v/>
      </c>
      <c r="R200" s="39" t="str">
        <f aca="false">IFERROR(INDEX('Azure Resource Map'!$F$2:$F$2001,MATCH($C200,'Azure Resource Map'!$A$2:$A$2001,0)),"")</f>
        <v/>
      </c>
      <c r="S200" s="37"/>
      <c r="T200" s="39" t="str">
        <f aca="false">IF($C200="","",IF(ISNUMBER(MATCH($C200,'CA Exclusion Map'!$A$2:$A$2001,0)),"Yes","No"))</f>
        <v/>
      </c>
      <c r="U200" s="39" t="str">
        <f aca="false">IFERROR(INDEX('CA Exclusion Map'!$D$2:$D$2001,MATCH($C200,'CA Exclusion Map'!$A$2:$A$2001,0)),"")</f>
        <v/>
      </c>
      <c r="V200" s="40" t="str">
        <f aca="false">IFERROR(INDEX('CA Exclusion Map'!$E$2:$E$2001,MATCH($C200,'CA Exclusion Map'!$A$2:$A$2001,0)),"")</f>
        <v/>
      </c>
      <c r="W200" s="40" t="str">
        <f aca="false">IFERROR(INDEX('CA Exclusion Map'!$F$2:$F$2001,MATCH($C200,'CA Exclusion Map'!$A$2:$A$2001,0)),"")</f>
        <v/>
      </c>
      <c r="X200" s="36"/>
      <c r="Y200" s="37"/>
      <c r="Z200" s="38"/>
      <c r="AA200" s="38"/>
      <c r="AB200" s="39" t="str">
        <f aca="true">IF(T200="","",IF(T200&lt;&gt;"Yes","N/A",IF(AA200="","NO EXPIRY SET",IF(TODAY()&gt;AA200,"EXPIRED",IF(AA200-TODAY()&lt;=30,"Expiring Soon","Active")))))</f>
        <v/>
      </c>
      <c r="AC200" s="36"/>
      <c r="AD200" s="36"/>
      <c r="AE200" s="37"/>
      <c r="AF200" s="36"/>
      <c r="AG200" s="37"/>
      <c r="AH200" s="37"/>
      <c r="AI200" s="37"/>
      <c r="AJ200" s="37"/>
      <c r="AK200" s="38"/>
      <c r="AL200" s="37"/>
      <c r="AM200" s="37"/>
      <c r="AN200" s="41" t="str">
        <f aca="false">IF(AK200="","",AK200+90)</f>
        <v/>
      </c>
      <c r="AO200" s="39" t="str">
        <f aca="true">IF(C200="","",IF(AK200="","NOT REVIEWED",IF(TODAY()&gt;AN200,"OVERDUE",IF(AN200-TODAY()&lt;=14,"Due Soon","Current"))))</f>
        <v/>
      </c>
      <c r="AP200" s="36"/>
    </row>
    <row r="201" customFormat="false" ht="15" hidden="false" customHeight="false" outlineLevel="0" collapsed="false">
      <c r="A201" s="36"/>
      <c r="B201" s="36"/>
      <c r="C201" s="36"/>
      <c r="D201" s="37"/>
      <c r="E201" s="38"/>
      <c r="F201" s="38"/>
      <c r="G201" s="36"/>
      <c r="H201" s="37"/>
      <c r="I201" s="39" t="str">
        <f aca="true">IF(F201="","",TODAY()-F201)</f>
        <v/>
      </c>
      <c r="J201" s="40" t="str">
        <f aca="false">IFERROR(INDEX('Azure Resource Map'!$H$2:$H$2001,MATCH($C201,'Azure Resource Map'!$A$2:$A$2001,0)),"")</f>
        <v/>
      </c>
      <c r="K201" s="40" t="str">
        <f aca="false">IFERROR(INDEX('Azure Resource Map'!$I$2:$I$2001,MATCH($C201,'Azure Resource Map'!$A$2:$A$2001,0)),"")</f>
        <v/>
      </c>
      <c r="L201" s="39" t="str">
        <f aca="false">IFERROR(INDEX('Azure Resource Map'!$J$2:$J$2001,MATCH($C201,'Azure Resource Map'!$A$2:$A$2001,0)),"")</f>
        <v/>
      </c>
      <c r="M201" s="40" t="str">
        <f aca="false">IFERROR(INDEX('Azure Resource Map'!$K$2:$K$2001,MATCH($C201,'Azure Resource Map'!$A$2:$A$2001,0)),"")</f>
        <v/>
      </c>
      <c r="N201" s="39" t="str">
        <f aca="false">IFERROR(INDEX('Azure Resource Map'!$L$2:$L$2001,MATCH($C201,'Azure Resource Map'!$A$2:$A$2001,0)),"")</f>
        <v/>
      </c>
      <c r="O201" s="39" t="str">
        <f aca="false">IFERROR(INDEX('Azure Resource Map'!$M$2:$M$2001,MATCH($C201,'Azure Resource Map'!$A$2:$A$2001,0)),"")</f>
        <v/>
      </c>
      <c r="P201" s="40" t="str">
        <f aca="false">IFERROR(INDEX('Azure Resource Map'!$D$2:$D$2001,MATCH($C201,'Azure Resource Map'!$A$2:$A$2001,0)),"")</f>
        <v/>
      </c>
      <c r="Q201" s="39" t="str">
        <f aca="false">IFERROR(INDEX('Azure Resource Map'!$E$2:$E$2001,MATCH($C201,'Azure Resource Map'!$A$2:$A$2001,0)),"")</f>
        <v/>
      </c>
      <c r="R201" s="39" t="str">
        <f aca="false">IFERROR(INDEX('Azure Resource Map'!$F$2:$F$2001,MATCH($C201,'Azure Resource Map'!$A$2:$A$2001,0)),"")</f>
        <v/>
      </c>
      <c r="S201" s="37"/>
      <c r="T201" s="39" t="str">
        <f aca="false">IF($C201="","",IF(ISNUMBER(MATCH($C201,'CA Exclusion Map'!$A$2:$A$2001,0)),"Yes","No"))</f>
        <v/>
      </c>
      <c r="U201" s="39" t="str">
        <f aca="false">IFERROR(INDEX('CA Exclusion Map'!$D$2:$D$2001,MATCH($C201,'CA Exclusion Map'!$A$2:$A$2001,0)),"")</f>
        <v/>
      </c>
      <c r="V201" s="40" t="str">
        <f aca="false">IFERROR(INDEX('CA Exclusion Map'!$E$2:$E$2001,MATCH($C201,'CA Exclusion Map'!$A$2:$A$2001,0)),"")</f>
        <v/>
      </c>
      <c r="W201" s="40" t="str">
        <f aca="false">IFERROR(INDEX('CA Exclusion Map'!$F$2:$F$2001,MATCH($C201,'CA Exclusion Map'!$A$2:$A$2001,0)),"")</f>
        <v/>
      </c>
      <c r="X201" s="36"/>
      <c r="Y201" s="37"/>
      <c r="Z201" s="38"/>
      <c r="AA201" s="38"/>
      <c r="AB201" s="39" t="str">
        <f aca="true">IF(T201="","",IF(T201&lt;&gt;"Yes","N/A",IF(AA201="","NO EXPIRY SET",IF(TODAY()&gt;AA201,"EXPIRED",IF(AA201-TODAY()&lt;=30,"Expiring Soon","Active")))))</f>
        <v/>
      </c>
      <c r="AC201" s="36"/>
      <c r="AD201" s="36"/>
      <c r="AE201" s="37"/>
      <c r="AF201" s="36"/>
      <c r="AG201" s="37"/>
      <c r="AH201" s="37"/>
      <c r="AI201" s="37"/>
      <c r="AJ201" s="37"/>
      <c r="AK201" s="38"/>
      <c r="AL201" s="37"/>
      <c r="AM201" s="37"/>
      <c r="AN201" s="41" t="str">
        <f aca="false">IF(AK201="","",AK201+90)</f>
        <v/>
      </c>
      <c r="AO201" s="39" t="str">
        <f aca="true">IF(C201="","",IF(AK201="","NOT REVIEWED",IF(TODAY()&gt;AN201,"OVERDUE",IF(AN201-TODAY()&lt;=14,"Due Soon","Current"))))</f>
        <v/>
      </c>
      <c r="AP201" s="36"/>
    </row>
  </sheetData>
  <autoFilter ref="A1:AP201"/>
  <conditionalFormatting sqref="AB2:AB201">
    <cfRule type="expression" priority="2" aboveAverage="0" equalAverage="0" bottom="0" percent="0" rank="0" text="" dxfId="14">
      <formula>OR(AB2="EXPIRED",AB2="NO EXPIRY SET")</formula>
    </cfRule>
    <cfRule type="expression" priority="3" aboveAverage="0" equalAverage="0" bottom="0" percent="0" rank="0" text="" dxfId="15">
      <formula>AB2="Expiring Soon"</formula>
    </cfRule>
    <cfRule type="expression" priority="4" aboveAverage="0" equalAverage="0" bottom="0" percent="0" rank="0" text="" dxfId="16">
      <formula>AB2="Active"</formula>
    </cfRule>
  </conditionalFormatting>
  <conditionalFormatting sqref="AO2:AO201">
    <cfRule type="expression" priority="5" aboveAverage="0" equalAverage="0" bottom="0" percent="0" rank="0" text="" dxfId="14">
      <formula>OR(AO2="OVERDUE",AO2="NOT REVIEWED")</formula>
    </cfRule>
    <cfRule type="expression" priority="6" aboveAverage="0" equalAverage="0" bottom="0" percent="0" rank="0" text="" dxfId="15">
      <formula>AO2="Due Soon"</formula>
    </cfRule>
  </conditionalFormatting>
  <conditionalFormatting sqref="AD2:AD201">
    <cfRule type="expression" priority="7" aboveAverage="0" equalAverage="0" bottom="0" percent="0" rank="0" text="" dxfId="14">
      <formula>OR(AD2="UNASSIGNED - NEEDS OWNER",AND(AD2="",$C2&lt;&gt;""))</formula>
    </cfRule>
  </conditionalFormatting>
  <conditionalFormatting sqref="T2:T201">
    <cfRule type="expression" priority="8" aboveAverage="0" equalAverage="0" bottom="0" percent="0" rank="0" text="" dxfId="15">
      <formula>T2="Yes"</formula>
    </cfRule>
  </conditionalFormatting>
  <conditionalFormatting sqref="I2:I201">
    <cfRule type="expression" priority="9" aboveAverage="0" equalAverage="0" bottom="0" percent="0" rank="0" text="" dxfId="14">
      <formula>AND(I2&lt;&gt;"",I2&gt;90)</formula>
    </cfRule>
  </conditionalFormatting>
  <conditionalFormatting sqref="Q2:Q201">
    <cfRule type="expression" priority="10" aboveAverage="0" equalAverage="0" bottom="0" percent="0" rank="0" text="" dxfId="14">
      <formula>OR(Q2="Owner",Q2="User Access Administrator")</formula>
    </cfRule>
  </conditionalFormatting>
  <conditionalFormatting sqref="R2:R201">
    <cfRule type="expression" priority="11" aboveAverage="0" equalAverage="0" bottom="0" percent="0" rank="0" text="" dxfId="15">
      <formula>R2="Yes"</formula>
    </cfRule>
  </conditionalFormatting>
  <dataValidations count="5">
    <dataValidation allowBlank="true" error="Not in the Reference list. Pick an existing value or add yours to the Reference tab." errorStyle="warning" operator="between" showDropDown="false" showErrorMessage="false" showInputMessage="false" sqref="S2:S201" type="list">
      <formula1>Reference!$D$2:$D$5</formula1>
      <formula2>0</formula2>
    </dataValidation>
    <dataValidation allowBlank="true" error="Not in the Reference list. Pick an existing value or add yours to the Reference tab." errorStyle="warning" operator="between" showDropDown="false" showErrorMessage="false" showInputMessage="false" sqref="AD2:AD201" type="list">
      <formula1>Reference!$A$2:$A$14</formula1>
      <formula2>0</formula2>
    </dataValidation>
    <dataValidation allowBlank="true" error="Not in the Reference list. Pick an existing value or add yours to the Reference tab." errorStyle="warning" operator="between" showDropDown="false" showErrorMessage="false" showInputMessage="false" sqref="AI2:AI201" type="list">
      <formula1>Reference!$B$2:$B$7</formula1>
      <formula2>0</formula2>
    </dataValidation>
    <dataValidation allowBlank="true" error="Not in the Reference list. Pick an existing value or add yours to the Reference tab." errorStyle="warning" operator="between" showDropDown="false" showErrorMessage="false" showInputMessage="false" sqref="AJ2:AJ201" type="list">
      <formula1>Reference!$C$2:$C$6</formula1>
      <formula2>0</formula2>
    </dataValidation>
    <dataValidation allowBlank="true" error="Not in the Reference list. Pick an existing value or add yours to the Reference tab." errorStyle="warning" operator="between" showDropDown="false" showErrorMessage="false" showInputMessage="false" sqref="AM2:AM201" type="list">
      <formula1>Reference!$E$2:$E$8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J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0"/>
    <col collapsed="false" customWidth="true" hidden="false" outlineLevel="0" max="3" min="3" style="0" width="18"/>
    <col collapsed="false" customWidth="true" hidden="false" outlineLevel="0" max="4" min="4" style="0" width="22"/>
    <col collapsed="false" customWidth="true" hidden="false" outlineLevel="0" max="5" min="5" style="0" width="32"/>
    <col collapsed="false" customWidth="true" hidden="false" outlineLevel="0" max="6" min="6" style="0" width="40"/>
    <col collapsed="false" customWidth="true" hidden="false" outlineLevel="0" max="7" min="7" style="0" width="12"/>
    <col collapsed="false" customWidth="true" hidden="false" outlineLevel="0" max="8" min="8" style="0" width="20"/>
    <col collapsed="false" customWidth="true" hidden="false" outlineLevel="0" max="9" min="9" style="0" width="14"/>
    <col collapsed="false" customWidth="true" hidden="false" outlineLevel="0" max="10" min="10" style="0" width="18"/>
  </cols>
  <sheetData>
    <row r="1" customFormat="false" ht="43.5" hidden="false" customHeight="true" outlineLevel="0" collapsed="false">
      <c r="A1" s="42" t="s">
        <v>310</v>
      </c>
      <c r="B1" s="42" t="s">
        <v>311</v>
      </c>
      <c r="C1" s="42" t="s">
        <v>312</v>
      </c>
      <c r="D1" s="42" t="s">
        <v>313</v>
      </c>
      <c r="E1" s="42" t="s">
        <v>314</v>
      </c>
      <c r="F1" s="42" t="s">
        <v>315</v>
      </c>
      <c r="G1" s="42" t="s">
        <v>316</v>
      </c>
      <c r="H1" s="42" t="s">
        <v>317</v>
      </c>
      <c r="I1" s="42" t="s">
        <v>318</v>
      </c>
      <c r="J1" s="24" t="s">
        <v>319</v>
      </c>
    </row>
    <row r="2" customFormat="false" ht="23.85" hidden="false" customHeight="false" outlineLevel="0" collapsed="false">
      <c r="A2" s="43" t="s">
        <v>228</v>
      </c>
      <c r="B2" s="43" t="s">
        <v>226</v>
      </c>
      <c r="C2" s="44" t="s">
        <v>320</v>
      </c>
      <c r="D2" s="44" t="s">
        <v>321</v>
      </c>
      <c r="E2" s="43" t="s">
        <v>111</v>
      </c>
      <c r="F2" s="43" t="s">
        <v>322</v>
      </c>
      <c r="G2" s="44" t="n">
        <v>2</v>
      </c>
      <c r="H2" s="44" t="s">
        <v>323</v>
      </c>
      <c r="I2" s="44" t="s">
        <v>324</v>
      </c>
      <c r="J2" s="45" t="str">
        <f aca="false">IF($A2="","",IF(COUNTIF(Accounts!$C$2:$C$201,$A2)+COUNTIF('Service Principals'!$C$2:$C$201,$A2)+COUNTIF('Managed Identities'!$C$2:$C$201,$A2)&gt;0,"Yes","NOT IN INVENTORY"))</f>
        <v>Yes</v>
      </c>
    </row>
    <row r="3" customFormat="false" ht="15" hidden="false" customHeight="false" outlineLevel="0" collapsed="false">
      <c r="A3" s="43" t="s">
        <v>297</v>
      </c>
      <c r="B3" s="43" t="s">
        <v>295</v>
      </c>
      <c r="C3" s="44" t="s">
        <v>325</v>
      </c>
      <c r="D3" s="44" t="s">
        <v>321</v>
      </c>
      <c r="E3" s="43" t="s">
        <v>112</v>
      </c>
      <c r="F3" s="43" t="s">
        <v>326</v>
      </c>
      <c r="G3" s="44" t="n">
        <v>1</v>
      </c>
      <c r="H3" s="44" t="s">
        <v>323</v>
      </c>
      <c r="I3" s="44" t="s">
        <v>324</v>
      </c>
      <c r="J3" s="45" t="str">
        <f aca="false">IF($A3="","",IF(COUNTIF(Accounts!$C$2:$C$201,$A3)+COUNTIF('Service Principals'!$C$2:$C$201,$A3)+COUNTIF('Managed Identities'!$C$2:$C$201,$A3)&gt;0,"Yes","NOT IN INVENTORY"))</f>
        <v>Yes</v>
      </c>
    </row>
    <row r="4" customFormat="false" ht="15" hidden="false" customHeight="false" outlineLevel="0" collapsed="false">
      <c r="A4" s="46"/>
      <c r="B4" s="46"/>
      <c r="C4" s="47"/>
      <c r="D4" s="47"/>
      <c r="E4" s="46"/>
      <c r="F4" s="46"/>
      <c r="G4" s="47"/>
      <c r="H4" s="47"/>
      <c r="I4" s="47"/>
      <c r="J4" s="45" t="str">
        <f aca="false">IF($A4="","",IF(COUNTIF(Accounts!$C$2:$C$201,$A4)+COUNTIF('Service Principals'!$C$2:$C$201,$A4)+COUNTIF('Managed Identities'!$C$2:$C$201,$A4)&gt;0,"Yes","NOT IN INVENTORY"))</f>
        <v/>
      </c>
    </row>
    <row r="5" customFormat="false" ht="15" hidden="false" customHeight="false" outlineLevel="0" collapsed="false">
      <c r="A5" s="46"/>
      <c r="B5" s="46"/>
      <c r="C5" s="47"/>
      <c r="D5" s="47"/>
      <c r="E5" s="46"/>
      <c r="F5" s="46"/>
      <c r="G5" s="47"/>
      <c r="H5" s="47"/>
      <c r="I5" s="47"/>
      <c r="J5" s="45" t="str">
        <f aca="false">IF($A5="","",IF(COUNTIF(Accounts!$C$2:$C$201,$A5)+COUNTIF('Service Principals'!$C$2:$C$201,$A5)+COUNTIF('Managed Identities'!$C$2:$C$201,$A5)&gt;0,"Yes","NOT IN INVENTORY"))</f>
        <v/>
      </c>
    </row>
    <row r="6" customFormat="false" ht="15" hidden="false" customHeight="false" outlineLevel="0" collapsed="false">
      <c r="A6" s="46"/>
      <c r="B6" s="46"/>
      <c r="C6" s="47"/>
      <c r="D6" s="47"/>
      <c r="E6" s="46"/>
      <c r="F6" s="46"/>
      <c r="G6" s="47"/>
      <c r="H6" s="47"/>
      <c r="I6" s="47"/>
      <c r="J6" s="45" t="str">
        <f aca="false">IF($A6="","",IF(COUNTIF(Accounts!$C$2:$C$201,$A6)+COUNTIF('Service Principals'!$C$2:$C$201,$A6)+COUNTIF('Managed Identities'!$C$2:$C$201,$A6)&gt;0,"Yes","NOT IN INVENTORY"))</f>
        <v/>
      </c>
    </row>
    <row r="7" customFormat="false" ht="15" hidden="false" customHeight="false" outlineLevel="0" collapsed="false">
      <c r="A7" s="46"/>
      <c r="B7" s="46"/>
      <c r="C7" s="47"/>
      <c r="D7" s="47"/>
      <c r="E7" s="46"/>
      <c r="F7" s="46"/>
      <c r="G7" s="47"/>
      <c r="H7" s="47"/>
      <c r="I7" s="47"/>
      <c r="J7" s="45" t="str">
        <f aca="false">IF($A7="","",IF(COUNTIF(Accounts!$C$2:$C$201,$A7)+COUNTIF('Service Principals'!$C$2:$C$201,$A7)+COUNTIF('Managed Identities'!$C$2:$C$201,$A7)&gt;0,"Yes","NOT IN INVENTORY"))</f>
        <v/>
      </c>
    </row>
    <row r="8" customFormat="false" ht="15" hidden="false" customHeight="false" outlineLevel="0" collapsed="false">
      <c r="A8" s="46"/>
      <c r="B8" s="46"/>
      <c r="C8" s="47"/>
      <c r="D8" s="47"/>
      <c r="E8" s="46"/>
      <c r="F8" s="46"/>
      <c r="G8" s="47"/>
      <c r="H8" s="47"/>
      <c r="I8" s="47"/>
      <c r="J8" s="45" t="str">
        <f aca="false">IF($A8="","",IF(COUNTIF(Accounts!$C$2:$C$201,$A8)+COUNTIF('Service Principals'!$C$2:$C$201,$A8)+COUNTIF('Managed Identities'!$C$2:$C$201,$A8)&gt;0,"Yes","NOT IN INVENTORY"))</f>
        <v/>
      </c>
    </row>
    <row r="9" customFormat="false" ht="15" hidden="false" customHeight="false" outlineLevel="0" collapsed="false">
      <c r="A9" s="46"/>
      <c r="B9" s="46"/>
      <c r="C9" s="47"/>
      <c r="D9" s="47"/>
      <c r="E9" s="46"/>
      <c r="F9" s="46"/>
      <c r="G9" s="47"/>
      <c r="H9" s="47"/>
      <c r="I9" s="47"/>
      <c r="J9" s="45" t="str">
        <f aca="false">IF($A9="","",IF(COUNTIF(Accounts!$C$2:$C$201,$A9)+COUNTIF('Service Principals'!$C$2:$C$201,$A9)+COUNTIF('Managed Identities'!$C$2:$C$201,$A9)&gt;0,"Yes","NOT IN INVENTORY"))</f>
        <v/>
      </c>
    </row>
    <row r="10" customFormat="false" ht="15" hidden="false" customHeight="false" outlineLevel="0" collapsed="false">
      <c r="A10" s="46"/>
      <c r="B10" s="46"/>
      <c r="C10" s="47"/>
      <c r="D10" s="47"/>
      <c r="E10" s="46"/>
      <c r="F10" s="46"/>
      <c r="G10" s="47"/>
      <c r="H10" s="47"/>
      <c r="I10" s="47"/>
      <c r="J10" s="45" t="str">
        <f aca="false">IF($A10="","",IF(COUNTIF(Accounts!$C$2:$C$201,$A10)+COUNTIF('Service Principals'!$C$2:$C$201,$A10)+COUNTIF('Managed Identities'!$C$2:$C$201,$A10)&gt;0,"Yes","NOT IN INVENTORY"))</f>
        <v/>
      </c>
    </row>
    <row r="11" customFormat="false" ht="15" hidden="false" customHeight="false" outlineLevel="0" collapsed="false">
      <c r="A11" s="46"/>
      <c r="B11" s="46"/>
      <c r="C11" s="47"/>
      <c r="D11" s="47"/>
      <c r="E11" s="46"/>
      <c r="F11" s="46"/>
      <c r="G11" s="47"/>
      <c r="H11" s="47"/>
      <c r="I11" s="47"/>
      <c r="J11" s="45" t="str">
        <f aca="false">IF($A11="","",IF(COUNTIF(Accounts!$C$2:$C$201,$A11)+COUNTIF('Service Principals'!$C$2:$C$201,$A11)+COUNTIF('Managed Identities'!$C$2:$C$201,$A11)&gt;0,"Yes","NOT IN INVENTORY"))</f>
        <v/>
      </c>
    </row>
    <row r="12" customFormat="false" ht="15" hidden="false" customHeight="false" outlineLevel="0" collapsed="false">
      <c r="A12" s="46"/>
      <c r="B12" s="46"/>
      <c r="C12" s="47"/>
      <c r="D12" s="47"/>
      <c r="E12" s="46"/>
      <c r="F12" s="46"/>
      <c r="G12" s="47"/>
      <c r="H12" s="47"/>
      <c r="I12" s="47"/>
      <c r="J12" s="45" t="str">
        <f aca="false">IF($A12="","",IF(COUNTIF(Accounts!$C$2:$C$201,$A12)+COUNTIF('Service Principals'!$C$2:$C$201,$A12)+COUNTIF('Managed Identities'!$C$2:$C$201,$A12)&gt;0,"Yes","NOT IN INVENTORY"))</f>
        <v/>
      </c>
    </row>
    <row r="13" customFormat="false" ht="15" hidden="false" customHeight="false" outlineLevel="0" collapsed="false">
      <c r="A13" s="46"/>
      <c r="B13" s="46"/>
      <c r="C13" s="47"/>
      <c r="D13" s="47"/>
      <c r="E13" s="46"/>
      <c r="F13" s="46"/>
      <c r="G13" s="47"/>
      <c r="H13" s="47"/>
      <c r="I13" s="47"/>
      <c r="J13" s="45" t="str">
        <f aca="false">IF($A13="","",IF(COUNTIF(Accounts!$C$2:$C$201,$A13)+COUNTIF('Service Principals'!$C$2:$C$201,$A13)+COUNTIF('Managed Identities'!$C$2:$C$201,$A13)&gt;0,"Yes","NOT IN INVENTORY"))</f>
        <v/>
      </c>
    </row>
    <row r="14" customFormat="false" ht="15" hidden="false" customHeight="false" outlineLevel="0" collapsed="false">
      <c r="A14" s="46"/>
      <c r="B14" s="46"/>
      <c r="C14" s="47"/>
      <c r="D14" s="47"/>
      <c r="E14" s="46"/>
      <c r="F14" s="46"/>
      <c r="G14" s="47"/>
      <c r="H14" s="47"/>
      <c r="I14" s="47"/>
      <c r="J14" s="45" t="str">
        <f aca="false">IF($A14="","",IF(COUNTIF(Accounts!$C$2:$C$201,$A14)+COUNTIF('Service Principals'!$C$2:$C$201,$A14)+COUNTIF('Managed Identities'!$C$2:$C$201,$A14)&gt;0,"Yes","NOT IN INVENTORY"))</f>
        <v/>
      </c>
    </row>
    <row r="15" customFormat="false" ht="15" hidden="false" customHeight="false" outlineLevel="0" collapsed="false">
      <c r="A15" s="46"/>
      <c r="B15" s="46"/>
      <c r="C15" s="47"/>
      <c r="D15" s="47"/>
      <c r="E15" s="46"/>
      <c r="F15" s="46"/>
      <c r="G15" s="47"/>
      <c r="H15" s="47"/>
      <c r="I15" s="47"/>
      <c r="J15" s="45" t="str">
        <f aca="false">IF($A15="","",IF(COUNTIF(Accounts!$C$2:$C$201,$A15)+COUNTIF('Service Principals'!$C$2:$C$201,$A15)+COUNTIF('Managed Identities'!$C$2:$C$201,$A15)&gt;0,"Yes","NOT IN INVENTORY"))</f>
        <v/>
      </c>
    </row>
    <row r="16" customFormat="false" ht="15" hidden="false" customHeight="false" outlineLevel="0" collapsed="false">
      <c r="A16" s="46"/>
      <c r="B16" s="46"/>
      <c r="C16" s="47"/>
      <c r="D16" s="47"/>
      <c r="E16" s="46"/>
      <c r="F16" s="46"/>
      <c r="G16" s="47"/>
      <c r="H16" s="47"/>
      <c r="I16" s="47"/>
      <c r="J16" s="45" t="str">
        <f aca="false">IF($A16="","",IF(COUNTIF(Accounts!$C$2:$C$201,$A16)+COUNTIF('Service Principals'!$C$2:$C$201,$A16)+COUNTIF('Managed Identities'!$C$2:$C$201,$A16)&gt;0,"Yes","NOT IN INVENTORY"))</f>
        <v/>
      </c>
    </row>
    <row r="17" customFormat="false" ht="15" hidden="false" customHeight="false" outlineLevel="0" collapsed="false">
      <c r="A17" s="46"/>
      <c r="B17" s="46"/>
      <c r="C17" s="47"/>
      <c r="D17" s="47"/>
      <c r="E17" s="46"/>
      <c r="F17" s="46"/>
      <c r="G17" s="47"/>
      <c r="H17" s="47"/>
      <c r="I17" s="47"/>
      <c r="J17" s="45" t="str">
        <f aca="false">IF($A17="","",IF(COUNTIF(Accounts!$C$2:$C$201,$A17)+COUNTIF('Service Principals'!$C$2:$C$201,$A17)+COUNTIF('Managed Identities'!$C$2:$C$201,$A17)&gt;0,"Yes","NOT IN INVENTORY"))</f>
        <v/>
      </c>
    </row>
    <row r="18" customFormat="false" ht="15" hidden="false" customHeight="false" outlineLevel="0" collapsed="false">
      <c r="A18" s="46"/>
      <c r="B18" s="46"/>
      <c r="C18" s="47"/>
      <c r="D18" s="47"/>
      <c r="E18" s="46"/>
      <c r="F18" s="46"/>
      <c r="G18" s="47"/>
      <c r="H18" s="47"/>
      <c r="I18" s="47"/>
      <c r="J18" s="45" t="str">
        <f aca="false">IF($A18="","",IF(COUNTIF(Accounts!$C$2:$C$201,$A18)+COUNTIF('Service Principals'!$C$2:$C$201,$A18)+COUNTIF('Managed Identities'!$C$2:$C$201,$A18)&gt;0,"Yes","NOT IN INVENTORY"))</f>
        <v/>
      </c>
    </row>
    <row r="19" customFormat="false" ht="15" hidden="false" customHeight="false" outlineLevel="0" collapsed="false">
      <c r="A19" s="46"/>
      <c r="B19" s="46"/>
      <c r="C19" s="47"/>
      <c r="D19" s="47"/>
      <c r="E19" s="46"/>
      <c r="F19" s="46"/>
      <c r="G19" s="47"/>
      <c r="H19" s="47"/>
      <c r="I19" s="47"/>
      <c r="J19" s="45" t="str">
        <f aca="false">IF($A19="","",IF(COUNTIF(Accounts!$C$2:$C$201,$A19)+COUNTIF('Service Principals'!$C$2:$C$201,$A19)+COUNTIF('Managed Identities'!$C$2:$C$201,$A19)&gt;0,"Yes","NOT IN INVENTORY"))</f>
        <v/>
      </c>
    </row>
    <row r="20" customFormat="false" ht="15" hidden="false" customHeight="false" outlineLevel="0" collapsed="false">
      <c r="A20" s="46"/>
      <c r="B20" s="46"/>
      <c r="C20" s="47"/>
      <c r="D20" s="47"/>
      <c r="E20" s="46"/>
      <c r="F20" s="46"/>
      <c r="G20" s="47"/>
      <c r="H20" s="47"/>
      <c r="I20" s="47"/>
      <c r="J20" s="45" t="str">
        <f aca="false">IF($A20="","",IF(COUNTIF(Accounts!$C$2:$C$201,$A20)+COUNTIF('Service Principals'!$C$2:$C$201,$A20)+COUNTIF('Managed Identities'!$C$2:$C$201,$A20)&gt;0,"Yes","NOT IN INVENTORY"))</f>
        <v/>
      </c>
    </row>
    <row r="21" customFormat="false" ht="15" hidden="false" customHeight="false" outlineLevel="0" collapsed="false">
      <c r="A21" s="46"/>
      <c r="B21" s="46"/>
      <c r="C21" s="47"/>
      <c r="D21" s="47"/>
      <c r="E21" s="46"/>
      <c r="F21" s="46"/>
      <c r="G21" s="47"/>
      <c r="H21" s="47"/>
      <c r="I21" s="47"/>
      <c r="J21" s="45" t="str">
        <f aca="false">IF($A21="","",IF(COUNTIF(Accounts!$C$2:$C$201,$A21)+COUNTIF('Service Principals'!$C$2:$C$201,$A21)+COUNTIF('Managed Identities'!$C$2:$C$201,$A21)&gt;0,"Yes","NOT IN INVENTORY"))</f>
        <v/>
      </c>
    </row>
    <row r="22" customFormat="false" ht="15" hidden="false" customHeight="false" outlineLevel="0" collapsed="false">
      <c r="A22" s="46"/>
      <c r="B22" s="46"/>
      <c r="C22" s="47"/>
      <c r="D22" s="47"/>
      <c r="E22" s="46"/>
      <c r="F22" s="46"/>
      <c r="G22" s="47"/>
      <c r="H22" s="47"/>
      <c r="I22" s="47"/>
      <c r="J22" s="45" t="str">
        <f aca="false">IF($A22="","",IF(COUNTIF(Accounts!$C$2:$C$201,$A22)+COUNTIF('Service Principals'!$C$2:$C$201,$A22)+COUNTIF('Managed Identities'!$C$2:$C$201,$A22)&gt;0,"Yes","NOT IN INVENTORY"))</f>
        <v/>
      </c>
    </row>
    <row r="23" customFormat="false" ht="15" hidden="false" customHeight="false" outlineLevel="0" collapsed="false">
      <c r="A23" s="46"/>
      <c r="B23" s="46"/>
      <c r="C23" s="47"/>
      <c r="D23" s="47"/>
      <c r="E23" s="46"/>
      <c r="F23" s="46"/>
      <c r="G23" s="47"/>
      <c r="H23" s="47"/>
      <c r="I23" s="47"/>
      <c r="J23" s="45" t="str">
        <f aca="false">IF($A23="","",IF(COUNTIF(Accounts!$C$2:$C$201,$A23)+COUNTIF('Service Principals'!$C$2:$C$201,$A23)+COUNTIF('Managed Identities'!$C$2:$C$201,$A23)&gt;0,"Yes","NOT IN INVENTORY"))</f>
        <v/>
      </c>
    </row>
    <row r="24" customFormat="false" ht="15" hidden="false" customHeight="false" outlineLevel="0" collapsed="false">
      <c r="A24" s="46"/>
      <c r="B24" s="46"/>
      <c r="C24" s="47"/>
      <c r="D24" s="47"/>
      <c r="E24" s="46"/>
      <c r="F24" s="46"/>
      <c r="G24" s="47"/>
      <c r="H24" s="47"/>
      <c r="I24" s="47"/>
      <c r="J24" s="45" t="str">
        <f aca="false">IF($A24="","",IF(COUNTIF(Accounts!$C$2:$C$201,$A24)+COUNTIF('Service Principals'!$C$2:$C$201,$A24)+COUNTIF('Managed Identities'!$C$2:$C$201,$A24)&gt;0,"Yes","NOT IN INVENTORY"))</f>
        <v/>
      </c>
    </row>
    <row r="25" customFormat="false" ht="15" hidden="false" customHeight="false" outlineLevel="0" collapsed="false">
      <c r="A25" s="46"/>
      <c r="B25" s="46"/>
      <c r="C25" s="47"/>
      <c r="D25" s="47"/>
      <c r="E25" s="46"/>
      <c r="F25" s="46"/>
      <c r="G25" s="47"/>
      <c r="H25" s="47"/>
      <c r="I25" s="47"/>
      <c r="J25" s="45" t="str">
        <f aca="false">IF($A25="","",IF(COUNTIF(Accounts!$C$2:$C$201,$A25)+COUNTIF('Service Principals'!$C$2:$C$201,$A25)+COUNTIF('Managed Identities'!$C$2:$C$201,$A25)&gt;0,"Yes","NOT IN INVENTORY"))</f>
        <v/>
      </c>
    </row>
    <row r="26" customFormat="false" ht="15" hidden="false" customHeight="false" outlineLevel="0" collapsed="false">
      <c r="A26" s="46"/>
      <c r="B26" s="46"/>
      <c r="C26" s="47"/>
      <c r="D26" s="47"/>
      <c r="E26" s="46"/>
      <c r="F26" s="46"/>
      <c r="G26" s="47"/>
      <c r="H26" s="47"/>
      <c r="I26" s="47"/>
      <c r="J26" s="45" t="str">
        <f aca="false">IF($A26="","",IF(COUNTIF(Accounts!$C$2:$C$201,$A26)+COUNTIF('Service Principals'!$C$2:$C$201,$A26)+COUNTIF('Managed Identities'!$C$2:$C$201,$A26)&gt;0,"Yes","NOT IN INVENTORY"))</f>
        <v/>
      </c>
    </row>
    <row r="27" customFormat="false" ht="15" hidden="false" customHeight="false" outlineLevel="0" collapsed="false">
      <c r="A27" s="46"/>
      <c r="B27" s="46"/>
      <c r="C27" s="47"/>
      <c r="D27" s="47"/>
      <c r="E27" s="46"/>
      <c r="F27" s="46"/>
      <c r="G27" s="47"/>
      <c r="H27" s="47"/>
      <c r="I27" s="47"/>
      <c r="J27" s="45" t="str">
        <f aca="false">IF($A27="","",IF(COUNTIF(Accounts!$C$2:$C$201,$A27)+COUNTIF('Service Principals'!$C$2:$C$201,$A27)+COUNTIF('Managed Identities'!$C$2:$C$201,$A27)&gt;0,"Yes","NOT IN INVENTORY"))</f>
        <v/>
      </c>
    </row>
    <row r="28" customFormat="false" ht="15" hidden="false" customHeight="false" outlineLevel="0" collapsed="false">
      <c r="A28" s="46"/>
      <c r="B28" s="46"/>
      <c r="C28" s="47"/>
      <c r="D28" s="47"/>
      <c r="E28" s="46"/>
      <c r="F28" s="46"/>
      <c r="G28" s="47"/>
      <c r="H28" s="47"/>
      <c r="I28" s="47"/>
      <c r="J28" s="45" t="str">
        <f aca="false">IF($A28="","",IF(COUNTIF(Accounts!$C$2:$C$201,$A28)+COUNTIF('Service Principals'!$C$2:$C$201,$A28)+COUNTIF('Managed Identities'!$C$2:$C$201,$A28)&gt;0,"Yes","NOT IN INVENTORY"))</f>
        <v/>
      </c>
    </row>
    <row r="29" customFormat="false" ht="15" hidden="false" customHeight="false" outlineLevel="0" collapsed="false">
      <c r="A29" s="46"/>
      <c r="B29" s="46"/>
      <c r="C29" s="47"/>
      <c r="D29" s="47"/>
      <c r="E29" s="46"/>
      <c r="F29" s="46"/>
      <c r="G29" s="47"/>
      <c r="H29" s="47"/>
      <c r="I29" s="47"/>
      <c r="J29" s="45" t="str">
        <f aca="false">IF($A29="","",IF(COUNTIF(Accounts!$C$2:$C$201,$A29)+COUNTIF('Service Principals'!$C$2:$C$201,$A29)+COUNTIF('Managed Identities'!$C$2:$C$201,$A29)&gt;0,"Yes","NOT IN INVENTORY"))</f>
        <v/>
      </c>
    </row>
    <row r="30" customFormat="false" ht="15" hidden="false" customHeight="false" outlineLevel="0" collapsed="false">
      <c r="A30" s="46"/>
      <c r="B30" s="46"/>
      <c r="C30" s="47"/>
      <c r="D30" s="47"/>
      <c r="E30" s="46"/>
      <c r="F30" s="46"/>
      <c r="G30" s="47"/>
      <c r="H30" s="47"/>
      <c r="I30" s="47"/>
      <c r="J30" s="45" t="str">
        <f aca="false">IF($A30="","",IF(COUNTIF(Accounts!$C$2:$C$201,$A30)+COUNTIF('Service Principals'!$C$2:$C$201,$A30)+COUNTIF('Managed Identities'!$C$2:$C$201,$A30)&gt;0,"Yes","NOT IN INVENTORY"))</f>
        <v/>
      </c>
    </row>
    <row r="31" customFormat="false" ht="15" hidden="false" customHeight="false" outlineLevel="0" collapsed="false">
      <c r="A31" s="46"/>
      <c r="B31" s="46"/>
      <c r="C31" s="47"/>
      <c r="D31" s="47"/>
      <c r="E31" s="46"/>
      <c r="F31" s="46"/>
      <c r="G31" s="47"/>
      <c r="H31" s="47"/>
      <c r="I31" s="47"/>
      <c r="J31" s="45" t="str">
        <f aca="false">IF($A31="","",IF(COUNTIF(Accounts!$C$2:$C$201,$A31)+COUNTIF('Service Principals'!$C$2:$C$201,$A31)+COUNTIF('Managed Identities'!$C$2:$C$201,$A31)&gt;0,"Yes","NOT IN INVENTORY"))</f>
        <v/>
      </c>
    </row>
    <row r="32" customFormat="false" ht="15" hidden="false" customHeight="false" outlineLevel="0" collapsed="false">
      <c r="A32" s="46"/>
      <c r="B32" s="46"/>
      <c r="C32" s="47"/>
      <c r="D32" s="47"/>
      <c r="E32" s="46"/>
      <c r="F32" s="46"/>
      <c r="G32" s="47"/>
      <c r="H32" s="47"/>
      <c r="I32" s="47"/>
      <c r="J32" s="45" t="str">
        <f aca="false">IF($A32="","",IF(COUNTIF(Accounts!$C$2:$C$201,$A32)+COUNTIF('Service Principals'!$C$2:$C$201,$A32)+COUNTIF('Managed Identities'!$C$2:$C$201,$A32)&gt;0,"Yes","NOT IN INVENTORY"))</f>
        <v/>
      </c>
    </row>
    <row r="33" customFormat="false" ht="15" hidden="false" customHeight="false" outlineLevel="0" collapsed="false">
      <c r="A33" s="46"/>
      <c r="B33" s="46"/>
      <c r="C33" s="47"/>
      <c r="D33" s="47"/>
      <c r="E33" s="46"/>
      <c r="F33" s="46"/>
      <c r="G33" s="47"/>
      <c r="H33" s="47"/>
      <c r="I33" s="47"/>
      <c r="J33" s="45" t="str">
        <f aca="false">IF($A33="","",IF(COUNTIF(Accounts!$C$2:$C$201,$A33)+COUNTIF('Service Principals'!$C$2:$C$201,$A33)+COUNTIF('Managed Identities'!$C$2:$C$201,$A33)&gt;0,"Yes","NOT IN INVENTORY"))</f>
        <v/>
      </c>
    </row>
    <row r="34" customFormat="false" ht="15" hidden="false" customHeight="false" outlineLevel="0" collapsed="false">
      <c r="A34" s="46"/>
      <c r="B34" s="46"/>
      <c r="C34" s="47"/>
      <c r="D34" s="47"/>
      <c r="E34" s="46"/>
      <c r="F34" s="46"/>
      <c r="G34" s="47"/>
      <c r="H34" s="47"/>
      <c r="I34" s="47"/>
      <c r="J34" s="45" t="str">
        <f aca="false">IF($A34="","",IF(COUNTIF(Accounts!$C$2:$C$201,$A34)+COUNTIF('Service Principals'!$C$2:$C$201,$A34)+COUNTIF('Managed Identities'!$C$2:$C$201,$A34)&gt;0,"Yes","NOT IN INVENTORY"))</f>
        <v/>
      </c>
    </row>
    <row r="35" customFormat="false" ht="15" hidden="false" customHeight="false" outlineLevel="0" collapsed="false">
      <c r="A35" s="46"/>
      <c r="B35" s="46"/>
      <c r="C35" s="47"/>
      <c r="D35" s="47"/>
      <c r="E35" s="46"/>
      <c r="F35" s="46"/>
      <c r="G35" s="47"/>
      <c r="H35" s="47"/>
      <c r="I35" s="47"/>
      <c r="J35" s="45" t="str">
        <f aca="false">IF($A35="","",IF(COUNTIF(Accounts!$C$2:$C$201,$A35)+COUNTIF('Service Principals'!$C$2:$C$201,$A35)+COUNTIF('Managed Identities'!$C$2:$C$201,$A35)&gt;0,"Yes","NOT IN INVENTORY"))</f>
        <v/>
      </c>
    </row>
    <row r="36" customFormat="false" ht="15" hidden="false" customHeight="false" outlineLevel="0" collapsed="false">
      <c r="A36" s="46"/>
      <c r="B36" s="46"/>
      <c r="C36" s="47"/>
      <c r="D36" s="47"/>
      <c r="E36" s="46"/>
      <c r="F36" s="46"/>
      <c r="G36" s="47"/>
      <c r="H36" s="47"/>
      <c r="I36" s="47"/>
      <c r="J36" s="45" t="str">
        <f aca="false">IF($A36="","",IF(COUNTIF(Accounts!$C$2:$C$201,$A36)+COUNTIF('Service Principals'!$C$2:$C$201,$A36)+COUNTIF('Managed Identities'!$C$2:$C$201,$A36)&gt;0,"Yes","NOT IN INVENTORY"))</f>
        <v/>
      </c>
    </row>
    <row r="37" customFormat="false" ht="15" hidden="false" customHeight="false" outlineLevel="0" collapsed="false">
      <c r="A37" s="46"/>
      <c r="B37" s="46"/>
      <c r="C37" s="47"/>
      <c r="D37" s="47"/>
      <c r="E37" s="46"/>
      <c r="F37" s="46"/>
      <c r="G37" s="47"/>
      <c r="H37" s="47"/>
      <c r="I37" s="47"/>
      <c r="J37" s="45" t="str">
        <f aca="false">IF($A37="","",IF(COUNTIF(Accounts!$C$2:$C$201,$A37)+COUNTIF('Service Principals'!$C$2:$C$201,$A37)+COUNTIF('Managed Identities'!$C$2:$C$201,$A37)&gt;0,"Yes","NOT IN INVENTORY"))</f>
        <v/>
      </c>
    </row>
    <row r="38" customFormat="false" ht="15" hidden="false" customHeight="false" outlineLevel="0" collapsed="false">
      <c r="A38" s="46"/>
      <c r="B38" s="46"/>
      <c r="C38" s="47"/>
      <c r="D38" s="47"/>
      <c r="E38" s="46"/>
      <c r="F38" s="46"/>
      <c r="G38" s="47"/>
      <c r="H38" s="47"/>
      <c r="I38" s="47"/>
      <c r="J38" s="45" t="str">
        <f aca="false">IF($A38="","",IF(COUNTIF(Accounts!$C$2:$C$201,$A38)+COUNTIF('Service Principals'!$C$2:$C$201,$A38)+COUNTIF('Managed Identities'!$C$2:$C$201,$A38)&gt;0,"Yes","NOT IN INVENTORY"))</f>
        <v/>
      </c>
    </row>
    <row r="39" customFormat="false" ht="15" hidden="false" customHeight="false" outlineLevel="0" collapsed="false">
      <c r="A39" s="46"/>
      <c r="B39" s="46"/>
      <c r="C39" s="47"/>
      <c r="D39" s="47"/>
      <c r="E39" s="46"/>
      <c r="F39" s="46"/>
      <c r="G39" s="47"/>
      <c r="H39" s="47"/>
      <c r="I39" s="47"/>
      <c r="J39" s="45" t="str">
        <f aca="false">IF($A39="","",IF(COUNTIF(Accounts!$C$2:$C$201,$A39)+COUNTIF('Service Principals'!$C$2:$C$201,$A39)+COUNTIF('Managed Identities'!$C$2:$C$201,$A39)&gt;0,"Yes","NOT IN INVENTORY"))</f>
        <v/>
      </c>
    </row>
    <row r="40" customFormat="false" ht="15" hidden="false" customHeight="false" outlineLevel="0" collapsed="false">
      <c r="A40" s="46"/>
      <c r="B40" s="46"/>
      <c r="C40" s="47"/>
      <c r="D40" s="47"/>
      <c r="E40" s="46"/>
      <c r="F40" s="46"/>
      <c r="G40" s="47"/>
      <c r="H40" s="47"/>
      <c r="I40" s="47"/>
      <c r="J40" s="45" t="str">
        <f aca="false">IF($A40="","",IF(COUNTIF(Accounts!$C$2:$C$201,$A40)+COUNTIF('Service Principals'!$C$2:$C$201,$A40)+COUNTIF('Managed Identities'!$C$2:$C$201,$A40)&gt;0,"Yes","NOT IN INVENTORY"))</f>
        <v/>
      </c>
    </row>
    <row r="41" customFormat="false" ht="15" hidden="false" customHeight="false" outlineLevel="0" collapsed="false">
      <c r="A41" s="46"/>
      <c r="B41" s="46"/>
      <c r="C41" s="47"/>
      <c r="D41" s="47"/>
      <c r="E41" s="46"/>
      <c r="F41" s="46"/>
      <c r="G41" s="47"/>
      <c r="H41" s="47"/>
      <c r="I41" s="47"/>
      <c r="J41" s="45" t="str">
        <f aca="false">IF($A41="","",IF(COUNTIF(Accounts!$C$2:$C$201,$A41)+COUNTIF('Service Principals'!$C$2:$C$201,$A41)+COUNTIF('Managed Identities'!$C$2:$C$201,$A41)&gt;0,"Yes","NOT IN INVENTORY"))</f>
        <v/>
      </c>
    </row>
    <row r="42" customFormat="false" ht="15" hidden="false" customHeight="false" outlineLevel="0" collapsed="false">
      <c r="A42" s="46"/>
      <c r="B42" s="46"/>
      <c r="C42" s="47"/>
      <c r="D42" s="47"/>
      <c r="E42" s="46"/>
      <c r="F42" s="46"/>
      <c r="G42" s="47"/>
      <c r="H42" s="47"/>
      <c r="I42" s="47"/>
      <c r="J42" s="45" t="str">
        <f aca="false">IF($A42="","",IF(COUNTIF(Accounts!$C$2:$C$201,$A42)+COUNTIF('Service Principals'!$C$2:$C$201,$A42)+COUNTIF('Managed Identities'!$C$2:$C$201,$A42)&gt;0,"Yes","NOT IN INVENTORY"))</f>
        <v/>
      </c>
    </row>
    <row r="43" customFormat="false" ht="15" hidden="false" customHeight="false" outlineLevel="0" collapsed="false">
      <c r="A43" s="46"/>
      <c r="B43" s="46"/>
      <c r="C43" s="47"/>
      <c r="D43" s="47"/>
      <c r="E43" s="46"/>
      <c r="F43" s="46"/>
      <c r="G43" s="47"/>
      <c r="H43" s="47"/>
      <c r="I43" s="47"/>
      <c r="J43" s="45" t="str">
        <f aca="false">IF($A43="","",IF(COUNTIF(Accounts!$C$2:$C$201,$A43)+COUNTIF('Service Principals'!$C$2:$C$201,$A43)+COUNTIF('Managed Identities'!$C$2:$C$201,$A43)&gt;0,"Yes","NOT IN INVENTORY"))</f>
        <v/>
      </c>
    </row>
    <row r="44" customFormat="false" ht="15" hidden="false" customHeight="false" outlineLevel="0" collapsed="false">
      <c r="A44" s="46"/>
      <c r="B44" s="46"/>
      <c r="C44" s="47"/>
      <c r="D44" s="47"/>
      <c r="E44" s="46"/>
      <c r="F44" s="46"/>
      <c r="G44" s="47"/>
      <c r="H44" s="47"/>
      <c r="I44" s="47"/>
      <c r="J44" s="45" t="str">
        <f aca="false">IF($A44="","",IF(COUNTIF(Accounts!$C$2:$C$201,$A44)+COUNTIF('Service Principals'!$C$2:$C$201,$A44)+COUNTIF('Managed Identities'!$C$2:$C$201,$A44)&gt;0,"Yes","NOT IN INVENTORY"))</f>
        <v/>
      </c>
    </row>
    <row r="45" customFormat="false" ht="15" hidden="false" customHeight="false" outlineLevel="0" collapsed="false">
      <c r="A45" s="46"/>
      <c r="B45" s="46"/>
      <c r="C45" s="47"/>
      <c r="D45" s="47"/>
      <c r="E45" s="46"/>
      <c r="F45" s="46"/>
      <c r="G45" s="47"/>
      <c r="H45" s="47"/>
      <c r="I45" s="47"/>
      <c r="J45" s="45" t="str">
        <f aca="false">IF($A45="","",IF(COUNTIF(Accounts!$C$2:$C$201,$A45)+COUNTIF('Service Principals'!$C$2:$C$201,$A45)+COUNTIF('Managed Identities'!$C$2:$C$201,$A45)&gt;0,"Yes","NOT IN INVENTORY"))</f>
        <v/>
      </c>
    </row>
    <row r="46" customFormat="false" ht="15" hidden="false" customHeight="false" outlineLevel="0" collapsed="false">
      <c r="A46" s="46"/>
      <c r="B46" s="46"/>
      <c r="C46" s="47"/>
      <c r="D46" s="47"/>
      <c r="E46" s="46"/>
      <c r="F46" s="46"/>
      <c r="G46" s="47"/>
      <c r="H46" s="47"/>
      <c r="I46" s="47"/>
      <c r="J46" s="45" t="str">
        <f aca="false">IF($A46="","",IF(COUNTIF(Accounts!$C$2:$C$201,$A46)+COUNTIF('Service Principals'!$C$2:$C$201,$A46)+COUNTIF('Managed Identities'!$C$2:$C$201,$A46)&gt;0,"Yes","NOT IN INVENTORY"))</f>
        <v/>
      </c>
    </row>
    <row r="47" customFormat="false" ht="15" hidden="false" customHeight="false" outlineLevel="0" collapsed="false">
      <c r="A47" s="46"/>
      <c r="B47" s="46"/>
      <c r="C47" s="47"/>
      <c r="D47" s="47"/>
      <c r="E47" s="46"/>
      <c r="F47" s="46"/>
      <c r="G47" s="47"/>
      <c r="H47" s="47"/>
      <c r="I47" s="47"/>
      <c r="J47" s="45" t="str">
        <f aca="false">IF($A47="","",IF(COUNTIF(Accounts!$C$2:$C$201,$A47)+COUNTIF('Service Principals'!$C$2:$C$201,$A47)+COUNTIF('Managed Identities'!$C$2:$C$201,$A47)&gt;0,"Yes","NOT IN INVENTORY"))</f>
        <v/>
      </c>
    </row>
    <row r="48" customFormat="false" ht="15" hidden="false" customHeight="false" outlineLevel="0" collapsed="false">
      <c r="A48" s="46"/>
      <c r="B48" s="46"/>
      <c r="C48" s="47"/>
      <c r="D48" s="47"/>
      <c r="E48" s="46"/>
      <c r="F48" s="46"/>
      <c r="G48" s="47"/>
      <c r="H48" s="47"/>
      <c r="I48" s="47"/>
      <c r="J48" s="45" t="str">
        <f aca="false">IF($A48="","",IF(COUNTIF(Accounts!$C$2:$C$201,$A48)+COUNTIF('Service Principals'!$C$2:$C$201,$A48)+COUNTIF('Managed Identities'!$C$2:$C$201,$A48)&gt;0,"Yes","NOT IN INVENTORY"))</f>
        <v/>
      </c>
    </row>
    <row r="49" customFormat="false" ht="15" hidden="false" customHeight="false" outlineLevel="0" collapsed="false">
      <c r="A49" s="46"/>
      <c r="B49" s="46"/>
      <c r="C49" s="47"/>
      <c r="D49" s="47"/>
      <c r="E49" s="46"/>
      <c r="F49" s="46"/>
      <c r="G49" s="47"/>
      <c r="H49" s="47"/>
      <c r="I49" s="47"/>
      <c r="J49" s="45" t="str">
        <f aca="false">IF($A49="","",IF(COUNTIF(Accounts!$C$2:$C$201,$A49)+COUNTIF('Service Principals'!$C$2:$C$201,$A49)+COUNTIF('Managed Identities'!$C$2:$C$201,$A49)&gt;0,"Yes","NOT IN INVENTORY"))</f>
        <v/>
      </c>
    </row>
    <row r="50" customFormat="false" ht="15" hidden="false" customHeight="false" outlineLevel="0" collapsed="false">
      <c r="A50" s="46"/>
      <c r="B50" s="46"/>
      <c r="C50" s="47"/>
      <c r="D50" s="47"/>
      <c r="E50" s="46"/>
      <c r="F50" s="46"/>
      <c r="G50" s="47"/>
      <c r="H50" s="47"/>
      <c r="I50" s="47"/>
      <c r="J50" s="45" t="str">
        <f aca="false">IF($A50="","",IF(COUNTIF(Accounts!$C$2:$C$201,$A50)+COUNTIF('Service Principals'!$C$2:$C$201,$A50)+COUNTIF('Managed Identities'!$C$2:$C$201,$A50)&gt;0,"Yes","NOT IN INVENTORY"))</f>
        <v/>
      </c>
    </row>
    <row r="51" customFormat="false" ht="15" hidden="false" customHeight="false" outlineLevel="0" collapsed="false">
      <c r="A51" s="46"/>
      <c r="B51" s="46"/>
      <c r="C51" s="47"/>
      <c r="D51" s="47"/>
      <c r="E51" s="46"/>
      <c r="F51" s="46"/>
      <c r="G51" s="47"/>
      <c r="H51" s="47"/>
      <c r="I51" s="47"/>
      <c r="J51" s="45" t="str">
        <f aca="false">IF($A51="","",IF(COUNTIF(Accounts!$C$2:$C$201,$A51)+COUNTIF('Service Principals'!$C$2:$C$201,$A51)+COUNTIF('Managed Identities'!$C$2:$C$201,$A51)&gt;0,"Yes","NOT IN INVENTORY"))</f>
        <v/>
      </c>
    </row>
    <row r="52" customFormat="false" ht="15" hidden="false" customHeight="false" outlineLevel="0" collapsed="false">
      <c r="A52" s="46"/>
      <c r="B52" s="46"/>
      <c r="C52" s="47"/>
      <c r="D52" s="47"/>
      <c r="E52" s="46"/>
      <c r="F52" s="46"/>
      <c r="G52" s="47"/>
      <c r="H52" s="47"/>
      <c r="I52" s="47"/>
      <c r="J52" s="45" t="str">
        <f aca="false">IF($A52="","",IF(COUNTIF(Accounts!$C$2:$C$201,$A52)+COUNTIF('Service Principals'!$C$2:$C$201,$A52)+COUNTIF('Managed Identities'!$C$2:$C$201,$A52)&gt;0,"Yes","NOT IN INVENTORY"))</f>
        <v/>
      </c>
    </row>
    <row r="53" customFormat="false" ht="15" hidden="false" customHeight="false" outlineLevel="0" collapsed="false">
      <c r="A53" s="46"/>
      <c r="B53" s="46"/>
      <c r="C53" s="47"/>
      <c r="D53" s="47"/>
      <c r="E53" s="46"/>
      <c r="F53" s="46"/>
      <c r="G53" s="47"/>
      <c r="H53" s="47"/>
      <c r="I53" s="47"/>
      <c r="J53" s="45" t="str">
        <f aca="false">IF($A53="","",IF(COUNTIF(Accounts!$C$2:$C$201,$A53)+COUNTIF('Service Principals'!$C$2:$C$201,$A53)+COUNTIF('Managed Identities'!$C$2:$C$201,$A53)&gt;0,"Yes","NOT IN INVENTORY"))</f>
        <v/>
      </c>
    </row>
    <row r="54" customFormat="false" ht="15" hidden="false" customHeight="false" outlineLevel="0" collapsed="false">
      <c r="A54" s="46"/>
      <c r="B54" s="46"/>
      <c r="C54" s="47"/>
      <c r="D54" s="47"/>
      <c r="E54" s="46"/>
      <c r="F54" s="46"/>
      <c r="G54" s="47"/>
      <c r="H54" s="47"/>
      <c r="I54" s="47"/>
      <c r="J54" s="45" t="str">
        <f aca="false">IF($A54="","",IF(COUNTIF(Accounts!$C$2:$C$201,$A54)+COUNTIF('Service Principals'!$C$2:$C$201,$A54)+COUNTIF('Managed Identities'!$C$2:$C$201,$A54)&gt;0,"Yes","NOT IN INVENTORY"))</f>
        <v/>
      </c>
    </row>
    <row r="55" customFormat="false" ht="15" hidden="false" customHeight="false" outlineLevel="0" collapsed="false">
      <c r="A55" s="46"/>
      <c r="B55" s="46"/>
      <c r="C55" s="47"/>
      <c r="D55" s="47"/>
      <c r="E55" s="46"/>
      <c r="F55" s="46"/>
      <c r="G55" s="47"/>
      <c r="H55" s="47"/>
      <c r="I55" s="47"/>
      <c r="J55" s="45" t="str">
        <f aca="false">IF($A55="","",IF(COUNTIF(Accounts!$C$2:$C$201,$A55)+COUNTIF('Service Principals'!$C$2:$C$201,$A55)+COUNTIF('Managed Identities'!$C$2:$C$201,$A55)&gt;0,"Yes","NOT IN INVENTORY"))</f>
        <v/>
      </c>
    </row>
    <row r="56" customFormat="false" ht="15" hidden="false" customHeight="false" outlineLevel="0" collapsed="false">
      <c r="A56" s="46"/>
      <c r="B56" s="46"/>
      <c r="C56" s="47"/>
      <c r="D56" s="47"/>
      <c r="E56" s="46"/>
      <c r="F56" s="46"/>
      <c r="G56" s="47"/>
      <c r="H56" s="47"/>
      <c r="I56" s="47"/>
      <c r="J56" s="45" t="str">
        <f aca="false">IF($A56="","",IF(COUNTIF(Accounts!$C$2:$C$201,$A56)+COUNTIF('Service Principals'!$C$2:$C$201,$A56)+COUNTIF('Managed Identities'!$C$2:$C$201,$A56)&gt;0,"Yes","NOT IN INVENTORY"))</f>
        <v/>
      </c>
    </row>
    <row r="57" customFormat="false" ht="15" hidden="false" customHeight="false" outlineLevel="0" collapsed="false">
      <c r="A57" s="46"/>
      <c r="B57" s="46"/>
      <c r="C57" s="47"/>
      <c r="D57" s="47"/>
      <c r="E57" s="46"/>
      <c r="F57" s="46"/>
      <c r="G57" s="47"/>
      <c r="H57" s="47"/>
      <c r="I57" s="47"/>
      <c r="J57" s="45" t="str">
        <f aca="false">IF($A57="","",IF(COUNTIF(Accounts!$C$2:$C$201,$A57)+COUNTIF('Service Principals'!$C$2:$C$201,$A57)+COUNTIF('Managed Identities'!$C$2:$C$201,$A57)&gt;0,"Yes","NOT IN INVENTORY"))</f>
        <v/>
      </c>
    </row>
    <row r="58" customFormat="false" ht="15" hidden="false" customHeight="false" outlineLevel="0" collapsed="false">
      <c r="A58" s="46"/>
      <c r="B58" s="46"/>
      <c r="C58" s="47"/>
      <c r="D58" s="47"/>
      <c r="E58" s="46"/>
      <c r="F58" s="46"/>
      <c r="G58" s="47"/>
      <c r="H58" s="47"/>
      <c r="I58" s="47"/>
      <c r="J58" s="45" t="str">
        <f aca="false">IF($A58="","",IF(COUNTIF(Accounts!$C$2:$C$201,$A58)+COUNTIF('Service Principals'!$C$2:$C$201,$A58)+COUNTIF('Managed Identities'!$C$2:$C$201,$A58)&gt;0,"Yes","NOT IN INVENTORY"))</f>
        <v/>
      </c>
    </row>
    <row r="59" customFormat="false" ht="15" hidden="false" customHeight="false" outlineLevel="0" collapsed="false">
      <c r="A59" s="46"/>
      <c r="B59" s="46"/>
      <c r="C59" s="47"/>
      <c r="D59" s="47"/>
      <c r="E59" s="46"/>
      <c r="F59" s="46"/>
      <c r="G59" s="47"/>
      <c r="H59" s="47"/>
      <c r="I59" s="47"/>
      <c r="J59" s="45" t="str">
        <f aca="false">IF($A59="","",IF(COUNTIF(Accounts!$C$2:$C$201,$A59)+COUNTIF('Service Principals'!$C$2:$C$201,$A59)+COUNTIF('Managed Identities'!$C$2:$C$201,$A59)&gt;0,"Yes","NOT IN INVENTORY"))</f>
        <v/>
      </c>
    </row>
    <row r="60" customFormat="false" ht="15" hidden="false" customHeight="false" outlineLevel="0" collapsed="false">
      <c r="A60" s="46"/>
      <c r="B60" s="46"/>
      <c r="C60" s="47"/>
      <c r="D60" s="47"/>
      <c r="E60" s="46"/>
      <c r="F60" s="46"/>
      <c r="G60" s="47"/>
      <c r="H60" s="47"/>
      <c r="I60" s="47"/>
      <c r="J60" s="45" t="str">
        <f aca="false">IF($A60="","",IF(COUNTIF(Accounts!$C$2:$C$201,$A60)+COUNTIF('Service Principals'!$C$2:$C$201,$A60)+COUNTIF('Managed Identities'!$C$2:$C$201,$A60)&gt;0,"Yes","NOT IN INVENTORY"))</f>
        <v/>
      </c>
    </row>
    <row r="61" customFormat="false" ht="15" hidden="false" customHeight="false" outlineLevel="0" collapsed="false">
      <c r="A61" s="46"/>
      <c r="B61" s="46"/>
      <c r="C61" s="47"/>
      <c r="D61" s="47"/>
      <c r="E61" s="46"/>
      <c r="F61" s="46"/>
      <c r="G61" s="47"/>
      <c r="H61" s="47"/>
      <c r="I61" s="47"/>
      <c r="J61" s="45" t="str">
        <f aca="false">IF($A61="","",IF(COUNTIF(Accounts!$C$2:$C$201,$A61)+COUNTIF('Service Principals'!$C$2:$C$201,$A61)+COUNTIF('Managed Identities'!$C$2:$C$201,$A61)&gt;0,"Yes","NOT IN INVENTORY"))</f>
        <v/>
      </c>
    </row>
    <row r="62" customFormat="false" ht="15" hidden="false" customHeight="false" outlineLevel="0" collapsed="false">
      <c r="A62" s="46"/>
      <c r="B62" s="46"/>
      <c r="C62" s="47"/>
      <c r="D62" s="47"/>
      <c r="E62" s="46"/>
      <c r="F62" s="46"/>
      <c r="G62" s="47"/>
      <c r="H62" s="47"/>
      <c r="I62" s="47"/>
      <c r="J62" s="45" t="str">
        <f aca="false">IF($A62="","",IF(COUNTIF(Accounts!$C$2:$C$201,$A62)+COUNTIF('Service Principals'!$C$2:$C$201,$A62)+COUNTIF('Managed Identities'!$C$2:$C$201,$A62)&gt;0,"Yes","NOT IN INVENTORY"))</f>
        <v/>
      </c>
    </row>
    <row r="63" customFormat="false" ht="15" hidden="false" customHeight="false" outlineLevel="0" collapsed="false">
      <c r="A63" s="46"/>
      <c r="B63" s="46"/>
      <c r="C63" s="47"/>
      <c r="D63" s="47"/>
      <c r="E63" s="46"/>
      <c r="F63" s="46"/>
      <c r="G63" s="47"/>
      <c r="H63" s="47"/>
      <c r="I63" s="47"/>
      <c r="J63" s="45" t="str">
        <f aca="false">IF($A63="","",IF(COUNTIF(Accounts!$C$2:$C$201,$A63)+COUNTIF('Service Principals'!$C$2:$C$201,$A63)+COUNTIF('Managed Identities'!$C$2:$C$201,$A63)&gt;0,"Yes","NOT IN INVENTORY"))</f>
        <v/>
      </c>
    </row>
    <row r="64" customFormat="false" ht="15" hidden="false" customHeight="false" outlineLevel="0" collapsed="false">
      <c r="A64" s="46"/>
      <c r="B64" s="46"/>
      <c r="C64" s="47"/>
      <c r="D64" s="47"/>
      <c r="E64" s="46"/>
      <c r="F64" s="46"/>
      <c r="G64" s="47"/>
      <c r="H64" s="47"/>
      <c r="I64" s="47"/>
      <c r="J64" s="45" t="str">
        <f aca="false">IF($A64="","",IF(COUNTIF(Accounts!$C$2:$C$201,$A64)+COUNTIF('Service Principals'!$C$2:$C$201,$A64)+COUNTIF('Managed Identities'!$C$2:$C$201,$A64)&gt;0,"Yes","NOT IN INVENTORY"))</f>
        <v/>
      </c>
    </row>
    <row r="65" customFormat="false" ht="15" hidden="false" customHeight="false" outlineLevel="0" collapsed="false">
      <c r="A65" s="46"/>
      <c r="B65" s="46"/>
      <c r="C65" s="47"/>
      <c r="D65" s="47"/>
      <c r="E65" s="46"/>
      <c r="F65" s="46"/>
      <c r="G65" s="47"/>
      <c r="H65" s="47"/>
      <c r="I65" s="47"/>
      <c r="J65" s="45" t="str">
        <f aca="false">IF($A65="","",IF(COUNTIF(Accounts!$C$2:$C$201,$A65)+COUNTIF('Service Principals'!$C$2:$C$201,$A65)+COUNTIF('Managed Identities'!$C$2:$C$201,$A65)&gt;0,"Yes","NOT IN INVENTORY"))</f>
        <v/>
      </c>
    </row>
    <row r="66" customFormat="false" ht="15" hidden="false" customHeight="false" outlineLevel="0" collapsed="false">
      <c r="A66" s="46"/>
      <c r="B66" s="46"/>
      <c r="C66" s="47"/>
      <c r="D66" s="47"/>
      <c r="E66" s="46"/>
      <c r="F66" s="46"/>
      <c r="G66" s="47"/>
      <c r="H66" s="47"/>
      <c r="I66" s="47"/>
      <c r="J66" s="45" t="str">
        <f aca="false">IF($A66="","",IF(COUNTIF(Accounts!$C$2:$C$201,$A66)+COUNTIF('Service Principals'!$C$2:$C$201,$A66)+COUNTIF('Managed Identities'!$C$2:$C$201,$A66)&gt;0,"Yes","NOT IN INVENTORY"))</f>
        <v/>
      </c>
    </row>
    <row r="67" customFormat="false" ht="15" hidden="false" customHeight="false" outlineLevel="0" collapsed="false">
      <c r="A67" s="46"/>
      <c r="B67" s="46"/>
      <c r="C67" s="47"/>
      <c r="D67" s="47"/>
      <c r="E67" s="46"/>
      <c r="F67" s="46"/>
      <c r="G67" s="47"/>
      <c r="H67" s="47"/>
      <c r="I67" s="47"/>
      <c r="J67" s="45" t="str">
        <f aca="false">IF($A67="","",IF(COUNTIF(Accounts!$C$2:$C$201,$A67)+COUNTIF('Service Principals'!$C$2:$C$201,$A67)+COUNTIF('Managed Identities'!$C$2:$C$201,$A67)&gt;0,"Yes","NOT IN INVENTORY"))</f>
        <v/>
      </c>
    </row>
    <row r="68" customFormat="false" ht="15" hidden="false" customHeight="false" outlineLevel="0" collapsed="false">
      <c r="A68" s="46"/>
      <c r="B68" s="46"/>
      <c r="C68" s="47"/>
      <c r="D68" s="47"/>
      <c r="E68" s="46"/>
      <c r="F68" s="46"/>
      <c r="G68" s="47"/>
      <c r="H68" s="47"/>
      <c r="I68" s="47"/>
      <c r="J68" s="45" t="str">
        <f aca="false">IF($A68="","",IF(COUNTIF(Accounts!$C$2:$C$201,$A68)+COUNTIF('Service Principals'!$C$2:$C$201,$A68)+COUNTIF('Managed Identities'!$C$2:$C$201,$A68)&gt;0,"Yes","NOT IN INVENTORY"))</f>
        <v/>
      </c>
    </row>
    <row r="69" customFormat="false" ht="15" hidden="false" customHeight="false" outlineLevel="0" collapsed="false">
      <c r="A69" s="46"/>
      <c r="B69" s="46"/>
      <c r="C69" s="47"/>
      <c r="D69" s="47"/>
      <c r="E69" s="46"/>
      <c r="F69" s="46"/>
      <c r="G69" s="47"/>
      <c r="H69" s="47"/>
      <c r="I69" s="47"/>
      <c r="J69" s="45" t="str">
        <f aca="false">IF($A69="","",IF(COUNTIF(Accounts!$C$2:$C$201,$A69)+COUNTIF('Service Principals'!$C$2:$C$201,$A69)+COUNTIF('Managed Identities'!$C$2:$C$201,$A69)&gt;0,"Yes","NOT IN INVENTORY"))</f>
        <v/>
      </c>
    </row>
    <row r="70" customFormat="false" ht="15" hidden="false" customHeight="false" outlineLevel="0" collapsed="false">
      <c r="A70" s="46"/>
      <c r="B70" s="46"/>
      <c r="C70" s="47"/>
      <c r="D70" s="47"/>
      <c r="E70" s="46"/>
      <c r="F70" s="46"/>
      <c r="G70" s="47"/>
      <c r="H70" s="47"/>
      <c r="I70" s="47"/>
      <c r="J70" s="45" t="str">
        <f aca="false">IF($A70="","",IF(COUNTIF(Accounts!$C$2:$C$201,$A70)+COUNTIF('Service Principals'!$C$2:$C$201,$A70)+COUNTIF('Managed Identities'!$C$2:$C$201,$A70)&gt;0,"Yes","NOT IN INVENTORY"))</f>
        <v/>
      </c>
    </row>
    <row r="71" customFormat="false" ht="15" hidden="false" customHeight="false" outlineLevel="0" collapsed="false">
      <c r="A71" s="46"/>
      <c r="B71" s="46"/>
      <c r="C71" s="47"/>
      <c r="D71" s="47"/>
      <c r="E71" s="46"/>
      <c r="F71" s="46"/>
      <c r="G71" s="47"/>
      <c r="H71" s="47"/>
      <c r="I71" s="47"/>
      <c r="J71" s="45" t="str">
        <f aca="false">IF($A71="","",IF(COUNTIF(Accounts!$C$2:$C$201,$A71)+COUNTIF('Service Principals'!$C$2:$C$201,$A71)+COUNTIF('Managed Identities'!$C$2:$C$201,$A71)&gt;0,"Yes","NOT IN INVENTORY"))</f>
        <v/>
      </c>
    </row>
    <row r="72" customFormat="false" ht="15" hidden="false" customHeight="false" outlineLevel="0" collapsed="false">
      <c r="A72" s="46"/>
      <c r="B72" s="46"/>
      <c r="C72" s="47"/>
      <c r="D72" s="47"/>
      <c r="E72" s="46"/>
      <c r="F72" s="46"/>
      <c r="G72" s="47"/>
      <c r="H72" s="47"/>
      <c r="I72" s="47"/>
      <c r="J72" s="45" t="str">
        <f aca="false">IF($A72="","",IF(COUNTIF(Accounts!$C$2:$C$201,$A72)+COUNTIF('Service Principals'!$C$2:$C$201,$A72)+COUNTIF('Managed Identities'!$C$2:$C$201,$A72)&gt;0,"Yes","NOT IN INVENTORY"))</f>
        <v/>
      </c>
    </row>
    <row r="73" customFormat="false" ht="15" hidden="false" customHeight="false" outlineLevel="0" collapsed="false">
      <c r="A73" s="46"/>
      <c r="B73" s="46"/>
      <c r="C73" s="47"/>
      <c r="D73" s="47"/>
      <c r="E73" s="46"/>
      <c r="F73" s="46"/>
      <c r="G73" s="47"/>
      <c r="H73" s="47"/>
      <c r="I73" s="47"/>
      <c r="J73" s="45" t="str">
        <f aca="false">IF($A73="","",IF(COUNTIF(Accounts!$C$2:$C$201,$A73)+COUNTIF('Service Principals'!$C$2:$C$201,$A73)+COUNTIF('Managed Identities'!$C$2:$C$201,$A73)&gt;0,"Yes","NOT IN INVENTORY"))</f>
        <v/>
      </c>
    </row>
    <row r="74" customFormat="false" ht="15" hidden="false" customHeight="false" outlineLevel="0" collapsed="false">
      <c r="A74" s="46"/>
      <c r="B74" s="46"/>
      <c r="C74" s="47"/>
      <c r="D74" s="47"/>
      <c r="E74" s="46"/>
      <c r="F74" s="46"/>
      <c r="G74" s="47"/>
      <c r="H74" s="47"/>
      <c r="I74" s="47"/>
      <c r="J74" s="45" t="str">
        <f aca="false">IF($A74="","",IF(COUNTIF(Accounts!$C$2:$C$201,$A74)+COUNTIF('Service Principals'!$C$2:$C$201,$A74)+COUNTIF('Managed Identities'!$C$2:$C$201,$A74)&gt;0,"Yes","NOT IN INVENTORY"))</f>
        <v/>
      </c>
    </row>
    <row r="75" customFormat="false" ht="15" hidden="false" customHeight="false" outlineLevel="0" collapsed="false">
      <c r="A75" s="46"/>
      <c r="B75" s="46"/>
      <c r="C75" s="47"/>
      <c r="D75" s="47"/>
      <c r="E75" s="46"/>
      <c r="F75" s="46"/>
      <c r="G75" s="47"/>
      <c r="H75" s="47"/>
      <c r="I75" s="47"/>
      <c r="J75" s="45" t="str">
        <f aca="false">IF($A75="","",IF(COUNTIF(Accounts!$C$2:$C$201,$A75)+COUNTIF('Service Principals'!$C$2:$C$201,$A75)+COUNTIF('Managed Identities'!$C$2:$C$201,$A75)&gt;0,"Yes","NOT IN INVENTORY"))</f>
        <v/>
      </c>
    </row>
    <row r="76" customFormat="false" ht="15" hidden="false" customHeight="false" outlineLevel="0" collapsed="false">
      <c r="A76" s="46"/>
      <c r="B76" s="46"/>
      <c r="C76" s="47"/>
      <c r="D76" s="47"/>
      <c r="E76" s="46"/>
      <c r="F76" s="46"/>
      <c r="G76" s="47"/>
      <c r="H76" s="47"/>
      <c r="I76" s="47"/>
      <c r="J76" s="45" t="str">
        <f aca="false">IF($A76="","",IF(COUNTIF(Accounts!$C$2:$C$201,$A76)+COUNTIF('Service Principals'!$C$2:$C$201,$A76)+COUNTIF('Managed Identities'!$C$2:$C$201,$A76)&gt;0,"Yes","NOT IN INVENTORY"))</f>
        <v/>
      </c>
    </row>
    <row r="77" customFormat="false" ht="15" hidden="false" customHeight="false" outlineLevel="0" collapsed="false">
      <c r="A77" s="46"/>
      <c r="B77" s="46"/>
      <c r="C77" s="47"/>
      <c r="D77" s="47"/>
      <c r="E77" s="46"/>
      <c r="F77" s="46"/>
      <c r="G77" s="47"/>
      <c r="H77" s="47"/>
      <c r="I77" s="47"/>
      <c r="J77" s="45" t="str">
        <f aca="false">IF($A77="","",IF(COUNTIF(Accounts!$C$2:$C$201,$A77)+COUNTIF('Service Principals'!$C$2:$C$201,$A77)+COUNTIF('Managed Identities'!$C$2:$C$201,$A77)&gt;0,"Yes","NOT IN INVENTORY"))</f>
        <v/>
      </c>
    </row>
    <row r="78" customFormat="false" ht="15" hidden="false" customHeight="false" outlineLevel="0" collapsed="false">
      <c r="A78" s="46"/>
      <c r="B78" s="46"/>
      <c r="C78" s="47"/>
      <c r="D78" s="47"/>
      <c r="E78" s="46"/>
      <c r="F78" s="46"/>
      <c r="G78" s="47"/>
      <c r="H78" s="47"/>
      <c r="I78" s="47"/>
      <c r="J78" s="45" t="str">
        <f aca="false">IF($A78="","",IF(COUNTIF(Accounts!$C$2:$C$201,$A78)+COUNTIF('Service Principals'!$C$2:$C$201,$A78)+COUNTIF('Managed Identities'!$C$2:$C$201,$A78)&gt;0,"Yes","NOT IN INVENTORY"))</f>
        <v/>
      </c>
    </row>
    <row r="79" customFormat="false" ht="15" hidden="false" customHeight="false" outlineLevel="0" collapsed="false">
      <c r="A79" s="46"/>
      <c r="B79" s="46"/>
      <c r="C79" s="47"/>
      <c r="D79" s="47"/>
      <c r="E79" s="46"/>
      <c r="F79" s="46"/>
      <c r="G79" s="47"/>
      <c r="H79" s="47"/>
      <c r="I79" s="47"/>
      <c r="J79" s="45" t="str">
        <f aca="false">IF($A79="","",IF(COUNTIF(Accounts!$C$2:$C$201,$A79)+COUNTIF('Service Principals'!$C$2:$C$201,$A79)+COUNTIF('Managed Identities'!$C$2:$C$201,$A79)&gt;0,"Yes","NOT IN INVENTORY"))</f>
        <v/>
      </c>
    </row>
    <row r="80" customFormat="false" ht="15" hidden="false" customHeight="false" outlineLevel="0" collapsed="false">
      <c r="A80" s="46"/>
      <c r="B80" s="46"/>
      <c r="C80" s="47"/>
      <c r="D80" s="47"/>
      <c r="E80" s="46"/>
      <c r="F80" s="46"/>
      <c r="G80" s="47"/>
      <c r="H80" s="47"/>
      <c r="I80" s="47"/>
      <c r="J80" s="45" t="str">
        <f aca="false">IF($A80="","",IF(COUNTIF(Accounts!$C$2:$C$201,$A80)+COUNTIF('Service Principals'!$C$2:$C$201,$A80)+COUNTIF('Managed Identities'!$C$2:$C$201,$A80)&gt;0,"Yes","NOT IN INVENTORY"))</f>
        <v/>
      </c>
    </row>
    <row r="81" customFormat="false" ht="15" hidden="false" customHeight="false" outlineLevel="0" collapsed="false">
      <c r="A81" s="46"/>
      <c r="B81" s="46"/>
      <c r="C81" s="47"/>
      <c r="D81" s="47"/>
      <c r="E81" s="46"/>
      <c r="F81" s="46"/>
      <c r="G81" s="47"/>
      <c r="H81" s="47"/>
      <c r="I81" s="47"/>
      <c r="J81" s="45" t="str">
        <f aca="false">IF($A81="","",IF(COUNTIF(Accounts!$C$2:$C$201,$A81)+COUNTIF('Service Principals'!$C$2:$C$201,$A81)+COUNTIF('Managed Identities'!$C$2:$C$201,$A81)&gt;0,"Yes","NOT IN INVENTORY"))</f>
        <v/>
      </c>
    </row>
    <row r="82" customFormat="false" ht="15" hidden="false" customHeight="false" outlineLevel="0" collapsed="false">
      <c r="A82" s="46"/>
      <c r="B82" s="46"/>
      <c r="C82" s="47"/>
      <c r="D82" s="47"/>
      <c r="E82" s="46"/>
      <c r="F82" s="46"/>
      <c r="G82" s="47"/>
      <c r="H82" s="47"/>
      <c r="I82" s="47"/>
      <c r="J82" s="45" t="str">
        <f aca="false">IF($A82="","",IF(COUNTIF(Accounts!$C$2:$C$201,$A82)+COUNTIF('Service Principals'!$C$2:$C$201,$A82)+COUNTIF('Managed Identities'!$C$2:$C$201,$A82)&gt;0,"Yes","NOT IN INVENTORY"))</f>
        <v/>
      </c>
    </row>
    <row r="83" customFormat="false" ht="15" hidden="false" customHeight="false" outlineLevel="0" collapsed="false">
      <c r="A83" s="46"/>
      <c r="B83" s="46"/>
      <c r="C83" s="47"/>
      <c r="D83" s="47"/>
      <c r="E83" s="46"/>
      <c r="F83" s="46"/>
      <c r="G83" s="47"/>
      <c r="H83" s="47"/>
      <c r="I83" s="47"/>
      <c r="J83" s="45" t="str">
        <f aca="false">IF($A83="","",IF(COUNTIF(Accounts!$C$2:$C$201,$A83)+COUNTIF('Service Principals'!$C$2:$C$201,$A83)+COUNTIF('Managed Identities'!$C$2:$C$201,$A83)&gt;0,"Yes","NOT IN INVENTORY"))</f>
        <v/>
      </c>
    </row>
    <row r="84" customFormat="false" ht="15" hidden="false" customHeight="false" outlineLevel="0" collapsed="false">
      <c r="A84" s="46"/>
      <c r="B84" s="46"/>
      <c r="C84" s="47"/>
      <c r="D84" s="47"/>
      <c r="E84" s="46"/>
      <c r="F84" s="46"/>
      <c r="G84" s="47"/>
      <c r="H84" s="47"/>
      <c r="I84" s="47"/>
      <c r="J84" s="45" t="str">
        <f aca="false">IF($A84="","",IF(COUNTIF(Accounts!$C$2:$C$201,$A84)+COUNTIF('Service Principals'!$C$2:$C$201,$A84)+COUNTIF('Managed Identities'!$C$2:$C$201,$A84)&gt;0,"Yes","NOT IN INVENTORY"))</f>
        <v/>
      </c>
    </row>
    <row r="85" customFormat="false" ht="15" hidden="false" customHeight="false" outlineLevel="0" collapsed="false">
      <c r="A85" s="46"/>
      <c r="B85" s="46"/>
      <c r="C85" s="47"/>
      <c r="D85" s="47"/>
      <c r="E85" s="46"/>
      <c r="F85" s="46"/>
      <c r="G85" s="47"/>
      <c r="H85" s="47"/>
      <c r="I85" s="47"/>
      <c r="J85" s="45" t="str">
        <f aca="false">IF($A85="","",IF(COUNTIF(Accounts!$C$2:$C$201,$A85)+COUNTIF('Service Principals'!$C$2:$C$201,$A85)+COUNTIF('Managed Identities'!$C$2:$C$201,$A85)&gt;0,"Yes","NOT IN INVENTORY"))</f>
        <v/>
      </c>
    </row>
    <row r="86" customFormat="false" ht="15" hidden="false" customHeight="false" outlineLevel="0" collapsed="false">
      <c r="A86" s="46"/>
      <c r="B86" s="46"/>
      <c r="C86" s="47"/>
      <c r="D86" s="47"/>
      <c r="E86" s="46"/>
      <c r="F86" s="46"/>
      <c r="G86" s="47"/>
      <c r="H86" s="47"/>
      <c r="I86" s="47"/>
      <c r="J86" s="45" t="str">
        <f aca="false">IF($A86="","",IF(COUNTIF(Accounts!$C$2:$C$201,$A86)+COUNTIF('Service Principals'!$C$2:$C$201,$A86)+COUNTIF('Managed Identities'!$C$2:$C$201,$A86)&gt;0,"Yes","NOT IN INVENTORY"))</f>
        <v/>
      </c>
    </row>
    <row r="87" customFormat="false" ht="15" hidden="false" customHeight="false" outlineLevel="0" collapsed="false">
      <c r="A87" s="46"/>
      <c r="B87" s="46"/>
      <c r="C87" s="47"/>
      <c r="D87" s="47"/>
      <c r="E87" s="46"/>
      <c r="F87" s="46"/>
      <c r="G87" s="47"/>
      <c r="H87" s="47"/>
      <c r="I87" s="47"/>
      <c r="J87" s="45" t="str">
        <f aca="false">IF($A87="","",IF(COUNTIF(Accounts!$C$2:$C$201,$A87)+COUNTIF('Service Principals'!$C$2:$C$201,$A87)+COUNTIF('Managed Identities'!$C$2:$C$201,$A87)&gt;0,"Yes","NOT IN INVENTORY"))</f>
        <v/>
      </c>
    </row>
    <row r="88" customFormat="false" ht="15" hidden="false" customHeight="false" outlineLevel="0" collapsed="false">
      <c r="A88" s="46"/>
      <c r="B88" s="46"/>
      <c r="C88" s="47"/>
      <c r="D88" s="47"/>
      <c r="E88" s="46"/>
      <c r="F88" s="46"/>
      <c r="G88" s="47"/>
      <c r="H88" s="47"/>
      <c r="I88" s="47"/>
      <c r="J88" s="45" t="str">
        <f aca="false">IF($A88="","",IF(COUNTIF(Accounts!$C$2:$C$201,$A88)+COUNTIF('Service Principals'!$C$2:$C$201,$A88)+COUNTIF('Managed Identities'!$C$2:$C$201,$A88)&gt;0,"Yes","NOT IN INVENTORY"))</f>
        <v/>
      </c>
    </row>
    <row r="89" customFormat="false" ht="15" hidden="false" customHeight="false" outlineLevel="0" collapsed="false">
      <c r="A89" s="46"/>
      <c r="B89" s="46"/>
      <c r="C89" s="47"/>
      <c r="D89" s="47"/>
      <c r="E89" s="46"/>
      <c r="F89" s="46"/>
      <c r="G89" s="47"/>
      <c r="H89" s="47"/>
      <c r="I89" s="47"/>
      <c r="J89" s="45" t="str">
        <f aca="false">IF($A89="","",IF(COUNTIF(Accounts!$C$2:$C$201,$A89)+COUNTIF('Service Principals'!$C$2:$C$201,$A89)+COUNTIF('Managed Identities'!$C$2:$C$201,$A89)&gt;0,"Yes","NOT IN INVENTORY"))</f>
        <v/>
      </c>
    </row>
    <row r="90" customFormat="false" ht="15" hidden="false" customHeight="false" outlineLevel="0" collapsed="false">
      <c r="A90" s="46"/>
      <c r="B90" s="46"/>
      <c r="C90" s="47"/>
      <c r="D90" s="47"/>
      <c r="E90" s="46"/>
      <c r="F90" s="46"/>
      <c r="G90" s="47"/>
      <c r="H90" s="47"/>
      <c r="I90" s="47"/>
      <c r="J90" s="45" t="str">
        <f aca="false">IF($A90="","",IF(COUNTIF(Accounts!$C$2:$C$201,$A90)+COUNTIF('Service Principals'!$C$2:$C$201,$A90)+COUNTIF('Managed Identities'!$C$2:$C$201,$A90)&gt;0,"Yes","NOT IN INVENTORY"))</f>
        <v/>
      </c>
    </row>
    <row r="91" customFormat="false" ht="15" hidden="false" customHeight="false" outlineLevel="0" collapsed="false">
      <c r="A91" s="46"/>
      <c r="B91" s="46"/>
      <c r="C91" s="47"/>
      <c r="D91" s="47"/>
      <c r="E91" s="46"/>
      <c r="F91" s="46"/>
      <c r="G91" s="47"/>
      <c r="H91" s="47"/>
      <c r="I91" s="47"/>
      <c r="J91" s="45" t="str">
        <f aca="false">IF($A91="","",IF(COUNTIF(Accounts!$C$2:$C$201,$A91)+COUNTIF('Service Principals'!$C$2:$C$201,$A91)+COUNTIF('Managed Identities'!$C$2:$C$201,$A91)&gt;0,"Yes","NOT IN INVENTORY"))</f>
        <v/>
      </c>
    </row>
    <row r="92" customFormat="false" ht="15" hidden="false" customHeight="false" outlineLevel="0" collapsed="false">
      <c r="A92" s="46"/>
      <c r="B92" s="46"/>
      <c r="C92" s="47"/>
      <c r="D92" s="47"/>
      <c r="E92" s="46"/>
      <c r="F92" s="46"/>
      <c r="G92" s="47"/>
      <c r="H92" s="47"/>
      <c r="I92" s="47"/>
      <c r="J92" s="45" t="str">
        <f aca="false">IF($A92="","",IF(COUNTIF(Accounts!$C$2:$C$201,$A92)+COUNTIF('Service Principals'!$C$2:$C$201,$A92)+COUNTIF('Managed Identities'!$C$2:$C$201,$A92)&gt;0,"Yes","NOT IN INVENTORY"))</f>
        <v/>
      </c>
    </row>
    <row r="93" customFormat="false" ht="15" hidden="false" customHeight="false" outlineLevel="0" collapsed="false">
      <c r="A93" s="46"/>
      <c r="B93" s="46"/>
      <c r="C93" s="47"/>
      <c r="D93" s="47"/>
      <c r="E93" s="46"/>
      <c r="F93" s="46"/>
      <c r="G93" s="47"/>
      <c r="H93" s="47"/>
      <c r="I93" s="47"/>
      <c r="J93" s="45" t="str">
        <f aca="false">IF($A93="","",IF(COUNTIF(Accounts!$C$2:$C$201,$A93)+COUNTIF('Service Principals'!$C$2:$C$201,$A93)+COUNTIF('Managed Identities'!$C$2:$C$201,$A93)&gt;0,"Yes","NOT IN INVENTORY"))</f>
        <v/>
      </c>
    </row>
    <row r="94" customFormat="false" ht="15" hidden="false" customHeight="false" outlineLevel="0" collapsed="false">
      <c r="A94" s="46"/>
      <c r="B94" s="46"/>
      <c r="C94" s="47"/>
      <c r="D94" s="47"/>
      <c r="E94" s="46"/>
      <c r="F94" s="46"/>
      <c r="G94" s="47"/>
      <c r="H94" s="47"/>
      <c r="I94" s="47"/>
      <c r="J94" s="45" t="str">
        <f aca="false">IF($A94="","",IF(COUNTIF(Accounts!$C$2:$C$201,$A94)+COUNTIF('Service Principals'!$C$2:$C$201,$A94)+COUNTIF('Managed Identities'!$C$2:$C$201,$A94)&gt;0,"Yes","NOT IN INVENTORY"))</f>
        <v/>
      </c>
    </row>
    <row r="95" customFormat="false" ht="15" hidden="false" customHeight="false" outlineLevel="0" collapsed="false">
      <c r="A95" s="46"/>
      <c r="B95" s="46"/>
      <c r="C95" s="47"/>
      <c r="D95" s="47"/>
      <c r="E95" s="46"/>
      <c r="F95" s="46"/>
      <c r="G95" s="47"/>
      <c r="H95" s="47"/>
      <c r="I95" s="47"/>
      <c r="J95" s="45" t="str">
        <f aca="false">IF($A95="","",IF(COUNTIF(Accounts!$C$2:$C$201,$A95)+COUNTIF('Service Principals'!$C$2:$C$201,$A95)+COUNTIF('Managed Identities'!$C$2:$C$201,$A95)&gt;0,"Yes","NOT IN INVENTORY"))</f>
        <v/>
      </c>
    </row>
    <row r="96" customFormat="false" ht="15" hidden="false" customHeight="false" outlineLevel="0" collapsed="false">
      <c r="A96" s="46"/>
      <c r="B96" s="46"/>
      <c r="C96" s="47"/>
      <c r="D96" s="47"/>
      <c r="E96" s="46"/>
      <c r="F96" s="46"/>
      <c r="G96" s="47"/>
      <c r="H96" s="47"/>
      <c r="I96" s="47"/>
      <c r="J96" s="45" t="str">
        <f aca="false">IF($A96="","",IF(COUNTIF(Accounts!$C$2:$C$201,$A96)+COUNTIF('Service Principals'!$C$2:$C$201,$A96)+COUNTIF('Managed Identities'!$C$2:$C$201,$A96)&gt;0,"Yes","NOT IN INVENTORY"))</f>
        <v/>
      </c>
    </row>
    <row r="97" customFormat="false" ht="15" hidden="false" customHeight="false" outlineLevel="0" collapsed="false">
      <c r="A97" s="46"/>
      <c r="B97" s="46"/>
      <c r="C97" s="47"/>
      <c r="D97" s="47"/>
      <c r="E97" s="46"/>
      <c r="F97" s="46"/>
      <c r="G97" s="47"/>
      <c r="H97" s="47"/>
      <c r="I97" s="47"/>
      <c r="J97" s="45" t="str">
        <f aca="false">IF($A97="","",IF(COUNTIF(Accounts!$C$2:$C$201,$A97)+COUNTIF('Service Principals'!$C$2:$C$201,$A97)+COUNTIF('Managed Identities'!$C$2:$C$201,$A97)&gt;0,"Yes","NOT IN INVENTORY"))</f>
        <v/>
      </c>
    </row>
    <row r="98" customFormat="false" ht="15" hidden="false" customHeight="false" outlineLevel="0" collapsed="false">
      <c r="A98" s="46"/>
      <c r="B98" s="46"/>
      <c r="C98" s="47"/>
      <c r="D98" s="47"/>
      <c r="E98" s="46"/>
      <c r="F98" s="46"/>
      <c r="G98" s="47"/>
      <c r="H98" s="47"/>
      <c r="I98" s="47"/>
      <c r="J98" s="45" t="str">
        <f aca="false">IF($A98="","",IF(COUNTIF(Accounts!$C$2:$C$201,$A98)+COUNTIF('Service Principals'!$C$2:$C$201,$A98)+COUNTIF('Managed Identities'!$C$2:$C$201,$A98)&gt;0,"Yes","NOT IN INVENTORY"))</f>
        <v/>
      </c>
    </row>
    <row r="99" customFormat="false" ht="15" hidden="false" customHeight="false" outlineLevel="0" collapsed="false">
      <c r="A99" s="46"/>
      <c r="B99" s="46"/>
      <c r="C99" s="47"/>
      <c r="D99" s="47"/>
      <c r="E99" s="46"/>
      <c r="F99" s="46"/>
      <c r="G99" s="47"/>
      <c r="H99" s="47"/>
      <c r="I99" s="47"/>
      <c r="J99" s="45" t="str">
        <f aca="false">IF($A99="","",IF(COUNTIF(Accounts!$C$2:$C$201,$A99)+COUNTIF('Service Principals'!$C$2:$C$201,$A99)+COUNTIF('Managed Identities'!$C$2:$C$201,$A99)&gt;0,"Yes","NOT IN INVENTORY"))</f>
        <v/>
      </c>
    </row>
    <row r="100" customFormat="false" ht="15" hidden="false" customHeight="false" outlineLevel="0" collapsed="false">
      <c r="A100" s="46"/>
      <c r="B100" s="46"/>
      <c r="C100" s="47"/>
      <c r="D100" s="47"/>
      <c r="E100" s="46"/>
      <c r="F100" s="46"/>
      <c r="G100" s="47"/>
      <c r="H100" s="47"/>
      <c r="I100" s="47"/>
      <c r="J100" s="45" t="str">
        <f aca="false">IF($A100="","",IF(COUNTIF(Accounts!$C$2:$C$201,$A100)+COUNTIF('Service Principals'!$C$2:$C$201,$A100)+COUNTIF('Managed Identities'!$C$2:$C$201,$A100)&gt;0,"Yes","NOT IN INVENTORY"))</f>
        <v/>
      </c>
    </row>
    <row r="101" customFormat="false" ht="15" hidden="false" customHeight="false" outlineLevel="0" collapsed="false">
      <c r="A101" s="46"/>
      <c r="B101" s="46"/>
      <c r="C101" s="47"/>
      <c r="D101" s="47"/>
      <c r="E101" s="46"/>
      <c r="F101" s="46"/>
      <c r="G101" s="47"/>
      <c r="H101" s="47"/>
      <c r="I101" s="47"/>
      <c r="J101" s="45" t="str">
        <f aca="false">IF($A101="","",IF(COUNTIF(Accounts!$C$2:$C$201,$A101)+COUNTIF('Service Principals'!$C$2:$C$201,$A101)+COUNTIF('Managed Identities'!$C$2:$C$201,$A101)&gt;0,"Yes","NOT IN INVENTORY"))</f>
        <v/>
      </c>
    </row>
    <row r="102" customFormat="false" ht="15" hidden="false" customHeight="false" outlineLevel="0" collapsed="false">
      <c r="A102" s="46"/>
      <c r="B102" s="46"/>
      <c r="C102" s="47"/>
      <c r="D102" s="47"/>
      <c r="E102" s="46"/>
      <c r="F102" s="46"/>
      <c r="G102" s="47"/>
      <c r="H102" s="47"/>
      <c r="I102" s="47"/>
      <c r="J102" s="45" t="str">
        <f aca="false">IF($A102="","",IF(COUNTIF(Accounts!$C$2:$C$201,$A102)+COUNTIF('Service Principals'!$C$2:$C$201,$A102)+COUNTIF('Managed Identities'!$C$2:$C$201,$A102)&gt;0,"Yes","NOT IN INVENTORY"))</f>
        <v/>
      </c>
    </row>
    <row r="103" customFormat="false" ht="15" hidden="false" customHeight="false" outlineLevel="0" collapsed="false">
      <c r="A103" s="46"/>
      <c r="B103" s="46"/>
      <c r="C103" s="47"/>
      <c r="D103" s="47"/>
      <c r="E103" s="46"/>
      <c r="F103" s="46"/>
      <c r="G103" s="47"/>
      <c r="H103" s="47"/>
      <c r="I103" s="47"/>
      <c r="J103" s="45" t="str">
        <f aca="false">IF($A103="","",IF(COUNTIF(Accounts!$C$2:$C$201,$A103)+COUNTIF('Service Principals'!$C$2:$C$201,$A103)+COUNTIF('Managed Identities'!$C$2:$C$201,$A103)&gt;0,"Yes","NOT IN INVENTORY"))</f>
        <v/>
      </c>
    </row>
    <row r="104" customFormat="false" ht="15" hidden="false" customHeight="false" outlineLevel="0" collapsed="false">
      <c r="A104" s="46"/>
      <c r="B104" s="46"/>
      <c r="C104" s="47"/>
      <c r="D104" s="47"/>
      <c r="E104" s="46"/>
      <c r="F104" s="46"/>
      <c r="G104" s="47"/>
      <c r="H104" s="47"/>
      <c r="I104" s="47"/>
      <c r="J104" s="45" t="str">
        <f aca="false">IF($A104="","",IF(COUNTIF(Accounts!$C$2:$C$201,$A104)+COUNTIF('Service Principals'!$C$2:$C$201,$A104)+COUNTIF('Managed Identities'!$C$2:$C$201,$A104)&gt;0,"Yes","NOT IN INVENTORY"))</f>
        <v/>
      </c>
    </row>
    <row r="105" customFormat="false" ht="15" hidden="false" customHeight="false" outlineLevel="0" collapsed="false">
      <c r="A105" s="46"/>
      <c r="B105" s="46"/>
      <c r="C105" s="47"/>
      <c r="D105" s="47"/>
      <c r="E105" s="46"/>
      <c r="F105" s="46"/>
      <c r="G105" s="47"/>
      <c r="H105" s="47"/>
      <c r="I105" s="47"/>
      <c r="J105" s="45" t="str">
        <f aca="false">IF($A105="","",IF(COUNTIF(Accounts!$C$2:$C$201,$A105)+COUNTIF('Service Principals'!$C$2:$C$201,$A105)+COUNTIF('Managed Identities'!$C$2:$C$201,$A105)&gt;0,"Yes","NOT IN INVENTORY"))</f>
        <v/>
      </c>
    </row>
    <row r="106" customFormat="false" ht="15" hidden="false" customHeight="false" outlineLevel="0" collapsed="false">
      <c r="A106" s="46"/>
      <c r="B106" s="46"/>
      <c r="C106" s="47"/>
      <c r="D106" s="47"/>
      <c r="E106" s="46"/>
      <c r="F106" s="46"/>
      <c r="G106" s="47"/>
      <c r="H106" s="47"/>
      <c r="I106" s="47"/>
      <c r="J106" s="45" t="str">
        <f aca="false">IF($A106="","",IF(COUNTIF(Accounts!$C$2:$C$201,$A106)+COUNTIF('Service Principals'!$C$2:$C$201,$A106)+COUNTIF('Managed Identities'!$C$2:$C$201,$A106)&gt;0,"Yes","NOT IN INVENTORY"))</f>
        <v/>
      </c>
    </row>
    <row r="107" customFormat="false" ht="15" hidden="false" customHeight="false" outlineLevel="0" collapsed="false">
      <c r="A107" s="46"/>
      <c r="B107" s="46"/>
      <c r="C107" s="47"/>
      <c r="D107" s="47"/>
      <c r="E107" s="46"/>
      <c r="F107" s="46"/>
      <c r="G107" s="47"/>
      <c r="H107" s="47"/>
      <c r="I107" s="47"/>
      <c r="J107" s="45" t="str">
        <f aca="false">IF($A107="","",IF(COUNTIF(Accounts!$C$2:$C$201,$A107)+COUNTIF('Service Principals'!$C$2:$C$201,$A107)+COUNTIF('Managed Identities'!$C$2:$C$201,$A107)&gt;0,"Yes","NOT IN INVENTORY"))</f>
        <v/>
      </c>
    </row>
    <row r="108" customFormat="false" ht="15" hidden="false" customHeight="false" outlineLevel="0" collapsed="false">
      <c r="A108" s="46"/>
      <c r="B108" s="46"/>
      <c r="C108" s="47"/>
      <c r="D108" s="47"/>
      <c r="E108" s="46"/>
      <c r="F108" s="46"/>
      <c r="G108" s="47"/>
      <c r="H108" s="47"/>
      <c r="I108" s="47"/>
      <c r="J108" s="45" t="str">
        <f aca="false">IF($A108="","",IF(COUNTIF(Accounts!$C$2:$C$201,$A108)+COUNTIF('Service Principals'!$C$2:$C$201,$A108)+COUNTIF('Managed Identities'!$C$2:$C$201,$A108)&gt;0,"Yes","NOT IN INVENTORY"))</f>
        <v/>
      </c>
    </row>
    <row r="109" customFormat="false" ht="15" hidden="false" customHeight="false" outlineLevel="0" collapsed="false">
      <c r="A109" s="46"/>
      <c r="B109" s="46"/>
      <c r="C109" s="47"/>
      <c r="D109" s="47"/>
      <c r="E109" s="46"/>
      <c r="F109" s="46"/>
      <c r="G109" s="47"/>
      <c r="H109" s="47"/>
      <c r="I109" s="47"/>
      <c r="J109" s="45" t="str">
        <f aca="false">IF($A109="","",IF(COUNTIF(Accounts!$C$2:$C$201,$A109)+COUNTIF('Service Principals'!$C$2:$C$201,$A109)+COUNTIF('Managed Identities'!$C$2:$C$201,$A109)&gt;0,"Yes","NOT IN INVENTORY"))</f>
        <v/>
      </c>
    </row>
    <row r="110" customFormat="false" ht="15" hidden="false" customHeight="false" outlineLevel="0" collapsed="false">
      <c r="A110" s="46"/>
      <c r="B110" s="46"/>
      <c r="C110" s="47"/>
      <c r="D110" s="47"/>
      <c r="E110" s="46"/>
      <c r="F110" s="46"/>
      <c r="G110" s="47"/>
      <c r="H110" s="47"/>
      <c r="I110" s="47"/>
      <c r="J110" s="45" t="str">
        <f aca="false">IF($A110="","",IF(COUNTIF(Accounts!$C$2:$C$201,$A110)+COUNTIF('Service Principals'!$C$2:$C$201,$A110)+COUNTIF('Managed Identities'!$C$2:$C$201,$A110)&gt;0,"Yes","NOT IN INVENTORY"))</f>
        <v/>
      </c>
    </row>
    <row r="111" customFormat="false" ht="15" hidden="false" customHeight="false" outlineLevel="0" collapsed="false">
      <c r="A111" s="46"/>
      <c r="B111" s="46"/>
      <c r="C111" s="47"/>
      <c r="D111" s="47"/>
      <c r="E111" s="46"/>
      <c r="F111" s="46"/>
      <c r="G111" s="47"/>
      <c r="H111" s="47"/>
      <c r="I111" s="47"/>
      <c r="J111" s="45" t="str">
        <f aca="false">IF($A111="","",IF(COUNTIF(Accounts!$C$2:$C$201,$A111)+COUNTIF('Service Principals'!$C$2:$C$201,$A111)+COUNTIF('Managed Identities'!$C$2:$C$201,$A111)&gt;0,"Yes","NOT IN INVENTORY"))</f>
        <v/>
      </c>
    </row>
    <row r="112" customFormat="false" ht="15" hidden="false" customHeight="false" outlineLevel="0" collapsed="false">
      <c r="A112" s="46"/>
      <c r="B112" s="46"/>
      <c r="C112" s="47"/>
      <c r="D112" s="47"/>
      <c r="E112" s="46"/>
      <c r="F112" s="46"/>
      <c r="G112" s="47"/>
      <c r="H112" s="47"/>
      <c r="I112" s="47"/>
      <c r="J112" s="45" t="str">
        <f aca="false">IF($A112="","",IF(COUNTIF(Accounts!$C$2:$C$201,$A112)+COUNTIF('Service Principals'!$C$2:$C$201,$A112)+COUNTIF('Managed Identities'!$C$2:$C$201,$A112)&gt;0,"Yes","NOT IN INVENTORY"))</f>
        <v/>
      </c>
    </row>
    <row r="113" customFormat="false" ht="15" hidden="false" customHeight="false" outlineLevel="0" collapsed="false">
      <c r="A113" s="46"/>
      <c r="B113" s="46"/>
      <c r="C113" s="47"/>
      <c r="D113" s="47"/>
      <c r="E113" s="46"/>
      <c r="F113" s="46"/>
      <c r="G113" s="47"/>
      <c r="H113" s="47"/>
      <c r="I113" s="47"/>
      <c r="J113" s="45" t="str">
        <f aca="false">IF($A113="","",IF(COUNTIF(Accounts!$C$2:$C$201,$A113)+COUNTIF('Service Principals'!$C$2:$C$201,$A113)+COUNTIF('Managed Identities'!$C$2:$C$201,$A113)&gt;0,"Yes","NOT IN INVENTORY"))</f>
        <v/>
      </c>
    </row>
    <row r="114" customFormat="false" ht="15" hidden="false" customHeight="false" outlineLevel="0" collapsed="false">
      <c r="A114" s="46"/>
      <c r="B114" s="46"/>
      <c r="C114" s="47"/>
      <c r="D114" s="47"/>
      <c r="E114" s="46"/>
      <c r="F114" s="46"/>
      <c r="G114" s="47"/>
      <c r="H114" s="47"/>
      <c r="I114" s="47"/>
      <c r="J114" s="45" t="str">
        <f aca="false">IF($A114="","",IF(COUNTIF(Accounts!$C$2:$C$201,$A114)+COUNTIF('Service Principals'!$C$2:$C$201,$A114)+COUNTIF('Managed Identities'!$C$2:$C$201,$A114)&gt;0,"Yes","NOT IN INVENTORY"))</f>
        <v/>
      </c>
    </row>
    <row r="115" customFormat="false" ht="15" hidden="false" customHeight="false" outlineLevel="0" collapsed="false">
      <c r="A115" s="46"/>
      <c r="B115" s="46"/>
      <c r="C115" s="47"/>
      <c r="D115" s="47"/>
      <c r="E115" s="46"/>
      <c r="F115" s="46"/>
      <c r="G115" s="47"/>
      <c r="H115" s="47"/>
      <c r="I115" s="47"/>
      <c r="J115" s="45" t="str">
        <f aca="false">IF($A115="","",IF(COUNTIF(Accounts!$C$2:$C$201,$A115)+COUNTIF('Service Principals'!$C$2:$C$201,$A115)+COUNTIF('Managed Identities'!$C$2:$C$201,$A115)&gt;0,"Yes","NOT IN INVENTORY"))</f>
        <v/>
      </c>
    </row>
    <row r="116" customFormat="false" ht="15" hidden="false" customHeight="false" outlineLevel="0" collapsed="false">
      <c r="A116" s="46"/>
      <c r="B116" s="46"/>
      <c r="C116" s="47"/>
      <c r="D116" s="47"/>
      <c r="E116" s="46"/>
      <c r="F116" s="46"/>
      <c r="G116" s="47"/>
      <c r="H116" s="47"/>
      <c r="I116" s="47"/>
      <c r="J116" s="45" t="str">
        <f aca="false">IF($A116="","",IF(COUNTIF(Accounts!$C$2:$C$201,$A116)+COUNTIF('Service Principals'!$C$2:$C$201,$A116)+COUNTIF('Managed Identities'!$C$2:$C$201,$A116)&gt;0,"Yes","NOT IN INVENTORY"))</f>
        <v/>
      </c>
    </row>
    <row r="117" customFormat="false" ht="15" hidden="false" customHeight="false" outlineLevel="0" collapsed="false">
      <c r="A117" s="46"/>
      <c r="B117" s="46"/>
      <c r="C117" s="47"/>
      <c r="D117" s="47"/>
      <c r="E117" s="46"/>
      <c r="F117" s="46"/>
      <c r="G117" s="47"/>
      <c r="H117" s="47"/>
      <c r="I117" s="47"/>
      <c r="J117" s="45" t="str">
        <f aca="false">IF($A117="","",IF(COUNTIF(Accounts!$C$2:$C$201,$A117)+COUNTIF('Service Principals'!$C$2:$C$201,$A117)+COUNTIF('Managed Identities'!$C$2:$C$201,$A117)&gt;0,"Yes","NOT IN INVENTORY"))</f>
        <v/>
      </c>
    </row>
    <row r="118" customFormat="false" ht="15" hidden="false" customHeight="false" outlineLevel="0" collapsed="false">
      <c r="A118" s="46"/>
      <c r="B118" s="46"/>
      <c r="C118" s="47"/>
      <c r="D118" s="47"/>
      <c r="E118" s="46"/>
      <c r="F118" s="46"/>
      <c r="G118" s="47"/>
      <c r="H118" s="47"/>
      <c r="I118" s="47"/>
      <c r="J118" s="45" t="str">
        <f aca="false">IF($A118="","",IF(COUNTIF(Accounts!$C$2:$C$201,$A118)+COUNTIF('Service Principals'!$C$2:$C$201,$A118)+COUNTIF('Managed Identities'!$C$2:$C$201,$A118)&gt;0,"Yes","NOT IN INVENTORY"))</f>
        <v/>
      </c>
    </row>
    <row r="119" customFormat="false" ht="15" hidden="false" customHeight="false" outlineLevel="0" collapsed="false">
      <c r="A119" s="46"/>
      <c r="B119" s="46"/>
      <c r="C119" s="47"/>
      <c r="D119" s="47"/>
      <c r="E119" s="46"/>
      <c r="F119" s="46"/>
      <c r="G119" s="47"/>
      <c r="H119" s="47"/>
      <c r="I119" s="47"/>
      <c r="J119" s="45" t="str">
        <f aca="false">IF($A119="","",IF(COUNTIF(Accounts!$C$2:$C$201,$A119)+COUNTIF('Service Principals'!$C$2:$C$201,$A119)+COUNTIF('Managed Identities'!$C$2:$C$201,$A119)&gt;0,"Yes","NOT IN INVENTORY"))</f>
        <v/>
      </c>
    </row>
    <row r="120" customFormat="false" ht="15" hidden="false" customHeight="false" outlineLevel="0" collapsed="false">
      <c r="A120" s="46"/>
      <c r="B120" s="46"/>
      <c r="C120" s="47"/>
      <c r="D120" s="47"/>
      <c r="E120" s="46"/>
      <c r="F120" s="46"/>
      <c r="G120" s="47"/>
      <c r="H120" s="47"/>
      <c r="I120" s="47"/>
      <c r="J120" s="45" t="str">
        <f aca="false">IF($A120="","",IF(COUNTIF(Accounts!$C$2:$C$201,$A120)+COUNTIF('Service Principals'!$C$2:$C$201,$A120)+COUNTIF('Managed Identities'!$C$2:$C$201,$A120)&gt;0,"Yes","NOT IN INVENTORY"))</f>
        <v/>
      </c>
    </row>
    <row r="121" customFormat="false" ht="15" hidden="false" customHeight="false" outlineLevel="0" collapsed="false">
      <c r="A121" s="46"/>
      <c r="B121" s="46"/>
      <c r="C121" s="47"/>
      <c r="D121" s="47"/>
      <c r="E121" s="46"/>
      <c r="F121" s="46"/>
      <c r="G121" s="47"/>
      <c r="H121" s="47"/>
      <c r="I121" s="47"/>
      <c r="J121" s="45" t="str">
        <f aca="false">IF($A121="","",IF(COUNTIF(Accounts!$C$2:$C$201,$A121)+COUNTIF('Service Principals'!$C$2:$C$201,$A121)+COUNTIF('Managed Identities'!$C$2:$C$201,$A121)&gt;0,"Yes","NOT IN INVENTORY"))</f>
        <v/>
      </c>
    </row>
    <row r="122" customFormat="false" ht="15" hidden="false" customHeight="false" outlineLevel="0" collapsed="false">
      <c r="A122" s="46"/>
      <c r="B122" s="46"/>
      <c r="C122" s="47"/>
      <c r="D122" s="47"/>
      <c r="E122" s="46"/>
      <c r="F122" s="46"/>
      <c r="G122" s="47"/>
      <c r="H122" s="47"/>
      <c r="I122" s="47"/>
      <c r="J122" s="45" t="str">
        <f aca="false">IF($A122="","",IF(COUNTIF(Accounts!$C$2:$C$201,$A122)+COUNTIF('Service Principals'!$C$2:$C$201,$A122)+COUNTIF('Managed Identities'!$C$2:$C$201,$A122)&gt;0,"Yes","NOT IN INVENTORY"))</f>
        <v/>
      </c>
    </row>
    <row r="123" customFormat="false" ht="15" hidden="false" customHeight="false" outlineLevel="0" collapsed="false">
      <c r="A123" s="46"/>
      <c r="B123" s="46"/>
      <c r="C123" s="47"/>
      <c r="D123" s="47"/>
      <c r="E123" s="46"/>
      <c r="F123" s="46"/>
      <c r="G123" s="47"/>
      <c r="H123" s="47"/>
      <c r="I123" s="47"/>
      <c r="J123" s="45" t="str">
        <f aca="false">IF($A123="","",IF(COUNTIF(Accounts!$C$2:$C$201,$A123)+COUNTIF('Service Principals'!$C$2:$C$201,$A123)+COUNTIF('Managed Identities'!$C$2:$C$201,$A123)&gt;0,"Yes","NOT IN INVENTORY"))</f>
        <v/>
      </c>
    </row>
    <row r="124" customFormat="false" ht="15" hidden="false" customHeight="false" outlineLevel="0" collapsed="false">
      <c r="A124" s="46"/>
      <c r="B124" s="46"/>
      <c r="C124" s="47"/>
      <c r="D124" s="47"/>
      <c r="E124" s="46"/>
      <c r="F124" s="46"/>
      <c r="G124" s="47"/>
      <c r="H124" s="47"/>
      <c r="I124" s="47"/>
      <c r="J124" s="45" t="str">
        <f aca="false">IF($A124="","",IF(COUNTIF(Accounts!$C$2:$C$201,$A124)+COUNTIF('Service Principals'!$C$2:$C$201,$A124)+COUNTIF('Managed Identities'!$C$2:$C$201,$A124)&gt;0,"Yes","NOT IN INVENTORY"))</f>
        <v/>
      </c>
    </row>
    <row r="125" customFormat="false" ht="15" hidden="false" customHeight="false" outlineLevel="0" collapsed="false">
      <c r="A125" s="46"/>
      <c r="B125" s="46"/>
      <c r="C125" s="47"/>
      <c r="D125" s="47"/>
      <c r="E125" s="46"/>
      <c r="F125" s="46"/>
      <c r="G125" s="47"/>
      <c r="H125" s="47"/>
      <c r="I125" s="47"/>
      <c r="J125" s="45" t="str">
        <f aca="false">IF($A125="","",IF(COUNTIF(Accounts!$C$2:$C$201,$A125)+COUNTIF('Service Principals'!$C$2:$C$201,$A125)+COUNTIF('Managed Identities'!$C$2:$C$201,$A125)&gt;0,"Yes","NOT IN INVENTORY"))</f>
        <v/>
      </c>
    </row>
    <row r="126" customFormat="false" ht="15" hidden="false" customHeight="false" outlineLevel="0" collapsed="false">
      <c r="A126" s="46"/>
      <c r="B126" s="46"/>
      <c r="C126" s="47"/>
      <c r="D126" s="47"/>
      <c r="E126" s="46"/>
      <c r="F126" s="46"/>
      <c r="G126" s="47"/>
      <c r="H126" s="47"/>
      <c r="I126" s="47"/>
      <c r="J126" s="45" t="str">
        <f aca="false">IF($A126="","",IF(COUNTIF(Accounts!$C$2:$C$201,$A126)+COUNTIF('Service Principals'!$C$2:$C$201,$A126)+COUNTIF('Managed Identities'!$C$2:$C$201,$A126)&gt;0,"Yes","NOT IN INVENTORY"))</f>
        <v/>
      </c>
    </row>
    <row r="127" customFormat="false" ht="15" hidden="false" customHeight="false" outlineLevel="0" collapsed="false">
      <c r="A127" s="46"/>
      <c r="B127" s="46"/>
      <c r="C127" s="47"/>
      <c r="D127" s="47"/>
      <c r="E127" s="46"/>
      <c r="F127" s="46"/>
      <c r="G127" s="47"/>
      <c r="H127" s="47"/>
      <c r="I127" s="47"/>
      <c r="J127" s="45" t="str">
        <f aca="false">IF($A127="","",IF(COUNTIF(Accounts!$C$2:$C$201,$A127)+COUNTIF('Service Principals'!$C$2:$C$201,$A127)+COUNTIF('Managed Identities'!$C$2:$C$201,$A127)&gt;0,"Yes","NOT IN INVENTORY"))</f>
        <v/>
      </c>
    </row>
    <row r="128" customFormat="false" ht="15" hidden="false" customHeight="false" outlineLevel="0" collapsed="false">
      <c r="A128" s="46"/>
      <c r="B128" s="46"/>
      <c r="C128" s="47"/>
      <c r="D128" s="47"/>
      <c r="E128" s="46"/>
      <c r="F128" s="46"/>
      <c r="G128" s="47"/>
      <c r="H128" s="47"/>
      <c r="I128" s="47"/>
      <c r="J128" s="45" t="str">
        <f aca="false">IF($A128="","",IF(COUNTIF(Accounts!$C$2:$C$201,$A128)+COUNTIF('Service Principals'!$C$2:$C$201,$A128)+COUNTIF('Managed Identities'!$C$2:$C$201,$A128)&gt;0,"Yes","NOT IN INVENTORY"))</f>
        <v/>
      </c>
    </row>
    <row r="129" customFormat="false" ht="15" hidden="false" customHeight="false" outlineLevel="0" collapsed="false">
      <c r="A129" s="46"/>
      <c r="B129" s="46"/>
      <c r="C129" s="47"/>
      <c r="D129" s="47"/>
      <c r="E129" s="46"/>
      <c r="F129" s="46"/>
      <c r="G129" s="47"/>
      <c r="H129" s="47"/>
      <c r="I129" s="47"/>
      <c r="J129" s="45" t="str">
        <f aca="false">IF($A129="","",IF(COUNTIF(Accounts!$C$2:$C$201,$A129)+COUNTIF('Service Principals'!$C$2:$C$201,$A129)+COUNTIF('Managed Identities'!$C$2:$C$201,$A129)&gt;0,"Yes","NOT IN INVENTORY"))</f>
        <v/>
      </c>
    </row>
    <row r="130" customFormat="false" ht="15" hidden="false" customHeight="false" outlineLevel="0" collapsed="false">
      <c r="A130" s="46"/>
      <c r="B130" s="46"/>
      <c r="C130" s="47"/>
      <c r="D130" s="47"/>
      <c r="E130" s="46"/>
      <c r="F130" s="46"/>
      <c r="G130" s="47"/>
      <c r="H130" s="47"/>
      <c r="I130" s="47"/>
      <c r="J130" s="45" t="str">
        <f aca="false">IF($A130="","",IF(COUNTIF(Accounts!$C$2:$C$201,$A130)+COUNTIF('Service Principals'!$C$2:$C$201,$A130)+COUNTIF('Managed Identities'!$C$2:$C$201,$A130)&gt;0,"Yes","NOT IN INVENTORY"))</f>
        <v/>
      </c>
    </row>
    <row r="131" customFormat="false" ht="15" hidden="false" customHeight="false" outlineLevel="0" collapsed="false">
      <c r="A131" s="46"/>
      <c r="B131" s="46"/>
      <c r="C131" s="47"/>
      <c r="D131" s="47"/>
      <c r="E131" s="46"/>
      <c r="F131" s="46"/>
      <c r="G131" s="47"/>
      <c r="H131" s="47"/>
      <c r="I131" s="47"/>
      <c r="J131" s="45" t="str">
        <f aca="false">IF($A131="","",IF(COUNTIF(Accounts!$C$2:$C$201,$A131)+COUNTIF('Service Principals'!$C$2:$C$201,$A131)+COUNTIF('Managed Identities'!$C$2:$C$201,$A131)&gt;0,"Yes","NOT IN INVENTORY"))</f>
        <v/>
      </c>
    </row>
    <row r="132" customFormat="false" ht="15" hidden="false" customHeight="false" outlineLevel="0" collapsed="false">
      <c r="A132" s="46"/>
      <c r="B132" s="46"/>
      <c r="C132" s="47"/>
      <c r="D132" s="47"/>
      <c r="E132" s="46"/>
      <c r="F132" s="46"/>
      <c r="G132" s="47"/>
      <c r="H132" s="47"/>
      <c r="I132" s="47"/>
      <c r="J132" s="45" t="str">
        <f aca="false">IF($A132="","",IF(COUNTIF(Accounts!$C$2:$C$201,$A132)+COUNTIF('Service Principals'!$C$2:$C$201,$A132)+COUNTIF('Managed Identities'!$C$2:$C$201,$A132)&gt;0,"Yes","NOT IN INVENTORY"))</f>
        <v/>
      </c>
    </row>
    <row r="133" customFormat="false" ht="15" hidden="false" customHeight="false" outlineLevel="0" collapsed="false">
      <c r="A133" s="46"/>
      <c r="B133" s="46"/>
      <c r="C133" s="47"/>
      <c r="D133" s="47"/>
      <c r="E133" s="46"/>
      <c r="F133" s="46"/>
      <c r="G133" s="47"/>
      <c r="H133" s="47"/>
      <c r="I133" s="47"/>
      <c r="J133" s="45" t="str">
        <f aca="false">IF($A133="","",IF(COUNTIF(Accounts!$C$2:$C$201,$A133)+COUNTIF('Service Principals'!$C$2:$C$201,$A133)+COUNTIF('Managed Identities'!$C$2:$C$201,$A133)&gt;0,"Yes","NOT IN INVENTORY"))</f>
        <v/>
      </c>
    </row>
    <row r="134" customFormat="false" ht="15" hidden="false" customHeight="false" outlineLevel="0" collapsed="false">
      <c r="A134" s="46"/>
      <c r="B134" s="46"/>
      <c r="C134" s="47"/>
      <c r="D134" s="47"/>
      <c r="E134" s="46"/>
      <c r="F134" s="46"/>
      <c r="G134" s="47"/>
      <c r="H134" s="47"/>
      <c r="I134" s="47"/>
      <c r="J134" s="45" t="str">
        <f aca="false">IF($A134="","",IF(COUNTIF(Accounts!$C$2:$C$201,$A134)+COUNTIF('Service Principals'!$C$2:$C$201,$A134)+COUNTIF('Managed Identities'!$C$2:$C$201,$A134)&gt;0,"Yes","NOT IN INVENTORY"))</f>
        <v/>
      </c>
    </row>
    <row r="135" customFormat="false" ht="15" hidden="false" customHeight="false" outlineLevel="0" collapsed="false">
      <c r="A135" s="46"/>
      <c r="B135" s="46"/>
      <c r="C135" s="47"/>
      <c r="D135" s="47"/>
      <c r="E135" s="46"/>
      <c r="F135" s="46"/>
      <c r="G135" s="47"/>
      <c r="H135" s="47"/>
      <c r="I135" s="47"/>
      <c r="J135" s="45" t="str">
        <f aca="false">IF($A135="","",IF(COUNTIF(Accounts!$C$2:$C$201,$A135)+COUNTIF('Service Principals'!$C$2:$C$201,$A135)+COUNTIF('Managed Identities'!$C$2:$C$201,$A135)&gt;0,"Yes","NOT IN INVENTORY"))</f>
        <v/>
      </c>
    </row>
    <row r="136" customFormat="false" ht="15" hidden="false" customHeight="false" outlineLevel="0" collapsed="false">
      <c r="A136" s="46"/>
      <c r="B136" s="46"/>
      <c r="C136" s="47"/>
      <c r="D136" s="47"/>
      <c r="E136" s="46"/>
      <c r="F136" s="46"/>
      <c r="G136" s="47"/>
      <c r="H136" s="47"/>
      <c r="I136" s="47"/>
      <c r="J136" s="45" t="str">
        <f aca="false">IF($A136="","",IF(COUNTIF(Accounts!$C$2:$C$201,$A136)+COUNTIF('Service Principals'!$C$2:$C$201,$A136)+COUNTIF('Managed Identities'!$C$2:$C$201,$A136)&gt;0,"Yes","NOT IN INVENTORY"))</f>
        <v/>
      </c>
    </row>
    <row r="137" customFormat="false" ht="15" hidden="false" customHeight="false" outlineLevel="0" collapsed="false">
      <c r="A137" s="46"/>
      <c r="B137" s="46"/>
      <c r="C137" s="47"/>
      <c r="D137" s="47"/>
      <c r="E137" s="46"/>
      <c r="F137" s="46"/>
      <c r="G137" s="47"/>
      <c r="H137" s="47"/>
      <c r="I137" s="47"/>
      <c r="J137" s="45" t="str">
        <f aca="false">IF($A137="","",IF(COUNTIF(Accounts!$C$2:$C$201,$A137)+COUNTIF('Service Principals'!$C$2:$C$201,$A137)+COUNTIF('Managed Identities'!$C$2:$C$201,$A137)&gt;0,"Yes","NOT IN INVENTORY"))</f>
        <v/>
      </c>
    </row>
    <row r="138" customFormat="false" ht="15" hidden="false" customHeight="false" outlineLevel="0" collapsed="false">
      <c r="A138" s="46"/>
      <c r="B138" s="46"/>
      <c r="C138" s="47"/>
      <c r="D138" s="47"/>
      <c r="E138" s="46"/>
      <c r="F138" s="46"/>
      <c r="G138" s="47"/>
      <c r="H138" s="47"/>
      <c r="I138" s="47"/>
      <c r="J138" s="45" t="str">
        <f aca="false">IF($A138="","",IF(COUNTIF(Accounts!$C$2:$C$201,$A138)+COUNTIF('Service Principals'!$C$2:$C$201,$A138)+COUNTIF('Managed Identities'!$C$2:$C$201,$A138)&gt;0,"Yes","NOT IN INVENTORY"))</f>
        <v/>
      </c>
    </row>
    <row r="139" customFormat="false" ht="15" hidden="false" customHeight="false" outlineLevel="0" collapsed="false">
      <c r="A139" s="46"/>
      <c r="B139" s="46"/>
      <c r="C139" s="47"/>
      <c r="D139" s="47"/>
      <c r="E139" s="46"/>
      <c r="F139" s="46"/>
      <c r="G139" s="47"/>
      <c r="H139" s="47"/>
      <c r="I139" s="47"/>
      <c r="J139" s="45" t="str">
        <f aca="false">IF($A139="","",IF(COUNTIF(Accounts!$C$2:$C$201,$A139)+COUNTIF('Service Principals'!$C$2:$C$201,$A139)+COUNTIF('Managed Identities'!$C$2:$C$201,$A139)&gt;0,"Yes","NOT IN INVENTORY"))</f>
        <v/>
      </c>
    </row>
    <row r="140" customFormat="false" ht="15" hidden="false" customHeight="false" outlineLevel="0" collapsed="false">
      <c r="A140" s="46"/>
      <c r="B140" s="46"/>
      <c r="C140" s="47"/>
      <c r="D140" s="47"/>
      <c r="E140" s="46"/>
      <c r="F140" s="46"/>
      <c r="G140" s="47"/>
      <c r="H140" s="47"/>
      <c r="I140" s="47"/>
      <c r="J140" s="45" t="str">
        <f aca="false">IF($A140="","",IF(COUNTIF(Accounts!$C$2:$C$201,$A140)+COUNTIF('Service Principals'!$C$2:$C$201,$A140)+COUNTIF('Managed Identities'!$C$2:$C$201,$A140)&gt;0,"Yes","NOT IN INVENTORY"))</f>
        <v/>
      </c>
    </row>
    <row r="141" customFormat="false" ht="15" hidden="false" customHeight="false" outlineLevel="0" collapsed="false">
      <c r="A141" s="46"/>
      <c r="B141" s="46"/>
      <c r="C141" s="47"/>
      <c r="D141" s="47"/>
      <c r="E141" s="46"/>
      <c r="F141" s="46"/>
      <c r="G141" s="47"/>
      <c r="H141" s="47"/>
      <c r="I141" s="47"/>
      <c r="J141" s="45" t="str">
        <f aca="false">IF($A141="","",IF(COUNTIF(Accounts!$C$2:$C$201,$A141)+COUNTIF('Service Principals'!$C$2:$C$201,$A141)+COUNTIF('Managed Identities'!$C$2:$C$201,$A141)&gt;0,"Yes","NOT IN INVENTORY"))</f>
        <v/>
      </c>
    </row>
    <row r="142" customFormat="false" ht="15" hidden="false" customHeight="false" outlineLevel="0" collapsed="false">
      <c r="A142" s="46"/>
      <c r="B142" s="46"/>
      <c r="C142" s="47"/>
      <c r="D142" s="47"/>
      <c r="E142" s="46"/>
      <c r="F142" s="46"/>
      <c r="G142" s="47"/>
      <c r="H142" s="47"/>
      <c r="I142" s="47"/>
      <c r="J142" s="45" t="str">
        <f aca="false">IF($A142="","",IF(COUNTIF(Accounts!$C$2:$C$201,$A142)+COUNTIF('Service Principals'!$C$2:$C$201,$A142)+COUNTIF('Managed Identities'!$C$2:$C$201,$A142)&gt;0,"Yes","NOT IN INVENTORY"))</f>
        <v/>
      </c>
    </row>
    <row r="143" customFormat="false" ht="15" hidden="false" customHeight="false" outlineLevel="0" collapsed="false">
      <c r="A143" s="46"/>
      <c r="B143" s="46"/>
      <c r="C143" s="47"/>
      <c r="D143" s="47"/>
      <c r="E143" s="46"/>
      <c r="F143" s="46"/>
      <c r="G143" s="47"/>
      <c r="H143" s="47"/>
      <c r="I143" s="47"/>
      <c r="J143" s="45" t="str">
        <f aca="false">IF($A143="","",IF(COUNTIF(Accounts!$C$2:$C$201,$A143)+COUNTIF('Service Principals'!$C$2:$C$201,$A143)+COUNTIF('Managed Identities'!$C$2:$C$201,$A143)&gt;0,"Yes","NOT IN INVENTORY"))</f>
        <v/>
      </c>
    </row>
    <row r="144" customFormat="false" ht="15" hidden="false" customHeight="false" outlineLevel="0" collapsed="false">
      <c r="A144" s="46"/>
      <c r="B144" s="46"/>
      <c r="C144" s="47"/>
      <c r="D144" s="47"/>
      <c r="E144" s="46"/>
      <c r="F144" s="46"/>
      <c r="G144" s="47"/>
      <c r="H144" s="47"/>
      <c r="I144" s="47"/>
      <c r="J144" s="45" t="str">
        <f aca="false">IF($A144="","",IF(COUNTIF(Accounts!$C$2:$C$201,$A144)+COUNTIF('Service Principals'!$C$2:$C$201,$A144)+COUNTIF('Managed Identities'!$C$2:$C$201,$A144)&gt;0,"Yes","NOT IN INVENTORY"))</f>
        <v/>
      </c>
    </row>
    <row r="145" customFormat="false" ht="15" hidden="false" customHeight="false" outlineLevel="0" collapsed="false">
      <c r="A145" s="46"/>
      <c r="B145" s="46"/>
      <c r="C145" s="47"/>
      <c r="D145" s="47"/>
      <c r="E145" s="46"/>
      <c r="F145" s="46"/>
      <c r="G145" s="47"/>
      <c r="H145" s="47"/>
      <c r="I145" s="47"/>
      <c r="J145" s="45" t="str">
        <f aca="false">IF($A145="","",IF(COUNTIF(Accounts!$C$2:$C$201,$A145)+COUNTIF('Service Principals'!$C$2:$C$201,$A145)+COUNTIF('Managed Identities'!$C$2:$C$201,$A145)&gt;0,"Yes","NOT IN INVENTORY"))</f>
        <v/>
      </c>
    </row>
    <row r="146" customFormat="false" ht="15" hidden="false" customHeight="false" outlineLevel="0" collapsed="false">
      <c r="A146" s="46"/>
      <c r="B146" s="46"/>
      <c r="C146" s="47"/>
      <c r="D146" s="47"/>
      <c r="E146" s="46"/>
      <c r="F146" s="46"/>
      <c r="G146" s="47"/>
      <c r="H146" s="47"/>
      <c r="I146" s="47"/>
      <c r="J146" s="45" t="str">
        <f aca="false">IF($A146="","",IF(COUNTIF(Accounts!$C$2:$C$201,$A146)+COUNTIF('Service Principals'!$C$2:$C$201,$A146)+COUNTIF('Managed Identities'!$C$2:$C$201,$A146)&gt;0,"Yes","NOT IN INVENTORY"))</f>
        <v/>
      </c>
    </row>
    <row r="147" customFormat="false" ht="15" hidden="false" customHeight="false" outlineLevel="0" collapsed="false">
      <c r="A147" s="46"/>
      <c r="B147" s="46"/>
      <c r="C147" s="47"/>
      <c r="D147" s="47"/>
      <c r="E147" s="46"/>
      <c r="F147" s="46"/>
      <c r="G147" s="47"/>
      <c r="H147" s="47"/>
      <c r="I147" s="47"/>
      <c r="J147" s="45" t="str">
        <f aca="false">IF($A147="","",IF(COUNTIF(Accounts!$C$2:$C$201,$A147)+COUNTIF('Service Principals'!$C$2:$C$201,$A147)+COUNTIF('Managed Identities'!$C$2:$C$201,$A147)&gt;0,"Yes","NOT IN INVENTORY"))</f>
        <v/>
      </c>
    </row>
    <row r="148" customFormat="false" ht="15" hidden="false" customHeight="false" outlineLevel="0" collapsed="false">
      <c r="A148" s="46"/>
      <c r="B148" s="46"/>
      <c r="C148" s="47"/>
      <c r="D148" s="47"/>
      <c r="E148" s="46"/>
      <c r="F148" s="46"/>
      <c r="G148" s="47"/>
      <c r="H148" s="47"/>
      <c r="I148" s="47"/>
      <c r="J148" s="45" t="str">
        <f aca="false">IF($A148="","",IF(COUNTIF(Accounts!$C$2:$C$201,$A148)+COUNTIF('Service Principals'!$C$2:$C$201,$A148)+COUNTIF('Managed Identities'!$C$2:$C$201,$A148)&gt;0,"Yes","NOT IN INVENTORY"))</f>
        <v/>
      </c>
    </row>
    <row r="149" customFormat="false" ht="15" hidden="false" customHeight="false" outlineLevel="0" collapsed="false">
      <c r="A149" s="46"/>
      <c r="B149" s="46"/>
      <c r="C149" s="47"/>
      <c r="D149" s="47"/>
      <c r="E149" s="46"/>
      <c r="F149" s="46"/>
      <c r="G149" s="47"/>
      <c r="H149" s="47"/>
      <c r="I149" s="47"/>
      <c r="J149" s="45" t="str">
        <f aca="false">IF($A149="","",IF(COUNTIF(Accounts!$C$2:$C$201,$A149)+COUNTIF('Service Principals'!$C$2:$C$201,$A149)+COUNTIF('Managed Identities'!$C$2:$C$201,$A149)&gt;0,"Yes","NOT IN INVENTORY"))</f>
        <v/>
      </c>
    </row>
    <row r="150" customFormat="false" ht="15" hidden="false" customHeight="false" outlineLevel="0" collapsed="false">
      <c r="A150" s="46"/>
      <c r="B150" s="46"/>
      <c r="C150" s="47"/>
      <c r="D150" s="47"/>
      <c r="E150" s="46"/>
      <c r="F150" s="46"/>
      <c r="G150" s="47"/>
      <c r="H150" s="47"/>
      <c r="I150" s="47"/>
      <c r="J150" s="45" t="str">
        <f aca="false">IF($A150="","",IF(COUNTIF(Accounts!$C$2:$C$201,$A150)+COUNTIF('Service Principals'!$C$2:$C$201,$A150)+COUNTIF('Managed Identities'!$C$2:$C$201,$A150)&gt;0,"Yes","NOT IN INVENTORY"))</f>
        <v/>
      </c>
    </row>
    <row r="151" customFormat="false" ht="15" hidden="false" customHeight="false" outlineLevel="0" collapsed="false">
      <c r="A151" s="46"/>
      <c r="B151" s="46"/>
      <c r="C151" s="47"/>
      <c r="D151" s="47"/>
      <c r="E151" s="46"/>
      <c r="F151" s="46"/>
      <c r="G151" s="47"/>
      <c r="H151" s="47"/>
      <c r="I151" s="47"/>
      <c r="J151" s="45" t="str">
        <f aca="false">IF($A151="","",IF(COUNTIF(Accounts!$C$2:$C$201,$A151)+COUNTIF('Service Principals'!$C$2:$C$201,$A151)+COUNTIF('Managed Identities'!$C$2:$C$201,$A151)&gt;0,"Yes","NOT IN INVENTORY"))</f>
        <v/>
      </c>
    </row>
    <row r="152" customFormat="false" ht="15" hidden="false" customHeight="false" outlineLevel="0" collapsed="false">
      <c r="A152" s="46"/>
      <c r="B152" s="46"/>
      <c r="C152" s="47"/>
      <c r="D152" s="47"/>
      <c r="E152" s="46"/>
      <c r="F152" s="46"/>
      <c r="G152" s="47"/>
      <c r="H152" s="47"/>
      <c r="I152" s="47"/>
      <c r="J152" s="45" t="str">
        <f aca="false">IF($A152="","",IF(COUNTIF(Accounts!$C$2:$C$201,$A152)+COUNTIF('Service Principals'!$C$2:$C$201,$A152)+COUNTIF('Managed Identities'!$C$2:$C$201,$A152)&gt;0,"Yes","NOT IN INVENTORY"))</f>
        <v/>
      </c>
    </row>
    <row r="153" customFormat="false" ht="15" hidden="false" customHeight="false" outlineLevel="0" collapsed="false">
      <c r="A153" s="46"/>
      <c r="B153" s="46"/>
      <c r="C153" s="47"/>
      <c r="D153" s="47"/>
      <c r="E153" s="46"/>
      <c r="F153" s="46"/>
      <c r="G153" s="47"/>
      <c r="H153" s="47"/>
      <c r="I153" s="47"/>
      <c r="J153" s="45" t="str">
        <f aca="false">IF($A153="","",IF(COUNTIF(Accounts!$C$2:$C$201,$A153)+COUNTIF('Service Principals'!$C$2:$C$201,$A153)+COUNTIF('Managed Identities'!$C$2:$C$201,$A153)&gt;0,"Yes","NOT IN INVENTORY"))</f>
        <v/>
      </c>
    </row>
    <row r="154" customFormat="false" ht="15" hidden="false" customHeight="false" outlineLevel="0" collapsed="false">
      <c r="A154" s="46"/>
      <c r="B154" s="46"/>
      <c r="C154" s="47"/>
      <c r="D154" s="47"/>
      <c r="E154" s="46"/>
      <c r="F154" s="46"/>
      <c r="G154" s="47"/>
      <c r="H154" s="47"/>
      <c r="I154" s="47"/>
      <c r="J154" s="45" t="str">
        <f aca="false">IF($A154="","",IF(COUNTIF(Accounts!$C$2:$C$201,$A154)+COUNTIF('Service Principals'!$C$2:$C$201,$A154)+COUNTIF('Managed Identities'!$C$2:$C$201,$A154)&gt;0,"Yes","NOT IN INVENTORY"))</f>
        <v/>
      </c>
    </row>
    <row r="155" customFormat="false" ht="15" hidden="false" customHeight="false" outlineLevel="0" collapsed="false">
      <c r="A155" s="46"/>
      <c r="B155" s="46"/>
      <c r="C155" s="47"/>
      <c r="D155" s="47"/>
      <c r="E155" s="46"/>
      <c r="F155" s="46"/>
      <c r="G155" s="47"/>
      <c r="H155" s="47"/>
      <c r="I155" s="47"/>
      <c r="J155" s="45" t="str">
        <f aca="false">IF($A155="","",IF(COUNTIF(Accounts!$C$2:$C$201,$A155)+COUNTIF('Service Principals'!$C$2:$C$201,$A155)+COUNTIF('Managed Identities'!$C$2:$C$201,$A155)&gt;0,"Yes","NOT IN INVENTORY"))</f>
        <v/>
      </c>
    </row>
    <row r="156" customFormat="false" ht="15" hidden="false" customHeight="false" outlineLevel="0" collapsed="false">
      <c r="A156" s="46"/>
      <c r="B156" s="46"/>
      <c r="C156" s="47"/>
      <c r="D156" s="47"/>
      <c r="E156" s="46"/>
      <c r="F156" s="46"/>
      <c r="G156" s="47"/>
      <c r="H156" s="47"/>
      <c r="I156" s="47"/>
      <c r="J156" s="45" t="str">
        <f aca="false">IF($A156="","",IF(COUNTIF(Accounts!$C$2:$C$201,$A156)+COUNTIF('Service Principals'!$C$2:$C$201,$A156)+COUNTIF('Managed Identities'!$C$2:$C$201,$A156)&gt;0,"Yes","NOT IN INVENTORY"))</f>
        <v/>
      </c>
    </row>
    <row r="157" customFormat="false" ht="15" hidden="false" customHeight="false" outlineLevel="0" collapsed="false">
      <c r="A157" s="46"/>
      <c r="B157" s="46"/>
      <c r="C157" s="47"/>
      <c r="D157" s="47"/>
      <c r="E157" s="46"/>
      <c r="F157" s="46"/>
      <c r="G157" s="47"/>
      <c r="H157" s="47"/>
      <c r="I157" s="47"/>
      <c r="J157" s="45" t="str">
        <f aca="false">IF($A157="","",IF(COUNTIF(Accounts!$C$2:$C$201,$A157)+COUNTIF('Service Principals'!$C$2:$C$201,$A157)+COUNTIF('Managed Identities'!$C$2:$C$201,$A157)&gt;0,"Yes","NOT IN INVENTORY"))</f>
        <v/>
      </c>
    </row>
    <row r="158" customFormat="false" ht="15" hidden="false" customHeight="false" outlineLevel="0" collapsed="false">
      <c r="A158" s="46"/>
      <c r="B158" s="46"/>
      <c r="C158" s="47"/>
      <c r="D158" s="47"/>
      <c r="E158" s="46"/>
      <c r="F158" s="46"/>
      <c r="G158" s="47"/>
      <c r="H158" s="47"/>
      <c r="I158" s="47"/>
      <c r="J158" s="45" t="str">
        <f aca="false">IF($A158="","",IF(COUNTIF(Accounts!$C$2:$C$201,$A158)+COUNTIF('Service Principals'!$C$2:$C$201,$A158)+COUNTIF('Managed Identities'!$C$2:$C$201,$A158)&gt;0,"Yes","NOT IN INVENTORY"))</f>
        <v/>
      </c>
    </row>
    <row r="159" customFormat="false" ht="15" hidden="false" customHeight="false" outlineLevel="0" collapsed="false">
      <c r="A159" s="46"/>
      <c r="B159" s="46"/>
      <c r="C159" s="47"/>
      <c r="D159" s="47"/>
      <c r="E159" s="46"/>
      <c r="F159" s="46"/>
      <c r="G159" s="47"/>
      <c r="H159" s="47"/>
      <c r="I159" s="47"/>
      <c r="J159" s="45" t="str">
        <f aca="false">IF($A159="","",IF(COUNTIF(Accounts!$C$2:$C$201,$A159)+COUNTIF('Service Principals'!$C$2:$C$201,$A159)+COUNTIF('Managed Identities'!$C$2:$C$201,$A159)&gt;0,"Yes","NOT IN INVENTORY"))</f>
        <v/>
      </c>
    </row>
    <row r="160" customFormat="false" ht="15" hidden="false" customHeight="false" outlineLevel="0" collapsed="false">
      <c r="A160" s="46"/>
      <c r="B160" s="46"/>
      <c r="C160" s="47"/>
      <c r="D160" s="47"/>
      <c r="E160" s="46"/>
      <c r="F160" s="46"/>
      <c r="G160" s="47"/>
      <c r="H160" s="47"/>
      <c r="I160" s="47"/>
      <c r="J160" s="45" t="str">
        <f aca="false">IF($A160="","",IF(COUNTIF(Accounts!$C$2:$C$201,$A160)+COUNTIF('Service Principals'!$C$2:$C$201,$A160)+COUNTIF('Managed Identities'!$C$2:$C$201,$A160)&gt;0,"Yes","NOT IN INVENTORY"))</f>
        <v/>
      </c>
    </row>
    <row r="161" customFormat="false" ht="15" hidden="false" customHeight="false" outlineLevel="0" collapsed="false">
      <c r="A161" s="46"/>
      <c r="B161" s="46"/>
      <c r="C161" s="47"/>
      <c r="D161" s="47"/>
      <c r="E161" s="46"/>
      <c r="F161" s="46"/>
      <c r="G161" s="47"/>
      <c r="H161" s="47"/>
      <c r="I161" s="47"/>
      <c r="J161" s="45" t="str">
        <f aca="false">IF($A161="","",IF(COUNTIF(Accounts!$C$2:$C$201,$A161)+COUNTIF('Service Principals'!$C$2:$C$201,$A161)+COUNTIF('Managed Identities'!$C$2:$C$201,$A161)&gt;0,"Yes","NOT IN INVENTORY"))</f>
        <v/>
      </c>
    </row>
    <row r="162" customFormat="false" ht="15" hidden="false" customHeight="false" outlineLevel="0" collapsed="false">
      <c r="A162" s="46"/>
      <c r="B162" s="46"/>
      <c r="C162" s="47"/>
      <c r="D162" s="47"/>
      <c r="E162" s="46"/>
      <c r="F162" s="46"/>
      <c r="G162" s="47"/>
      <c r="H162" s="47"/>
      <c r="I162" s="47"/>
      <c r="J162" s="45" t="str">
        <f aca="false">IF($A162="","",IF(COUNTIF(Accounts!$C$2:$C$201,$A162)+COUNTIF('Service Principals'!$C$2:$C$201,$A162)+COUNTIF('Managed Identities'!$C$2:$C$201,$A162)&gt;0,"Yes","NOT IN INVENTORY"))</f>
        <v/>
      </c>
    </row>
    <row r="163" customFormat="false" ht="15" hidden="false" customHeight="false" outlineLevel="0" collapsed="false">
      <c r="A163" s="46"/>
      <c r="B163" s="46"/>
      <c r="C163" s="47"/>
      <c r="D163" s="47"/>
      <c r="E163" s="46"/>
      <c r="F163" s="46"/>
      <c r="G163" s="47"/>
      <c r="H163" s="47"/>
      <c r="I163" s="47"/>
      <c r="J163" s="45" t="str">
        <f aca="false">IF($A163="","",IF(COUNTIF(Accounts!$C$2:$C$201,$A163)+COUNTIF('Service Principals'!$C$2:$C$201,$A163)+COUNTIF('Managed Identities'!$C$2:$C$201,$A163)&gt;0,"Yes","NOT IN INVENTORY"))</f>
        <v/>
      </c>
    </row>
    <row r="164" customFormat="false" ht="15" hidden="false" customHeight="false" outlineLevel="0" collapsed="false">
      <c r="A164" s="46"/>
      <c r="B164" s="46"/>
      <c r="C164" s="47"/>
      <c r="D164" s="47"/>
      <c r="E164" s="46"/>
      <c r="F164" s="46"/>
      <c r="G164" s="47"/>
      <c r="H164" s="47"/>
      <c r="I164" s="47"/>
      <c r="J164" s="45" t="str">
        <f aca="false">IF($A164="","",IF(COUNTIF(Accounts!$C$2:$C$201,$A164)+COUNTIF('Service Principals'!$C$2:$C$201,$A164)+COUNTIF('Managed Identities'!$C$2:$C$201,$A164)&gt;0,"Yes","NOT IN INVENTORY"))</f>
        <v/>
      </c>
    </row>
    <row r="165" customFormat="false" ht="15" hidden="false" customHeight="false" outlineLevel="0" collapsed="false">
      <c r="A165" s="46"/>
      <c r="B165" s="46"/>
      <c r="C165" s="47"/>
      <c r="D165" s="47"/>
      <c r="E165" s="46"/>
      <c r="F165" s="46"/>
      <c r="G165" s="47"/>
      <c r="H165" s="47"/>
      <c r="I165" s="47"/>
      <c r="J165" s="45" t="str">
        <f aca="false">IF($A165="","",IF(COUNTIF(Accounts!$C$2:$C$201,$A165)+COUNTIF('Service Principals'!$C$2:$C$201,$A165)+COUNTIF('Managed Identities'!$C$2:$C$201,$A165)&gt;0,"Yes","NOT IN INVENTORY"))</f>
        <v/>
      </c>
    </row>
    <row r="166" customFormat="false" ht="15" hidden="false" customHeight="false" outlineLevel="0" collapsed="false">
      <c r="A166" s="46"/>
      <c r="B166" s="46"/>
      <c r="C166" s="47"/>
      <c r="D166" s="47"/>
      <c r="E166" s="46"/>
      <c r="F166" s="46"/>
      <c r="G166" s="47"/>
      <c r="H166" s="47"/>
      <c r="I166" s="47"/>
      <c r="J166" s="45" t="str">
        <f aca="false">IF($A166="","",IF(COUNTIF(Accounts!$C$2:$C$201,$A166)+COUNTIF('Service Principals'!$C$2:$C$201,$A166)+COUNTIF('Managed Identities'!$C$2:$C$201,$A166)&gt;0,"Yes","NOT IN INVENTORY"))</f>
        <v/>
      </c>
    </row>
    <row r="167" customFormat="false" ht="15" hidden="false" customHeight="false" outlineLevel="0" collapsed="false">
      <c r="A167" s="46"/>
      <c r="B167" s="46"/>
      <c r="C167" s="47"/>
      <c r="D167" s="47"/>
      <c r="E167" s="46"/>
      <c r="F167" s="46"/>
      <c r="G167" s="47"/>
      <c r="H167" s="47"/>
      <c r="I167" s="47"/>
      <c r="J167" s="45" t="str">
        <f aca="false">IF($A167="","",IF(COUNTIF(Accounts!$C$2:$C$201,$A167)+COUNTIF('Service Principals'!$C$2:$C$201,$A167)+COUNTIF('Managed Identities'!$C$2:$C$201,$A167)&gt;0,"Yes","NOT IN INVENTORY"))</f>
        <v/>
      </c>
    </row>
    <row r="168" customFormat="false" ht="15" hidden="false" customHeight="false" outlineLevel="0" collapsed="false">
      <c r="A168" s="46"/>
      <c r="B168" s="46"/>
      <c r="C168" s="47"/>
      <c r="D168" s="47"/>
      <c r="E168" s="46"/>
      <c r="F168" s="46"/>
      <c r="G168" s="47"/>
      <c r="H168" s="47"/>
      <c r="I168" s="47"/>
      <c r="J168" s="45" t="str">
        <f aca="false">IF($A168="","",IF(COUNTIF(Accounts!$C$2:$C$201,$A168)+COUNTIF('Service Principals'!$C$2:$C$201,$A168)+COUNTIF('Managed Identities'!$C$2:$C$201,$A168)&gt;0,"Yes","NOT IN INVENTORY"))</f>
        <v/>
      </c>
    </row>
    <row r="169" customFormat="false" ht="15" hidden="false" customHeight="false" outlineLevel="0" collapsed="false">
      <c r="A169" s="46"/>
      <c r="B169" s="46"/>
      <c r="C169" s="47"/>
      <c r="D169" s="47"/>
      <c r="E169" s="46"/>
      <c r="F169" s="46"/>
      <c r="G169" s="47"/>
      <c r="H169" s="47"/>
      <c r="I169" s="47"/>
      <c r="J169" s="45" t="str">
        <f aca="false">IF($A169="","",IF(COUNTIF(Accounts!$C$2:$C$201,$A169)+COUNTIF('Service Principals'!$C$2:$C$201,$A169)+COUNTIF('Managed Identities'!$C$2:$C$201,$A169)&gt;0,"Yes","NOT IN INVENTORY"))</f>
        <v/>
      </c>
    </row>
    <row r="170" customFormat="false" ht="15" hidden="false" customHeight="false" outlineLevel="0" collapsed="false">
      <c r="A170" s="46"/>
      <c r="B170" s="46"/>
      <c r="C170" s="47"/>
      <c r="D170" s="47"/>
      <c r="E170" s="46"/>
      <c r="F170" s="46"/>
      <c r="G170" s="47"/>
      <c r="H170" s="47"/>
      <c r="I170" s="47"/>
      <c r="J170" s="45" t="str">
        <f aca="false">IF($A170="","",IF(COUNTIF(Accounts!$C$2:$C$201,$A170)+COUNTIF('Service Principals'!$C$2:$C$201,$A170)+COUNTIF('Managed Identities'!$C$2:$C$201,$A170)&gt;0,"Yes","NOT IN INVENTORY"))</f>
        <v/>
      </c>
    </row>
    <row r="171" customFormat="false" ht="15" hidden="false" customHeight="false" outlineLevel="0" collapsed="false">
      <c r="A171" s="46"/>
      <c r="B171" s="46"/>
      <c r="C171" s="47"/>
      <c r="D171" s="47"/>
      <c r="E171" s="46"/>
      <c r="F171" s="46"/>
      <c r="G171" s="47"/>
      <c r="H171" s="47"/>
      <c r="I171" s="47"/>
      <c r="J171" s="45" t="str">
        <f aca="false">IF($A171="","",IF(COUNTIF(Accounts!$C$2:$C$201,$A171)+COUNTIF('Service Principals'!$C$2:$C$201,$A171)+COUNTIF('Managed Identities'!$C$2:$C$201,$A171)&gt;0,"Yes","NOT IN INVENTORY"))</f>
        <v/>
      </c>
    </row>
    <row r="172" customFormat="false" ht="15" hidden="false" customHeight="false" outlineLevel="0" collapsed="false">
      <c r="A172" s="46"/>
      <c r="B172" s="46"/>
      <c r="C172" s="47"/>
      <c r="D172" s="47"/>
      <c r="E172" s="46"/>
      <c r="F172" s="46"/>
      <c r="G172" s="47"/>
      <c r="H172" s="47"/>
      <c r="I172" s="47"/>
      <c r="J172" s="45" t="str">
        <f aca="false">IF($A172="","",IF(COUNTIF(Accounts!$C$2:$C$201,$A172)+COUNTIF('Service Principals'!$C$2:$C$201,$A172)+COUNTIF('Managed Identities'!$C$2:$C$201,$A172)&gt;0,"Yes","NOT IN INVENTORY"))</f>
        <v/>
      </c>
    </row>
    <row r="173" customFormat="false" ht="15" hidden="false" customHeight="false" outlineLevel="0" collapsed="false">
      <c r="A173" s="46"/>
      <c r="B173" s="46"/>
      <c r="C173" s="47"/>
      <c r="D173" s="47"/>
      <c r="E173" s="46"/>
      <c r="F173" s="46"/>
      <c r="G173" s="47"/>
      <c r="H173" s="47"/>
      <c r="I173" s="47"/>
      <c r="J173" s="45" t="str">
        <f aca="false">IF($A173="","",IF(COUNTIF(Accounts!$C$2:$C$201,$A173)+COUNTIF('Service Principals'!$C$2:$C$201,$A173)+COUNTIF('Managed Identities'!$C$2:$C$201,$A173)&gt;0,"Yes","NOT IN INVENTORY"))</f>
        <v/>
      </c>
    </row>
    <row r="174" customFormat="false" ht="15" hidden="false" customHeight="false" outlineLevel="0" collapsed="false">
      <c r="A174" s="46"/>
      <c r="B174" s="46"/>
      <c r="C174" s="47"/>
      <c r="D174" s="47"/>
      <c r="E174" s="46"/>
      <c r="F174" s="46"/>
      <c r="G174" s="47"/>
      <c r="H174" s="47"/>
      <c r="I174" s="47"/>
      <c r="J174" s="45" t="str">
        <f aca="false">IF($A174="","",IF(COUNTIF(Accounts!$C$2:$C$201,$A174)+COUNTIF('Service Principals'!$C$2:$C$201,$A174)+COUNTIF('Managed Identities'!$C$2:$C$201,$A174)&gt;0,"Yes","NOT IN INVENTORY"))</f>
        <v/>
      </c>
    </row>
    <row r="175" customFormat="false" ht="15" hidden="false" customHeight="false" outlineLevel="0" collapsed="false">
      <c r="A175" s="46"/>
      <c r="B175" s="46"/>
      <c r="C175" s="47"/>
      <c r="D175" s="47"/>
      <c r="E175" s="46"/>
      <c r="F175" s="46"/>
      <c r="G175" s="47"/>
      <c r="H175" s="47"/>
      <c r="I175" s="47"/>
      <c r="J175" s="45" t="str">
        <f aca="false">IF($A175="","",IF(COUNTIF(Accounts!$C$2:$C$201,$A175)+COUNTIF('Service Principals'!$C$2:$C$201,$A175)+COUNTIF('Managed Identities'!$C$2:$C$201,$A175)&gt;0,"Yes","NOT IN INVENTORY"))</f>
        <v/>
      </c>
    </row>
    <row r="176" customFormat="false" ht="15" hidden="false" customHeight="false" outlineLevel="0" collapsed="false">
      <c r="A176" s="46"/>
      <c r="B176" s="46"/>
      <c r="C176" s="47"/>
      <c r="D176" s="47"/>
      <c r="E176" s="46"/>
      <c r="F176" s="46"/>
      <c r="G176" s="47"/>
      <c r="H176" s="47"/>
      <c r="I176" s="47"/>
      <c r="J176" s="45" t="str">
        <f aca="false">IF($A176="","",IF(COUNTIF(Accounts!$C$2:$C$201,$A176)+COUNTIF('Service Principals'!$C$2:$C$201,$A176)+COUNTIF('Managed Identities'!$C$2:$C$201,$A176)&gt;0,"Yes","NOT IN INVENTORY"))</f>
        <v/>
      </c>
    </row>
    <row r="177" customFormat="false" ht="15" hidden="false" customHeight="false" outlineLevel="0" collapsed="false">
      <c r="A177" s="46"/>
      <c r="B177" s="46"/>
      <c r="C177" s="47"/>
      <c r="D177" s="47"/>
      <c r="E177" s="46"/>
      <c r="F177" s="46"/>
      <c r="G177" s="47"/>
      <c r="H177" s="47"/>
      <c r="I177" s="47"/>
      <c r="J177" s="45" t="str">
        <f aca="false">IF($A177="","",IF(COUNTIF(Accounts!$C$2:$C$201,$A177)+COUNTIF('Service Principals'!$C$2:$C$201,$A177)+COUNTIF('Managed Identities'!$C$2:$C$201,$A177)&gt;0,"Yes","NOT IN INVENTORY"))</f>
        <v/>
      </c>
    </row>
    <row r="178" customFormat="false" ht="15" hidden="false" customHeight="false" outlineLevel="0" collapsed="false">
      <c r="A178" s="46"/>
      <c r="B178" s="46"/>
      <c r="C178" s="47"/>
      <c r="D178" s="47"/>
      <c r="E178" s="46"/>
      <c r="F178" s="46"/>
      <c r="G178" s="47"/>
      <c r="H178" s="47"/>
      <c r="I178" s="47"/>
      <c r="J178" s="45" t="str">
        <f aca="false">IF($A178="","",IF(COUNTIF(Accounts!$C$2:$C$201,$A178)+COUNTIF('Service Principals'!$C$2:$C$201,$A178)+COUNTIF('Managed Identities'!$C$2:$C$201,$A178)&gt;0,"Yes","NOT IN INVENTORY"))</f>
        <v/>
      </c>
    </row>
    <row r="179" customFormat="false" ht="15" hidden="false" customHeight="false" outlineLevel="0" collapsed="false">
      <c r="A179" s="46"/>
      <c r="B179" s="46"/>
      <c r="C179" s="47"/>
      <c r="D179" s="47"/>
      <c r="E179" s="46"/>
      <c r="F179" s="46"/>
      <c r="G179" s="47"/>
      <c r="H179" s="47"/>
      <c r="I179" s="47"/>
      <c r="J179" s="45" t="str">
        <f aca="false">IF($A179="","",IF(COUNTIF(Accounts!$C$2:$C$201,$A179)+COUNTIF('Service Principals'!$C$2:$C$201,$A179)+COUNTIF('Managed Identities'!$C$2:$C$201,$A179)&gt;0,"Yes","NOT IN INVENTORY"))</f>
        <v/>
      </c>
    </row>
    <row r="180" customFormat="false" ht="15" hidden="false" customHeight="false" outlineLevel="0" collapsed="false">
      <c r="A180" s="46"/>
      <c r="B180" s="46"/>
      <c r="C180" s="47"/>
      <c r="D180" s="47"/>
      <c r="E180" s="46"/>
      <c r="F180" s="46"/>
      <c r="G180" s="47"/>
      <c r="H180" s="47"/>
      <c r="I180" s="47"/>
      <c r="J180" s="45" t="str">
        <f aca="false">IF($A180="","",IF(COUNTIF(Accounts!$C$2:$C$201,$A180)+COUNTIF('Service Principals'!$C$2:$C$201,$A180)+COUNTIF('Managed Identities'!$C$2:$C$201,$A180)&gt;0,"Yes","NOT IN INVENTORY"))</f>
        <v/>
      </c>
    </row>
    <row r="181" customFormat="false" ht="15" hidden="false" customHeight="false" outlineLevel="0" collapsed="false">
      <c r="A181" s="46"/>
      <c r="B181" s="46"/>
      <c r="C181" s="47"/>
      <c r="D181" s="47"/>
      <c r="E181" s="46"/>
      <c r="F181" s="46"/>
      <c r="G181" s="47"/>
      <c r="H181" s="47"/>
      <c r="I181" s="47"/>
      <c r="J181" s="45" t="str">
        <f aca="false">IF($A181="","",IF(COUNTIF(Accounts!$C$2:$C$201,$A181)+COUNTIF('Service Principals'!$C$2:$C$201,$A181)+COUNTIF('Managed Identities'!$C$2:$C$201,$A181)&gt;0,"Yes","NOT IN INVENTORY"))</f>
        <v/>
      </c>
    </row>
    <row r="182" customFormat="false" ht="15" hidden="false" customHeight="false" outlineLevel="0" collapsed="false">
      <c r="A182" s="46"/>
      <c r="B182" s="46"/>
      <c r="C182" s="47"/>
      <c r="D182" s="47"/>
      <c r="E182" s="46"/>
      <c r="F182" s="46"/>
      <c r="G182" s="47"/>
      <c r="H182" s="47"/>
      <c r="I182" s="47"/>
      <c r="J182" s="45" t="str">
        <f aca="false">IF($A182="","",IF(COUNTIF(Accounts!$C$2:$C$201,$A182)+COUNTIF('Service Principals'!$C$2:$C$201,$A182)+COUNTIF('Managed Identities'!$C$2:$C$201,$A182)&gt;0,"Yes","NOT IN INVENTORY"))</f>
        <v/>
      </c>
    </row>
    <row r="183" customFormat="false" ht="15" hidden="false" customHeight="false" outlineLevel="0" collapsed="false">
      <c r="A183" s="46"/>
      <c r="B183" s="46"/>
      <c r="C183" s="47"/>
      <c r="D183" s="47"/>
      <c r="E183" s="46"/>
      <c r="F183" s="46"/>
      <c r="G183" s="47"/>
      <c r="H183" s="47"/>
      <c r="I183" s="47"/>
      <c r="J183" s="45" t="str">
        <f aca="false">IF($A183="","",IF(COUNTIF(Accounts!$C$2:$C$201,$A183)+COUNTIF('Service Principals'!$C$2:$C$201,$A183)+COUNTIF('Managed Identities'!$C$2:$C$201,$A183)&gt;0,"Yes","NOT IN INVENTORY"))</f>
        <v/>
      </c>
    </row>
    <row r="184" customFormat="false" ht="15" hidden="false" customHeight="false" outlineLevel="0" collapsed="false">
      <c r="A184" s="46"/>
      <c r="B184" s="46"/>
      <c r="C184" s="47"/>
      <c r="D184" s="47"/>
      <c r="E184" s="46"/>
      <c r="F184" s="46"/>
      <c r="G184" s="47"/>
      <c r="H184" s="47"/>
      <c r="I184" s="47"/>
      <c r="J184" s="45" t="str">
        <f aca="false">IF($A184="","",IF(COUNTIF(Accounts!$C$2:$C$201,$A184)+COUNTIF('Service Principals'!$C$2:$C$201,$A184)+COUNTIF('Managed Identities'!$C$2:$C$201,$A184)&gt;0,"Yes","NOT IN INVENTORY"))</f>
        <v/>
      </c>
    </row>
    <row r="185" customFormat="false" ht="15" hidden="false" customHeight="false" outlineLevel="0" collapsed="false">
      <c r="A185" s="46"/>
      <c r="B185" s="46"/>
      <c r="C185" s="47"/>
      <c r="D185" s="47"/>
      <c r="E185" s="46"/>
      <c r="F185" s="46"/>
      <c r="G185" s="47"/>
      <c r="H185" s="47"/>
      <c r="I185" s="47"/>
      <c r="J185" s="45" t="str">
        <f aca="false">IF($A185="","",IF(COUNTIF(Accounts!$C$2:$C$201,$A185)+COUNTIF('Service Principals'!$C$2:$C$201,$A185)+COUNTIF('Managed Identities'!$C$2:$C$201,$A185)&gt;0,"Yes","NOT IN INVENTORY"))</f>
        <v/>
      </c>
    </row>
    <row r="186" customFormat="false" ht="15" hidden="false" customHeight="false" outlineLevel="0" collapsed="false">
      <c r="A186" s="46"/>
      <c r="B186" s="46"/>
      <c r="C186" s="47"/>
      <c r="D186" s="47"/>
      <c r="E186" s="46"/>
      <c r="F186" s="46"/>
      <c r="G186" s="47"/>
      <c r="H186" s="47"/>
      <c r="I186" s="47"/>
      <c r="J186" s="45" t="str">
        <f aca="false">IF($A186="","",IF(COUNTIF(Accounts!$C$2:$C$201,$A186)+COUNTIF('Service Principals'!$C$2:$C$201,$A186)+COUNTIF('Managed Identities'!$C$2:$C$201,$A186)&gt;0,"Yes","NOT IN INVENTORY"))</f>
        <v/>
      </c>
    </row>
    <row r="187" customFormat="false" ht="15" hidden="false" customHeight="false" outlineLevel="0" collapsed="false">
      <c r="A187" s="46"/>
      <c r="B187" s="46"/>
      <c r="C187" s="47"/>
      <c r="D187" s="47"/>
      <c r="E187" s="46"/>
      <c r="F187" s="46"/>
      <c r="G187" s="47"/>
      <c r="H187" s="47"/>
      <c r="I187" s="47"/>
      <c r="J187" s="45" t="str">
        <f aca="false">IF($A187="","",IF(COUNTIF(Accounts!$C$2:$C$201,$A187)+COUNTIF('Service Principals'!$C$2:$C$201,$A187)+COUNTIF('Managed Identities'!$C$2:$C$201,$A187)&gt;0,"Yes","NOT IN INVENTORY"))</f>
        <v/>
      </c>
    </row>
    <row r="188" customFormat="false" ht="15" hidden="false" customHeight="false" outlineLevel="0" collapsed="false">
      <c r="A188" s="46"/>
      <c r="B188" s="46"/>
      <c r="C188" s="47"/>
      <c r="D188" s="47"/>
      <c r="E188" s="46"/>
      <c r="F188" s="46"/>
      <c r="G188" s="47"/>
      <c r="H188" s="47"/>
      <c r="I188" s="47"/>
      <c r="J188" s="45" t="str">
        <f aca="false">IF($A188="","",IF(COUNTIF(Accounts!$C$2:$C$201,$A188)+COUNTIF('Service Principals'!$C$2:$C$201,$A188)+COUNTIF('Managed Identities'!$C$2:$C$201,$A188)&gt;0,"Yes","NOT IN INVENTORY"))</f>
        <v/>
      </c>
    </row>
    <row r="189" customFormat="false" ht="15" hidden="false" customHeight="false" outlineLevel="0" collapsed="false">
      <c r="A189" s="46"/>
      <c r="B189" s="46"/>
      <c r="C189" s="47"/>
      <c r="D189" s="47"/>
      <c r="E189" s="46"/>
      <c r="F189" s="46"/>
      <c r="G189" s="47"/>
      <c r="H189" s="47"/>
      <c r="I189" s="47"/>
      <c r="J189" s="45" t="str">
        <f aca="false">IF($A189="","",IF(COUNTIF(Accounts!$C$2:$C$201,$A189)+COUNTIF('Service Principals'!$C$2:$C$201,$A189)+COUNTIF('Managed Identities'!$C$2:$C$201,$A189)&gt;0,"Yes","NOT IN INVENTORY"))</f>
        <v/>
      </c>
    </row>
    <row r="190" customFormat="false" ht="15" hidden="false" customHeight="false" outlineLevel="0" collapsed="false">
      <c r="A190" s="46"/>
      <c r="B190" s="46"/>
      <c r="C190" s="47"/>
      <c r="D190" s="47"/>
      <c r="E190" s="46"/>
      <c r="F190" s="46"/>
      <c r="G190" s="47"/>
      <c r="H190" s="47"/>
      <c r="I190" s="47"/>
      <c r="J190" s="45" t="str">
        <f aca="false">IF($A190="","",IF(COUNTIF(Accounts!$C$2:$C$201,$A190)+COUNTIF('Service Principals'!$C$2:$C$201,$A190)+COUNTIF('Managed Identities'!$C$2:$C$201,$A190)&gt;0,"Yes","NOT IN INVENTORY"))</f>
        <v/>
      </c>
    </row>
    <row r="191" customFormat="false" ht="15" hidden="false" customHeight="false" outlineLevel="0" collapsed="false">
      <c r="A191" s="46"/>
      <c r="B191" s="46"/>
      <c r="C191" s="47"/>
      <c r="D191" s="47"/>
      <c r="E191" s="46"/>
      <c r="F191" s="46"/>
      <c r="G191" s="47"/>
      <c r="H191" s="47"/>
      <c r="I191" s="47"/>
      <c r="J191" s="45" t="str">
        <f aca="false">IF($A191="","",IF(COUNTIF(Accounts!$C$2:$C$201,$A191)+COUNTIF('Service Principals'!$C$2:$C$201,$A191)+COUNTIF('Managed Identities'!$C$2:$C$201,$A191)&gt;0,"Yes","NOT IN INVENTORY"))</f>
        <v/>
      </c>
    </row>
    <row r="192" customFormat="false" ht="15" hidden="false" customHeight="false" outlineLevel="0" collapsed="false">
      <c r="A192" s="46"/>
      <c r="B192" s="46"/>
      <c r="C192" s="47"/>
      <c r="D192" s="47"/>
      <c r="E192" s="46"/>
      <c r="F192" s="46"/>
      <c r="G192" s="47"/>
      <c r="H192" s="47"/>
      <c r="I192" s="47"/>
      <c r="J192" s="45" t="str">
        <f aca="false">IF($A192="","",IF(COUNTIF(Accounts!$C$2:$C$201,$A192)+COUNTIF('Service Principals'!$C$2:$C$201,$A192)+COUNTIF('Managed Identities'!$C$2:$C$201,$A192)&gt;0,"Yes","NOT IN INVENTORY"))</f>
        <v/>
      </c>
    </row>
    <row r="193" customFormat="false" ht="15" hidden="false" customHeight="false" outlineLevel="0" collapsed="false">
      <c r="A193" s="46"/>
      <c r="B193" s="46"/>
      <c r="C193" s="47"/>
      <c r="D193" s="47"/>
      <c r="E193" s="46"/>
      <c r="F193" s="46"/>
      <c r="G193" s="47"/>
      <c r="H193" s="47"/>
      <c r="I193" s="47"/>
      <c r="J193" s="45" t="str">
        <f aca="false">IF($A193="","",IF(COUNTIF(Accounts!$C$2:$C$201,$A193)+COUNTIF('Service Principals'!$C$2:$C$201,$A193)+COUNTIF('Managed Identities'!$C$2:$C$201,$A193)&gt;0,"Yes","NOT IN INVENTORY"))</f>
        <v/>
      </c>
    </row>
    <row r="194" customFormat="false" ht="15" hidden="false" customHeight="false" outlineLevel="0" collapsed="false">
      <c r="A194" s="46"/>
      <c r="B194" s="46"/>
      <c r="C194" s="47"/>
      <c r="D194" s="47"/>
      <c r="E194" s="46"/>
      <c r="F194" s="46"/>
      <c r="G194" s="47"/>
      <c r="H194" s="47"/>
      <c r="I194" s="47"/>
      <c r="J194" s="45" t="str">
        <f aca="false">IF($A194="","",IF(COUNTIF(Accounts!$C$2:$C$201,$A194)+COUNTIF('Service Principals'!$C$2:$C$201,$A194)+COUNTIF('Managed Identities'!$C$2:$C$201,$A194)&gt;0,"Yes","NOT IN INVENTORY"))</f>
        <v/>
      </c>
    </row>
    <row r="195" customFormat="false" ht="15" hidden="false" customHeight="false" outlineLevel="0" collapsed="false">
      <c r="A195" s="46"/>
      <c r="B195" s="46"/>
      <c r="C195" s="47"/>
      <c r="D195" s="47"/>
      <c r="E195" s="46"/>
      <c r="F195" s="46"/>
      <c r="G195" s="47"/>
      <c r="H195" s="47"/>
      <c r="I195" s="47"/>
      <c r="J195" s="45" t="str">
        <f aca="false">IF($A195="","",IF(COUNTIF(Accounts!$C$2:$C$201,$A195)+COUNTIF('Service Principals'!$C$2:$C$201,$A195)+COUNTIF('Managed Identities'!$C$2:$C$201,$A195)&gt;0,"Yes","NOT IN INVENTORY"))</f>
        <v/>
      </c>
    </row>
    <row r="196" customFormat="false" ht="15" hidden="false" customHeight="false" outlineLevel="0" collapsed="false">
      <c r="A196" s="46"/>
      <c r="B196" s="46"/>
      <c r="C196" s="47"/>
      <c r="D196" s="47"/>
      <c r="E196" s="46"/>
      <c r="F196" s="46"/>
      <c r="G196" s="47"/>
      <c r="H196" s="47"/>
      <c r="I196" s="47"/>
      <c r="J196" s="45" t="str">
        <f aca="false">IF($A196="","",IF(COUNTIF(Accounts!$C$2:$C$201,$A196)+COUNTIF('Service Principals'!$C$2:$C$201,$A196)+COUNTIF('Managed Identities'!$C$2:$C$201,$A196)&gt;0,"Yes","NOT IN INVENTORY"))</f>
        <v/>
      </c>
    </row>
    <row r="197" customFormat="false" ht="15" hidden="false" customHeight="false" outlineLevel="0" collapsed="false">
      <c r="A197" s="46"/>
      <c r="B197" s="46"/>
      <c r="C197" s="47"/>
      <c r="D197" s="47"/>
      <c r="E197" s="46"/>
      <c r="F197" s="46"/>
      <c r="G197" s="47"/>
      <c r="H197" s="47"/>
      <c r="I197" s="47"/>
      <c r="J197" s="45" t="str">
        <f aca="false">IF($A197="","",IF(COUNTIF(Accounts!$C$2:$C$201,$A197)+COUNTIF('Service Principals'!$C$2:$C$201,$A197)+COUNTIF('Managed Identities'!$C$2:$C$201,$A197)&gt;0,"Yes","NOT IN INVENTORY"))</f>
        <v/>
      </c>
    </row>
    <row r="198" customFormat="false" ht="15" hidden="false" customHeight="false" outlineLevel="0" collapsed="false">
      <c r="A198" s="46"/>
      <c r="B198" s="46"/>
      <c r="C198" s="47"/>
      <c r="D198" s="47"/>
      <c r="E198" s="46"/>
      <c r="F198" s="46"/>
      <c r="G198" s="47"/>
      <c r="H198" s="47"/>
      <c r="I198" s="47"/>
      <c r="J198" s="45" t="str">
        <f aca="false">IF($A198="","",IF(COUNTIF(Accounts!$C$2:$C$201,$A198)+COUNTIF('Service Principals'!$C$2:$C$201,$A198)+COUNTIF('Managed Identities'!$C$2:$C$201,$A198)&gt;0,"Yes","NOT IN INVENTORY"))</f>
        <v/>
      </c>
    </row>
    <row r="199" customFormat="false" ht="15" hidden="false" customHeight="false" outlineLevel="0" collapsed="false">
      <c r="A199" s="46"/>
      <c r="B199" s="46"/>
      <c r="C199" s="47"/>
      <c r="D199" s="47"/>
      <c r="E199" s="46"/>
      <c r="F199" s="46"/>
      <c r="G199" s="47"/>
      <c r="H199" s="47"/>
      <c r="I199" s="47"/>
      <c r="J199" s="45" t="str">
        <f aca="false">IF($A199="","",IF(COUNTIF(Accounts!$C$2:$C$201,$A199)+COUNTIF('Service Principals'!$C$2:$C$201,$A199)+COUNTIF('Managed Identities'!$C$2:$C$201,$A199)&gt;0,"Yes","NOT IN INVENTORY"))</f>
        <v/>
      </c>
    </row>
    <row r="200" customFormat="false" ht="15" hidden="false" customHeight="false" outlineLevel="0" collapsed="false">
      <c r="A200" s="46"/>
      <c r="B200" s="46"/>
      <c r="C200" s="47"/>
      <c r="D200" s="47"/>
      <c r="E200" s="46"/>
      <c r="F200" s="46"/>
      <c r="G200" s="47"/>
      <c r="H200" s="47"/>
      <c r="I200" s="47"/>
      <c r="J200" s="45" t="str">
        <f aca="false">IF($A200="","",IF(COUNTIF(Accounts!$C$2:$C$201,$A200)+COUNTIF('Service Principals'!$C$2:$C$201,$A200)+COUNTIF('Managed Identities'!$C$2:$C$201,$A200)&gt;0,"Yes","NOT IN INVENTORY"))</f>
        <v/>
      </c>
    </row>
    <row r="201" customFormat="false" ht="15" hidden="false" customHeight="false" outlineLevel="0" collapsed="false">
      <c r="A201" s="46"/>
      <c r="B201" s="46"/>
      <c r="C201" s="47"/>
      <c r="D201" s="47"/>
      <c r="E201" s="46"/>
      <c r="F201" s="46"/>
      <c r="G201" s="47"/>
      <c r="H201" s="47"/>
      <c r="I201" s="47"/>
      <c r="J201" s="45" t="str">
        <f aca="false">IF($A201="","",IF(COUNTIF(Accounts!$C$2:$C$201,$A201)+COUNTIF('Service Principals'!$C$2:$C$201,$A201)+COUNTIF('Managed Identities'!$C$2:$C$201,$A201)&gt;0,"Yes","NOT IN INVENTORY"))</f>
        <v/>
      </c>
    </row>
    <row r="202" customFormat="false" ht="15" hidden="false" customHeight="false" outlineLevel="0" collapsed="false">
      <c r="A202" s="46"/>
      <c r="B202" s="46"/>
      <c r="C202" s="47"/>
      <c r="D202" s="47"/>
      <c r="E202" s="46"/>
      <c r="F202" s="46"/>
      <c r="G202" s="47"/>
      <c r="H202" s="47"/>
      <c r="I202" s="47"/>
      <c r="J202" s="45" t="str">
        <f aca="false">IF($A202="","",IF(COUNTIF(Accounts!$C$2:$C$201,$A202)+COUNTIF('Service Principals'!$C$2:$C$201,$A202)+COUNTIF('Managed Identities'!$C$2:$C$201,$A202)&gt;0,"Yes","NOT IN INVENTORY"))</f>
        <v/>
      </c>
    </row>
    <row r="203" customFormat="false" ht="15" hidden="false" customHeight="false" outlineLevel="0" collapsed="false">
      <c r="A203" s="46"/>
      <c r="B203" s="46"/>
      <c r="C203" s="47"/>
      <c r="D203" s="47"/>
      <c r="E203" s="46"/>
      <c r="F203" s="46"/>
      <c r="G203" s="47"/>
      <c r="H203" s="47"/>
      <c r="I203" s="47"/>
      <c r="J203" s="45" t="str">
        <f aca="false">IF($A203="","",IF(COUNTIF(Accounts!$C$2:$C$201,$A203)+COUNTIF('Service Principals'!$C$2:$C$201,$A203)+COUNTIF('Managed Identities'!$C$2:$C$201,$A203)&gt;0,"Yes","NOT IN INVENTORY"))</f>
        <v/>
      </c>
    </row>
    <row r="204" customFormat="false" ht="15" hidden="false" customHeight="false" outlineLevel="0" collapsed="false">
      <c r="A204" s="46"/>
      <c r="B204" s="46"/>
      <c r="C204" s="47"/>
      <c r="D204" s="47"/>
      <c r="E204" s="46"/>
      <c r="F204" s="46"/>
      <c r="G204" s="47"/>
      <c r="H204" s="47"/>
      <c r="I204" s="47"/>
      <c r="J204" s="45" t="str">
        <f aca="false">IF($A204="","",IF(COUNTIF(Accounts!$C$2:$C$201,$A204)+COUNTIF('Service Principals'!$C$2:$C$201,$A204)+COUNTIF('Managed Identities'!$C$2:$C$201,$A204)&gt;0,"Yes","NOT IN INVENTORY"))</f>
        <v/>
      </c>
    </row>
    <row r="205" customFormat="false" ht="15" hidden="false" customHeight="false" outlineLevel="0" collapsed="false">
      <c r="A205" s="46"/>
      <c r="B205" s="46"/>
      <c r="C205" s="47"/>
      <c r="D205" s="47"/>
      <c r="E205" s="46"/>
      <c r="F205" s="46"/>
      <c r="G205" s="47"/>
      <c r="H205" s="47"/>
      <c r="I205" s="47"/>
      <c r="J205" s="45" t="str">
        <f aca="false">IF($A205="","",IF(COUNTIF(Accounts!$C$2:$C$201,$A205)+COUNTIF('Service Principals'!$C$2:$C$201,$A205)+COUNTIF('Managed Identities'!$C$2:$C$201,$A205)&gt;0,"Yes","NOT IN INVENTORY"))</f>
        <v/>
      </c>
    </row>
    <row r="206" customFormat="false" ht="15" hidden="false" customHeight="false" outlineLevel="0" collapsed="false">
      <c r="A206" s="46"/>
      <c r="B206" s="46"/>
      <c r="C206" s="47"/>
      <c r="D206" s="47"/>
      <c r="E206" s="46"/>
      <c r="F206" s="46"/>
      <c r="G206" s="47"/>
      <c r="H206" s="47"/>
      <c r="I206" s="47"/>
      <c r="J206" s="45" t="str">
        <f aca="false">IF($A206="","",IF(COUNTIF(Accounts!$C$2:$C$201,$A206)+COUNTIF('Service Principals'!$C$2:$C$201,$A206)+COUNTIF('Managed Identities'!$C$2:$C$201,$A206)&gt;0,"Yes","NOT IN INVENTORY"))</f>
        <v/>
      </c>
    </row>
    <row r="207" customFormat="false" ht="15" hidden="false" customHeight="false" outlineLevel="0" collapsed="false">
      <c r="A207" s="46"/>
      <c r="B207" s="46"/>
      <c r="C207" s="47"/>
      <c r="D207" s="47"/>
      <c r="E207" s="46"/>
      <c r="F207" s="46"/>
      <c r="G207" s="47"/>
      <c r="H207" s="47"/>
      <c r="I207" s="47"/>
      <c r="J207" s="45" t="str">
        <f aca="false">IF($A207="","",IF(COUNTIF(Accounts!$C$2:$C$201,$A207)+COUNTIF('Service Principals'!$C$2:$C$201,$A207)+COUNTIF('Managed Identities'!$C$2:$C$201,$A207)&gt;0,"Yes","NOT IN INVENTORY"))</f>
        <v/>
      </c>
    </row>
    <row r="208" customFormat="false" ht="15" hidden="false" customHeight="false" outlineLevel="0" collapsed="false">
      <c r="A208" s="46"/>
      <c r="B208" s="46"/>
      <c r="C208" s="47"/>
      <c r="D208" s="47"/>
      <c r="E208" s="46"/>
      <c r="F208" s="46"/>
      <c r="G208" s="47"/>
      <c r="H208" s="47"/>
      <c r="I208" s="47"/>
      <c r="J208" s="45" t="str">
        <f aca="false">IF($A208="","",IF(COUNTIF(Accounts!$C$2:$C$201,$A208)+COUNTIF('Service Principals'!$C$2:$C$201,$A208)+COUNTIF('Managed Identities'!$C$2:$C$201,$A208)&gt;0,"Yes","NOT IN INVENTORY"))</f>
        <v/>
      </c>
    </row>
    <row r="209" customFormat="false" ht="15" hidden="false" customHeight="false" outlineLevel="0" collapsed="false">
      <c r="A209" s="46"/>
      <c r="B209" s="46"/>
      <c r="C209" s="47"/>
      <c r="D209" s="47"/>
      <c r="E209" s="46"/>
      <c r="F209" s="46"/>
      <c r="G209" s="47"/>
      <c r="H209" s="47"/>
      <c r="I209" s="47"/>
      <c r="J209" s="45" t="str">
        <f aca="false">IF($A209="","",IF(COUNTIF(Accounts!$C$2:$C$201,$A209)+COUNTIF('Service Principals'!$C$2:$C$201,$A209)+COUNTIF('Managed Identities'!$C$2:$C$201,$A209)&gt;0,"Yes","NOT IN INVENTORY"))</f>
        <v/>
      </c>
    </row>
    <row r="210" customFormat="false" ht="15" hidden="false" customHeight="false" outlineLevel="0" collapsed="false">
      <c r="A210" s="46"/>
      <c r="B210" s="46"/>
      <c r="C210" s="47"/>
      <c r="D210" s="47"/>
      <c r="E210" s="46"/>
      <c r="F210" s="46"/>
      <c r="G210" s="47"/>
      <c r="H210" s="47"/>
      <c r="I210" s="47"/>
      <c r="J210" s="45" t="str">
        <f aca="false">IF($A210="","",IF(COUNTIF(Accounts!$C$2:$C$201,$A210)+COUNTIF('Service Principals'!$C$2:$C$201,$A210)+COUNTIF('Managed Identities'!$C$2:$C$201,$A210)&gt;0,"Yes","NOT IN INVENTORY"))</f>
        <v/>
      </c>
    </row>
    <row r="211" customFormat="false" ht="15" hidden="false" customHeight="false" outlineLevel="0" collapsed="false">
      <c r="A211" s="46"/>
      <c r="B211" s="46"/>
      <c r="C211" s="47"/>
      <c r="D211" s="47"/>
      <c r="E211" s="46"/>
      <c r="F211" s="46"/>
      <c r="G211" s="47"/>
      <c r="H211" s="47"/>
      <c r="I211" s="47"/>
      <c r="J211" s="45" t="str">
        <f aca="false">IF($A211="","",IF(COUNTIF(Accounts!$C$2:$C$201,$A211)+COUNTIF('Service Principals'!$C$2:$C$201,$A211)+COUNTIF('Managed Identities'!$C$2:$C$201,$A211)&gt;0,"Yes","NOT IN INVENTORY"))</f>
        <v/>
      </c>
    </row>
    <row r="212" customFormat="false" ht="15" hidden="false" customHeight="false" outlineLevel="0" collapsed="false">
      <c r="A212" s="46"/>
      <c r="B212" s="46"/>
      <c r="C212" s="47"/>
      <c r="D212" s="47"/>
      <c r="E212" s="46"/>
      <c r="F212" s="46"/>
      <c r="G212" s="47"/>
      <c r="H212" s="47"/>
      <c r="I212" s="47"/>
      <c r="J212" s="45" t="str">
        <f aca="false">IF($A212="","",IF(COUNTIF(Accounts!$C$2:$C$201,$A212)+COUNTIF('Service Principals'!$C$2:$C$201,$A212)+COUNTIF('Managed Identities'!$C$2:$C$201,$A212)&gt;0,"Yes","NOT IN INVENTORY"))</f>
        <v/>
      </c>
    </row>
    <row r="213" customFormat="false" ht="15" hidden="false" customHeight="false" outlineLevel="0" collapsed="false">
      <c r="A213" s="46"/>
      <c r="B213" s="46"/>
      <c r="C213" s="47"/>
      <c r="D213" s="47"/>
      <c r="E213" s="46"/>
      <c r="F213" s="46"/>
      <c r="G213" s="47"/>
      <c r="H213" s="47"/>
      <c r="I213" s="47"/>
      <c r="J213" s="45" t="str">
        <f aca="false">IF($A213="","",IF(COUNTIF(Accounts!$C$2:$C$201,$A213)+COUNTIF('Service Principals'!$C$2:$C$201,$A213)+COUNTIF('Managed Identities'!$C$2:$C$201,$A213)&gt;0,"Yes","NOT IN INVENTORY"))</f>
        <v/>
      </c>
    </row>
    <row r="214" customFormat="false" ht="15" hidden="false" customHeight="false" outlineLevel="0" collapsed="false">
      <c r="A214" s="46"/>
      <c r="B214" s="46"/>
      <c r="C214" s="47"/>
      <c r="D214" s="47"/>
      <c r="E214" s="46"/>
      <c r="F214" s="46"/>
      <c r="G214" s="47"/>
      <c r="H214" s="47"/>
      <c r="I214" s="47"/>
      <c r="J214" s="45" t="str">
        <f aca="false">IF($A214="","",IF(COUNTIF(Accounts!$C$2:$C$201,$A214)+COUNTIF('Service Principals'!$C$2:$C$201,$A214)+COUNTIF('Managed Identities'!$C$2:$C$201,$A214)&gt;0,"Yes","NOT IN INVENTORY"))</f>
        <v/>
      </c>
    </row>
    <row r="215" customFormat="false" ht="15" hidden="false" customHeight="false" outlineLevel="0" collapsed="false">
      <c r="A215" s="46"/>
      <c r="B215" s="46"/>
      <c r="C215" s="47"/>
      <c r="D215" s="47"/>
      <c r="E215" s="46"/>
      <c r="F215" s="46"/>
      <c r="G215" s="47"/>
      <c r="H215" s="47"/>
      <c r="I215" s="47"/>
      <c r="J215" s="45" t="str">
        <f aca="false">IF($A215="","",IF(COUNTIF(Accounts!$C$2:$C$201,$A215)+COUNTIF('Service Principals'!$C$2:$C$201,$A215)+COUNTIF('Managed Identities'!$C$2:$C$201,$A215)&gt;0,"Yes","NOT IN INVENTORY"))</f>
        <v/>
      </c>
    </row>
    <row r="216" customFormat="false" ht="15" hidden="false" customHeight="false" outlineLevel="0" collapsed="false">
      <c r="A216" s="46"/>
      <c r="B216" s="46"/>
      <c r="C216" s="47"/>
      <c r="D216" s="47"/>
      <c r="E216" s="46"/>
      <c r="F216" s="46"/>
      <c r="G216" s="47"/>
      <c r="H216" s="47"/>
      <c r="I216" s="47"/>
      <c r="J216" s="45" t="str">
        <f aca="false">IF($A216="","",IF(COUNTIF(Accounts!$C$2:$C$201,$A216)+COUNTIF('Service Principals'!$C$2:$C$201,$A216)+COUNTIF('Managed Identities'!$C$2:$C$201,$A216)&gt;0,"Yes","NOT IN INVENTORY"))</f>
        <v/>
      </c>
    </row>
    <row r="217" customFormat="false" ht="15" hidden="false" customHeight="false" outlineLevel="0" collapsed="false">
      <c r="A217" s="46"/>
      <c r="B217" s="46"/>
      <c r="C217" s="47"/>
      <c r="D217" s="47"/>
      <c r="E217" s="46"/>
      <c r="F217" s="46"/>
      <c r="G217" s="47"/>
      <c r="H217" s="47"/>
      <c r="I217" s="47"/>
      <c r="J217" s="45" t="str">
        <f aca="false">IF($A217="","",IF(COUNTIF(Accounts!$C$2:$C$201,$A217)+COUNTIF('Service Principals'!$C$2:$C$201,$A217)+COUNTIF('Managed Identities'!$C$2:$C$201,$A217)&gt;0,"Yes","NOT IN INVENTORY"))</f>
        <v/>
      </c>
    </row>
    <row r="218" customFormat="false" ht="15" hidden="false" customHeight="false" outlineLevel="0" collapsed="false">
      <c r="A218" s="46"/>
      <c r="B218" s="46"/>
      <c r="C218" s="47"/>
      <c r="D218" s="47"/>
      <c r="E218" s="46"/>
      <c r="F218" s="46"/>
      <c r="G218" s="47"/>
      <c r="H218" s="47"/>
      <c r="I218" s="47"/>
      <c r="J218" s="45" t="str">
        <f aca="false">IF($A218="","",IF(COUNTIF(Accounts!$C$2:$C$201,$A218)+COUNTIF('Service Principals'!$C$2:$C$201,$A218)+COUNTIF('Managed Identities'!$C$2:$C$201,$A218)&gt;0,"Yes","NOT IN INVENTORY"))</f>
        <v/>
      </c>
    </row>
    <row r="219" customFormat="false" ht="15" hidden="false" customHeight="false" outlineLevel="0" collapsed="false">
      <c r="A219" s="46"/>
      <c r="B219" s="46"/>
      <c r="C219" s="47"/>
      <c r="D219" s="47"/>
      <c r="E219" s="46"/>
      <c r="F219" s="46"/>
      <c r="G219" s="47"/>
      <c r="H219" s="47"/>
      <c r="I219" s="47"/>
      <c r="J219" s="45" t="str">
        <f aca="false">IF($A219="","",IF(COUNTIF(Accounts!$C$2:$C$201,$A219)+COUNTIF('Service Principals'!$C$2:$C$201,$A219)+COUNTIF('Managed Identities'!$C$2:$C$201,$A219)&gt;0,"Yes","NOT IN INVENTORY"))</f>
        <v/>
      </c>
    </row>
    <row r="220" customFormat="false" ht="15" hidden="false" customHeight="false" outlineLevel="0" collapsed="false">
      <c r="A220" s="46"/>
      <c r="B220" s="46"/>
      <c r="C220" s="47"/>
      <c r="D220" s="47"/>
      <c r="E220" s="46"/>
      <c r="F220" s="46"/>
      <c r="G220" s="47"/>
      <c r="H220" s="47"/>
      <c r="I220" s="47"/>
      <c r="J220" s="45" t="str">
        <f aca="false">IF($A220="","",IF(COUNTIF(Accounts!$C$2:$C$201,$A220)+COUNTIF('Service Principals'!$C$2:$C$201,$A220)+COUNTIF('Managed Identities'!$C$2:$C$201,$A220)&gt;0,"Yes","NOT IN INVENTORY"))</f>
        <v/>
      </c>
    </row>
    <row r="221" customFormat="false" ht="15" hidden="false" customHeight="false" outlineLevel="0" collapsed="false">
      <c r="A221" s="46"/>
      <c r="B221" s="46"/>
      <c r="C221" s="47"/>
      <c r="D221" s="47"/>
      <c r="E221" s="46"/>
      <c r="F221" s="46"/>
      <c r="G221" s="47"/>
      <c r="H221" s="47"/>
      <c r="I221" s="47"/>
      <c r="J221" s="45" t="str">
        <f aca="false">IF($A221="","",IF(COUNTIF(Accounts!$C$2:$C$201,$A221)+COUNTIF('Service Principals'!$C$2:$C$201,$A221)+COUNTIF('Managed Identities'!$C$2:$C$201,$A221)&gt;0,"Yes","NOT IN INVENTORY"))</f>
        <v/>
      </c>
    </row>
    <row r="222" customFormat="false" ht="15" hidden="false" customHeight="false" outlineLevel="0" collapsed="false">
      <c r="A222" s="46"/>
      <c r="B222" s="46"/>
      <c r="C222" s="47"/>
      <c r="D222" s="47"/>
      <c r="E222" s="46"/>
      <c r="F222" s="46"/>
      <c r="G222" s="47"/>
      <c r="H222" s="47"/>
      <c r="I222" s="47"/>
      <c r="J222" s="45" t="str">
        <f aca="false">IF($A222="","",IF(COUNTIF(Accounts!$C$2:$C$201,$A222)+COUNTIF('Service Principals'!$C$2:$C$201,$A222)+COUNTIF('Managed Identities'!$C$2:$C$201,$A222)&gt;0,"Yes","NOT IN INVENTORY"))</f>
        <v/>
      </c>
    </row>
    <row r="223" customFormat="false" ht="15" hidden="false" customHeight="false" outlineLevel="0" collapsed="false">
      <c r="A223" s="46"/>
      <c r="B223" s="46"/>
      <c r="C223" s="47"/>
      <c r="D223" s="47"/>
      <c r="E223" s="46"/>
      <c r="F223" s="46"/>
      <c r="G223" s="47"/>
      <c r="H223" s="47"/>
      <c r="I223" s="47"/>
      <c r="J223" s="45" t="str">
        <f aca="false">IF($A223="","",IF(COUNTIF(Accounts!$C$2:$C$201,$A223)+COUNTIF('Service Principals'!$C$2:$C$201,$A223)+COUNTIF('Managed Identities'!$C$2:$C$201,$A223)&gt;0,"Yes","NOT IN INVENTORY"))</f>
        <v/>
      </c>
    </row>
    <row r="224" customFormat="false" ht="15" hidden="false" customHeight="false" outlineLevel="0" collapsed="false">
      <c r="A224" s="46"/>
      <c r="B224" s="46"/>
      <c r="C224" s="47"/>
      <c r="D224" s="47"/>
      <c r="E224" s="46"/>
      <c r="F224" s="46"/>
      <c r="G224" s="47"/>
      <c r="H224" s="47"/>
      <c r="I224" s="47"/>
      <c r="J224" s="45" t="str">
        <f aca="false">IF($A224="","",IF(COUNTIF(Accounts!$C$2:$C$201,$A224)+COUNTIF('Service Principals'!$C$2:$C$201,$A224)+COUNTIF('Managed Identities'!$C$2:$C$201,$A224)&gt;0,"Yes","NOT IN INVENTORY"))</f>
        <v/>
      </c>
    </row>
    <row r="225" customFormat="false" ht="15" hidden="false" customHeight="false" outlineLevel="0" collapsed="false">
      <c r="A225" s="46"/>
      <c r="B225" s="46"/>
      <c r="C225" s="47"/>
      <c r="D225" s="47"/>
      <c r="E225" s="46"/>
      <c r="F225" s="46"/>
      <c r="G225" s="47"/>
      <c r="H225" s="47"/>
      <c r="I225" s="47"/>
      <c r="J225" s="45" t="str">
        <f aca="false">IF($A225="","",IF(COUNTIF(Accounts!$C$2:$C$201,$A225)+COUNTIF('Service Principals'!$C$2:$C$201,$A225)+COUNTIF('Managed Identities'!$C$2:$C$201,$A225)&gt;0,"Yes","NOT IN INVENTORY"))</f>
        <v/>
      </c>
    </row>
    <row r="226" customFormat="false" ht="15" hidden="false" customHeight="false" outlineLevel="0" collapsed="false">
      <c r="A226" s="46"/>
      <c r="B226" s="46"/>
      <c r="C226" s="47"/>
      <c r="D226" s="47"/>
      <c r="E226" s="46"/>
      <c r="F226" s="46"/>
      <c r="G226" s="47"/>
      <c r="H226" s="47"/>
      <c r="I226" s="47"/>
      <c r="J226" s="45" t="str">
        <f aca="false">IF($A226="","",IF(COUNTIF(Accounts!$C$2:$C$201,$A226)+COUNTIF('Service Principals'!$C$2:$C$201,$A226)+COUNTIF('Managed Identities'!$C$2:$C$201,$A226)&gt;0,"Yes","NOT IN INVENTORY"))</f>
        <v/>
      </c>
    </row>
    <row r="227" customFormat="false" ht="15" hidden="false" customHeight="false" outlineLevel="0" collapsed="false">
      <c r="A227" s="46"/>
      <c r="B227" s="46"/>
      <c r="C227" s="47"/>
      <c r="D227" s="47"/>
      <c r="E227" s="46"/>
      <c r="F227" s="46"/>
      <c r="G227" s="47"/>
      <c r="H227" s="47"/>
      <c r="I227" s="47"/>
      <c r="J227" s="45" t="str">
        <f aca="false">IF($A227="","",IF(COUNTIF(Accounts!$C$2:$C$201,$A227)+COUNTIF('Service Principals'!$C$2:$C$201,$A227)+COUNTIF('Managed Identities'!$C$2:$C$201,$A227)&gt;0,"Yes","NOT IN INVENTORY"))</f>
        <v/>
      </c>
    </row>
    <row r="228" customFormat="false" ht="15" hidden="false" customHeight="false" outlineLevel="0" collapsed="false">
      <c r="A228" s="46"/>
      <c r="B228" s="46"/>
      <c r="C228" s="47"/>
      <c r="D228" s="47"/>
      <c r="E228" s="46"/>
      <c r="F228" s="46"/>
      <c r="G228" s="47"/>
      <c r="H228" s="47"/>
      <c r="I228" s="47"/>
      <c r="J228" s="45" t="str">
        <f aca="false">IF($A228="","",IF(COUNTIF(Accounts!$C$2:$C$201,$A228)+COUNTIF('Service Principals'!$C$2:$C$201,$A228)+COUNTIF('Managed Identities'!$C$2:$C$201,$A228)&gt;0,"Yes","NOT IN INVENTORY"))</f>
        <v/>
      </c>
    </row>
    <row r="229" customFormat="false" ht="15" hidden="false" customHeight="false" outlineLevel="0" collapsed="false">
      <c r="A229" s="46"/>
      <c r="B229" s="46"/>
      <c r="C229" s="47"/>
      <c r="D229" s="47"/>
      <c r="E229" s="46"/>
      <c r="F229" s="46"/>
      <c r="G229" s="47"/>
      <c r="H229" s="47"/>
      <c r="I229" s="47"/>
      <c r="J229" s="45" t="str">
        <f aca="false">IF($A229="","",IF(COUNTIF(Accounts!$C$2:$C$201,$A229)+COUNTIF('Service Principals'!$C$2:$C$201,$A229)+COUNTIF('Managed Identities'!$C$2:$C$201,$A229)&gt;0,"Yes","NOT IN INVENTORY"))</f>
        <v/>
      </c>
    </row>
    <row r="230" customFormat="false" ht="15" hidden="false" customHeight="false" outlineLevel="0" collapsed="false">
      <c r="A230" s="46"/>
      <c r="B230" s="46"/>
      <c r="C230" s="47"/>
      <c r="D230" s="47"/>
      <c r="E230" s="46"/>
      <c r="F230" s="46"/>
      <c r="G230" s="47"/>
      <c r="H230" s="47"/>
      <c r="I230" s="47"/>
      <c r="J230" s="45" t="str">
        <f aca="false">IF($A230="","",IF(COUNTIF(Accounts!$C$2:$C$201,$A230)+COUNTIF('Service Principals'!$C$2:$C$201,$A230)+COUNTIF('Managed Identities'!$C$2:$C$201,$A230)&gt;0,"Yes","NOT IN INVENTORY"))</f>
        <v/>
      </c>
    </row>
    <row r="231" customFormat="false" ht="15" hidden="false" customHeight="false" outlineLevel="0" collapsed="false">
      <c r="A231" s="46"/>
      <c r="B231" s="46"/>
      <c r="C231" s="47"/>
      <c r="D231" s="47"/>
      <c r="E231" s="46"/>
      <c r="F231" s="46"/>
      <c r="G231" s="47"/>
      <c r="H231" s="47"/>
      <c r="I231" s="47"/>
      <c r="J231" s="45" t="str">
        <f aca="false">IF($A231="","",IF(COUNTIF(Accounts!$C$2:$C$201,$A231)+COUNTIF('Service Principals'!$C$2:$C$201,$A231)+COUNTIF('Managed Identities'!$C$2:$C$201,$A231)&gt;0,"Yes","NOT IN INVENTORY"))</f>
        <v/>
      </c>
    </row>
    <row r="232" customFormat="false" ht="15" hidden="false" customHeight="false" outlineLevel="0" collapsed="false">
      <c r="A232" s="46"/>
      <c r="B232" s="46"/>
      <c r="C232" s="47"/>
      <c r="D232" s="47"/>
      <c r="E232" s="46"/>
      <c r="F232" s="46"/>
      <c r="G232" s="47"/>
      <c r="H232" s="47"/>
      <c r="I232" s="47"/>
      <c r="J232" s="45" t="str">
        <f aca="false">IF($A232="","",IF(COUNTIF(Accounts!$C$2:$C$201,$A232)+COUNTIF('Service Principals'!$C$2:$C$201,$A232)+COUNTIF('Managed Identities'!$C$2:$C$201,$A232)&gt;0,"Yes","NOT IN INVENTORY"))</f>
        <v/>
      </c>
    </row>
    <row r="233" customFormat="false" ht="15" hidden="false" customHeight="false" outlineLevel="0" collapsed="false">
      <c r="A233" s="46"/>
      <c r="B233" s="46"/>
      <c r="C233" s="47"/>
      <c r="D233" s="47"/>
      <c r="E233" s="46"/>
      <c r="F233" s="46"/>
      <c r="G233" s="47"/>
      <c r="H233" s="47"/>
      <c r="I233" s="47"/>
      <c r="J233" s="45" t="str">
        <f aca="false">IF($A233="","",IF(COUNTIF(Accounts!$C$2:$C$201,$A233)+COUNTIF('Service Principals'!$C$2:$C$201,$A233)+COUNTIF('Managed Identities'!$C$2:$C$201,$A233)&gt;0,"Yes","NOT IN INVENTORY"))</f>
        <v/>
      </c>
    </row>
    <row r="234" customFormat="false" ht="15" hidden="false" customHeight="false" outlineLevel="0" collapsed="false">
      <c r="A234" s="46"/>
      <c r="B234" s="46"/>
      <c r="C234" s="47"/>
      <c r="D234" s="47"/>
      <c r="E234" s="46"/>
      <c r="F234" s="46"/>
      <c r="G234" s="47"/>
      <c r="H234" s="47"/>
      <c r="I234" s="47"/>
      <c r="J234" s="45" t="str">
        <f aca="false">IF($A234="","",IF(COUNTIF(Accounts!$C$2:$C$201,$A234)+COUNTIF('Service Principals'!$C$2:$C$201,$A234)+COUNTIF('Managed Identities'!$C$2:$C$201,$A234)&gt;0,"Yes","NOT IN INVENTORY"))</f>
        <v/>
      </c>
    </row>
    <row r="235" customFormat="false" ht="15" hidden="false" customHeight="false" outlineLevel="0" collapsed="false">
      <c r="A235" s="46"/>
      <c r="B235" s="46"/>
      <c r="C235" s="47"/>
      <c r="D235" s="47"/>
      <c r="E235" s="46"/>
      <c r="F235" s="46"/>
      <c r="G235" s="47"/>
      <c r="H235" s="47"/>
      <c r="I235" s="47"/>
      <c r="J235" s="45" t="str">
        <f aca="false">IF($A235="","",IF(COUNTIF(Accounts!$C$2:$C$201,$A235)+COUNTIF('Service Principals'!$C$2:$C$201,$A235)+COUNTIF('Managed Identities'!$C$2:$C$201,$A235)&gt;0,"Yes","NOT IN INVENTORY"))</f>
        <v/>
      </c>
    </row>
    <row r="236" customFormat="false" ht="15" hidden="false" customHeight="false" outlineLevel="0" collapsed="false">
      <c r="A236" s="46"/>
      <c r="B236" s="46"/>
      <c r="C236" s="47"/>
      <c r="D236" s="47"/>
      <c r="E236" s="46"/>
      <c r="F236" s="46"/>
      <c r="G236" s="47"/>
      <c r="H236" s="47"/>
      <c r="I236" s="47"/>
      <c r="J236" s="45" t="str">
        <f aca="false">IF($A236="","",IF(COUNTIF(Accounts!$C$2:$C$201,$A236)+COUNTIF('Service Principals'!$C$2:$C$201,$A236)+COUNTIF('Managed Identities'!$C$2:$C$201,$A236)&gt;0,"Yes","NOT IN INVENTORY"))</f>
        <v/>
      </c>
    </row>
    <row r="237" customFormat="false" ht="15" hidden="false" customHeight="false" outlineLevel="0" collapsed="false">
      <c r="A237" s="46"/>
      <c r="B237" s="46"/>
      <c r="C237" s="47"/>
      <c r="D237" s="47"/>
      <c r="E237" s="46"/>
      <c r="F237" s="46"/>
      <c r="G237" s="47"/>
      <c r="H237" s="47"/>
      <c r="I237" s="47"/>
      <c r="J237" s="45" t="str">
        <f aca="false">IF($A237="","",IF(COUNTIF(Accounts!$C$2:$C$201,$A237)+COUNTIF('Service Principals'!$C$2:$C$201,$A237)+COUNTIF('Managed Identities'!$C$2:$C$201,$A237)&gt;0,"Yes","NOT IN INVENTORY"))</f>
        <v/>
      </c>
    </row>
    <row r="238" customFormat="false" ht="15" hidden="false" customHeight="false" outlineLevel="0" collapsed="false">
      <c r="A238" s="46"/>
      <c r="B238" s="46"/>
      <c r="C238" s="47"/>
      <c r="D238" s="47"/>
      <c r="E238" s="46"/>
      <c r="F238" s="46"/>
      <c r="G238" s="47"/>
      <c r="H238" s="47"/>
      <c r="I238" s="47"/>
      <c r="J238" s="45" t="str">
        <f aca="false">IF($A238="","",IF(COUNTIF(Accounts!$C$2:$C$201,$A238)+COUNTIF('Service Principals'!$C$2:$C$201,$A238)+COUNTIF('Managed Identities'!$C$2:$C$201,$A238)&gt;0,"Yes","NOT IN INVENTORY"))</f>
        <v/>
      </c>
    </row>
    <row r="239" customFormat="false" ht="15" hidden="false" customHeight="false" outlineLevel="0" collapsed="false">
      <c r="A239" s="46"/>
      <c r="B239" s="46"/>
      <c r="C239" s="47"/>
      <c r="D239" s="47"/>
      <c r="E239" s="46"/>
      <c r="F239" s="46"/>
      <c r="G239" s="47"/>
      <c r="H239" s="47"/>
      <c r="I239" s="47"/>
      <c r="J239" s="45" t="str">
        <f aca="false">IF($A239="","",IF(COUNTIF(Accounts!$C$2:$C$201,$A239)+COUNTIF('Service Principals'!$C$2:$C$201,$A239)+COUNTIF('Managed Identities'!$C$2:$C$201,$A239)&gt;0,"Yes","NOT IN INVENTORY"))</f>
        <v/>
      </c>
    </row>
    <row r="240" customFormat="false" ht="15" hidden="false" customHeight="false" outlineLevel="0" collapsed="false">
      <c r="A240" s="46"/>
      <c r="B240" s="46"/>
      <c r="C240" s="47"/>
      <c r="D240" s="47"/>
      <c r="E240" s="46"/>
      <c r="F240" s="46"/>
      <c r="G240" s="47"/>
      <c r="H240" s="47"/>
      <c r="I240" s="47"/>
      <c r="J240" s="45" t="str">
        <f aca="false">IF($A240="","",IF(COUNTIF(Accounts!$C$2:$C$201,$A240)+COUNTIF('Service Principals'!$C$2:$C$201,$A240)+COUNTIF('Managed Identities'!$C$2:$C$201,$A240)&gt;0,"Yes","NOT IN INVENTORY"))</f>
        <v/>
      </c>
    </row>
    <row r="241" customFormat="false" ht="15" hidden="false" customHeight="false" outlineLevel="0" collapsed="false">
      <c r="A241" s="46"/>
      <c r="B241" s="46"/>
      <c r="C241" s="47"/>
      <c r="D241" s="47"/>
      <c r="E241" s="46"/>
      <c r="F241" s="46"/>
      <c r="G241" s="47"/>
      <c r="H241" s="47"/>
      <c r="I241" s="47"/>
      <c r="J241" s="45" t="str">
        <f aca="false">IF($A241="","",IF(COUNTIF(Accounts!$C$2:$C$201,$A241)+COUNTIF('Service Principals'!$C$2:$C$201,$A241)+COUNTIF('Managed Identities'!$C$2:$C$201,$A241)&gt;0,"Yes","NOT IN INVENTORY"))</f>
        <v/>
      </c>
    </row>
    <row r="242" customFormat="false" ht="15" hidden="false" customHeight="false" outlineLevel="0" collapsed="false">
      <c r="A242" s="46"/>
      <c r="B242" s="46"/>
      <c r="C242" s="47"/>
      <c r="D242" s="47"/>
      <c r="E242" s="46"/>
      <c r="F242" s="46"/>
      <c r="G242" s="47"/>
      <c r="H242" s="47"/>
      <c r="I242" s="47"/>
      <c r="J242" s="45" t="str">
        <f aca="false">IF($A242="","",IF(COUNTIF(Accounts!$C$2:$C$201,$A242)+COUNTIF('Service Principals'!$C$2:$C$201,$A242)+COUNTIF('Managed Identities'!$C$2:$C$201,$A242)&gt;0,"Yes","NOT IN INVENTORY"))</f>
        <v/>
      </c>
    </row>
    <row r="243" customFormat="false" ht="15" hidden="false" customHeight="false" outlineLevel="0" collapsed="false">
      <c r="A243" s="46"/>
      <c r="B243" s="46"/>
      <c r="C243" s="47"/>
      <c r="D243" s="47"/>
      <c r="E243" s="46"/>
      <c r="F243" s="46"/>
      <c r="G243" s="47"/>
      <c r="H243" s="47"/>
      <c r="I243" s="47"/>
      <c r="J243" s="45" t="str">
        <f aca="false">IF($A243="","",IF(COUNTIF(Accounts!$C$2:$C$201,$A243)+COUNTIF('Service Principals'!$C$2:$C$201,$A243)+COUNTIF('Managed Identities'!$C$2:$C$201,$A243)&gt;0,"Yes","NOT IN INVENTORY"))</f>
        <v/>
      </c>
    </row>
    <row r="244" customFormat="false" ht="15" hidden="false" customHeight="false" outlineLevel="0" collapsed="false">
      <c r="A244" s="46"/>
      <c r="B244" s="46"/>
      <c r="C244" s="47"/>
      <c r="D244" s="47"/>
      <c r="E244" s="46"/>
      <c r="F244" s="46"/>
      <c r="G244" s="47"/>
      <c r="H244" s="47"/>
      <c r="I244" s="47"/>
      <c r="J244" s="45" t="str">
        <f aca="false">IF($A244="","",IF(COUNTIF(Accounts!$C$2:$C$201,$A244)+COUNTIF('Service Principals'!$C$2:$C$201,$A244)+COUNTIF('Managed Identities'!$C$2:$C$201,$A244)&gt;0,"Yes","NOT IN INVENTORY"))</f>
        <v/>
      </c>
    </row>
    <row r="245" customFormat="false" ht="15" hidden="false" customHeight="false" outlineLevel="0" collapsed="false">
      <c r="A245" s="46"/>
      <c r="B245" s="46"/>
      <c r="C245" s="47"/>
      <c r="D245" s="47"/>
      <c r="E245" s="46"/>
      <c r="F245" s="46"/>
      <c r="G245" s="47"/>
      <c r="H245" s="47"/>
      <c r="I245" s="47"/>
      <c r="J245" s="45" t="str">
        <f aca="false">IF($A245="","",IF(COUNTIF(Accounts!$C$2:$C$201,$A245)+COUNTIF('Service Principals'!$C$2:$C$201,$A245)+COUNTIF('Managed Identities'!$C$2:$C$201,$A245)&gt;0,"Yes","NOT IN INVENTORY"))</f>
        <v/>
      </c>
    </row>
    <row r="246" customFormat="false" ht="15" hidden="false" customHeight="false" outlineLevel="0" collapsed="false">
      <c r="A246" s="46"/>
      <c r="B246" s="46"/>
      <c r="C246" s="47"/>
      <c r="D246" s="47"/>
      <c r="E246" s="46"/>
      <c r="F246" s="46"/>
      <c r="G246" s="47"/>
      <c r="H246" s="47"/>
      <c r="I246" s="47"/>
      <c r="J246" s="45" t="str">
        <f aca="false">IF($A246="","",IF(COUNTIF(Accounts!$C$2:$C$201,$A246)+COUNTIF('Service Principals'!$C$2:$C$201,$A246)+COUNTIF('Managed Identities'!$C$2:$C$201,$A246)&gt;0,"Yes","NOT IN INVENTORY"))</f>
        <v/>
      </c>
    </row>
    <row r="247" customFormat="false" ht="15" hidden="false" customHeight="false" outlineLevel="0" collapsed="false">
      <c r="A247" s="46"/>
      <c r="B247" s="46"/>
      <c r="C247" s="47"/>
      <c r="D247" s="47"/>
      <c r="E247" s="46"/>
      <c r="F247" s="46"/>
      <c r="G247" s="47"/>
      <c r="H247" s="47"/>
      <c r="I247" s="47"/>
      <c r="J247" s="45" t="str">
        <f aca="false">IF($A247="","",IF(COUNTIF(Accounts!$C$2:$C$201,$A247)+COUNTIF('Service Principals'!$C$2:$C$201,$A247)+COUNTIF('Managed Identities'!$C$2:$C$201,$A247)&gt;0,"Yes","NOT IN INVENTORY"))</f>
        <v/>
      </c>
    </row>
    <row r="248" customFormat="false" ht="15" hidden="false" customHeight="false" outlineLevel="0" collapsed="false">
      <c r="A248" s="46"/>
      <c r="B248" s="46"/>
      <c r="C248" s="47"/>
      <c r="D248" s="47"/>
      <c r="E248" s="46"/>
      <c r="F248" s="46"/>
      <c r="G248" s="47"/>
      <c r="H248" s="47"/>
      <c r="I248" s="47"/>
      <c r="J248" s="45" t="str">
        <f aca="false">IF($A248="","",IF(COUNTIF(Accounts!$C$2:$C$201,$A248)+COUNTIF('Service Principals'!$C$2:$C$201,$A248)+COUNTIF('Managed Identities'!$C$2:$C$201,$A248)&gt;0,"Yes","NOT IN INVENTORY"))</f>
        <v/>
      </c>
    </row>
    <row r="249" customFormat="false" ht="15" hidden="false" customHeight="false" outlineLevel="0" collapsed="false">
      <c r="A249" s="46"/>
      <c r="B249" s="46"/>
      <c r="C249" s="47"/>
      <c r="D249" s="47"/>
      <c r="E249" s="46"/>
      <c r="F249" s="46"/>
      <c r="G249" s="47"/>
      <c r="H249" s="47"/>
      <c r="I249" s="47"/>
      <c r="J249" s="45" t="str">
        <f aca="false">IF($A249="","",IF(COUNTIF(Accounts!$C$2:$C$201,$A249)+COUNTIF('Service Principals'!$C$2:$C$201,$A249)+COUNTIF('Managed Identities'!$C$2:$C$201,$A249)&gt;0,"Yes","NOT IN INVENTORY"))</f>
        <v/>
      </c>
    </row>
    <row r="250" customFormat="false" ht="15" hidden="false" customHeight="false" outlineLevel="0" collapsed="false">
      <c r="A250" s="46"/>
      <c r="B250" s="46"/>
      <c r="C250" s="47"/>
      <c r="D250" s="47"/>
      <c r="E250" s="46"/>
      <c r="F250" s="46"/>
      <c r="G250" s="47"/>
      <c r="H250" s="47"/>
      <c r="I250" s="47"/>
      <c r="J250" s="45" t="str">
        <f aca="false">IF($A250="","",IF(COUNTIF(Accounts!$C$2:$C$201,$A250)+COUNTIF('Service Principals'!$C$2:$C$201,$A250)+COUNTIF('Managed Identities'!$C$2:$C$201,$A250)&gt;0,"Yes","NOT IN INVENTORY"))</f>
        <v/>
      </c>
    </row>
    <row r="251" customFormat="false" ht="15" hidden="false" customHeight="false" outlineLevel="0" collapsed="false">
      <c r="A251" s="46"/>
      <c r="B251" s="46"/>
      <c r="C251" s="47"/>
      <c r="D251" s="47"/>
      <c r="E251" s="46"/>
      <c r="F251" s="46"/>
      <c r="G251" s="47"/>
      <c r="H251" s="47"/>
      <c r="I251" s="47"/>
      <c r="J251" s="45" t="str">
        <f aca="false">IF($A251="","",IF(COUNTIF(Accounts!$C$2:$C$201,$A251)+COUNTIF('Service Principals'!$C$2:$C$201,$A251)+COUNTIF('Managed Identities'!$C$2:$C$201,$A251)&gt;0,"Yes","NOT IN INVENTORY"))</f>
        <v/>
      </c>
    </row>
    <row r="252" customFormat="false" ht="15" hidden="false" customHeight="false" outlineLevel="0" collapsed="false">
      <c r="A252" s="46"/>
      <c r="B252" s="46"/>
      <c r="C252" s="47"/>
      <c r="D252" s="47"/>
      <c r="E252" s="46"/>
      <c r="F252" s="46"/>
      <c r="G252" s="47"/>
      <c r="H252" s="47"/>
      <c r="I252" s="47"/>
      <c r="J252" s="45" t="str">
        <f aca="false">IF($A252="","",IF(COUNTIF(Accounts!$C$2:$C$201,$A252)+COUNTIF('Service Principals'!$C$2:$C$201,$A252)+COUNTIF('Managed Identities'!$C$2:$C$201,$A252)&gt;0,"Yes","NOT IN INVENTORY"))</f>
        <v/>
      </c>
    </row>
    <row r="253" customFormat="false" ht="15" hidden="false" customHeight="false" outlineLevel="0" collapsed="false">
      <c r="A253" s="46"/>
      <c r="B253" s="46"/>
      <c r="C253" s="47"/>
      <c r="D253" s="47"/>
      <c r="E253" s="46"/>
      <c r="F253" s="46"/>
      <c r="G253" s="47"/>
      <c r="H253" s="47"/>
      <c r="I253" s="47"/>
      <c r="J253" s="45" t="str">
        <f aca="false">IF($A253="","",IF(COUNTIF(Accounts!$C$2:$C$201,$A253)+COUNTIF('Service Principals'!$C$2:$C$201,$A253)+COUNTIF('Managed Identities'!$C$2:$C$201,$A253)&gt;0,"Yes","NOT IN INVENTORY"))</f>
        <v/>
      </c>
    </row>
    <row r="254" customFormat="false" ht="15" hidden="false" customHeight="false" outlineLevel="0" collapsed="false">
      <c r="A254" s="46"/>
      <c r="B254" s="46"/>
      <c r="C254" s="47"/>
      <c r="D254" s="47"/>
      <c r="E254" s="46"/>
      <c r="F254" s="46"/>
      <c r="G254" s="47"/>
      <c r="H254" s="47"/>
      <c r="I254" s="47"/>
      <c r="J254" s="45" t="str">
        <f aca="false">IF($A254="","",IF(COUNTIF(Accounts!$C$2:$C$201,$A254)+COUNTIF('Service Principals'!$C$2:$C$201,$A254)+COUNTIF('Managed Identities'!$C$2:$C$201,$A254)&gt;0,"Yes","NOT IN INVENTORY"))</f>
        <v/>
      </c>
    </row>
    <row r="255" customFormat="false" ht="15" hidden="false" customHeight="false" outlineLevel="0" collapsed="false">
      <c r="A255" s="46"/>
      <c r="B255" s="46"/>
      <c r="C255" s="47"/>
      <c r="D255" s="47"/>
      <c r="E255" s="46"/>
      <c r="F255" s="46"/>
      <c r="G255" s="47"/>
      <c r="H255" s="47"/>
      <c r="I255" s="47"/>
      <c r="J255" s="45" t="str">
        <f aca="false">IF($A255="","",IF(COUNTIF(Accounts!$C$2:$C$201,$A255)+COUNTIF('Service Principals'!$C$2:$C$201,$A255)+COUNTIF('Managed Identities'!$C$2:$C$201,$A255)&gt;0,"Yes","NOT IN INVENTORY"))</f>
        <v/>
      </c>
    </row>
    <row r="256" customFormat="false" ht="15" hidden="false" customHeight="false" outlineLevel="0" collapsed="false">
      <c r="A256" s="46"/>
      <c r="B256" s="46"/>
      <c r="C256" s="47"/>
      <c r="D256" s="47"/>
      <c r="E256" s="46"/>
      <c r="F256" s="46"/>
      <c r="G256" s="47"/>
      <c r="H256" s="47"/>
      <c r="I256" s="47"/>
      <c r="J256" s="45" t="str">
        <f aca="false">IF($A256="","",IF(COUNTIF(Accounts!$C$2:$C$201,$A256)+COUNTIF('Service Principals'!$C$2:$C$201,$A256)+COUNTIF('Managed Identities'!$C$2:$C$201,$A256)&gt;0,"Yes","NOT IN INVENTORY"))</f>
        <v/>
      </c>
    </row>
    <row r="257" customFormat="false" ht="15" hidden="false" customHeight="false" outlineLevel="0" collapsed="false">
      <c r="A257" s="46"/>
      <c r="B257" s="46"/>
      <c r="C257" s="47"/>
      <c r="D257" s="47"/>
      <c r="E257" s="46"/>
      <c r="F257" s="46"/>
      <c r="G257" s="47"/>
      <c r="H257" s="47"/>
      <c r="I257" s="47"/>
      <c r="J257" s="45" t="str">
        <f aca="false">IF($A257="","",IF(COUNTIF(Accounts!$C$2:$C$201,$A257)+COUNTIF('Service Principals'!$C$2:$C$201,$A257)+COUNTIF('Managed Identities'!$C$2:$C$201,$A257)&gt;0,"Yes","NOT IN INVENTORY"))</f>
        <v/>
      </c>
    </row>
    <row r="258" customFormat="false" ht="15" hidden="false" customHeight="false" outlineLevel="0" collapsed="false">
      <c r="A258" s="46"/>
      <c r="B258" s="46"/>
      <c r="C258" s="47"/>
      <c r="D258" s="47"/>
      <c r="E258" s="46"/>
      <c r="F258" s="46"/>
      <c r="G258" s="47"/>
      <c r="H258" s="47"/>
      <c r="I258" s="47"/>
      <c r="J258" s="45" t="str">
        <f aca="false">IF($A258="","",IF(COUNTIF(Accounts!$C$2:$C$201,$A258)+COUNTIF('Service Principals'!$C$2:$C$201,$A258)+COUNTIF('Managed Identities'!$C$2:$C$201,$A258)&gt;0,"Yes","NOT IN INVENTORY"))</f>
        <v/>
      </c>
    </row>
    <row r="259" customFormat="false" ht="15" hidden="false" customHeight="false" outlineLevel="0" collapsed="false">
      <c r="A259" s="46"/>
      <c r="B259" s="46"/>
      <c r="C259" s="47"/>
      <c r="D259" s="47"/>
      <c r="E259" s="46"/>
      <c r="F259" s="46"/>
      <c r="G259" s="47"/>
      <c r="H259" s="47"/>
      <c r="I259" s="47"/>
      <c r="J259" s="45" t="str">
        <f aca="false">IF($A259="","",IF(COUNTIF(Accounts!$C$2:$C$201,$A259)+COUNTIF('Service Principals'!$C$2:$C$201,$A259)+COUNTIF('Managed Identities'!$C$2:$C$201,$A259)&gt;0,"Yes","NOT IN INVENTORY"))</f>
        <v/>
      </c>
    </row>
    <row r="260" customFormat="false" ht="15" hidden="false" customHeight="false" outlineLevel="0" collapsed="false">
      <c r="A260" s="46"/>
      <c r="B260" s="46"/>
      <c r="C260" s="47"/>
      <c r="D260" s="47"/>
      <c r="E260" s="46"/>
      <c r="F260" s="46"/>
      <c r="G260" s="47"/>
      <c r="H260" s="47"/>
      <c r="I260" s="47"/>
      <c r="J260" s="45" t="str">
        <f aca="false">IF($A260="","",IF(COUNTIF(Accounts!$C$2:$C$201,$A260)+COUNTIF('Service Principals'!$C$2:$C$201,$A260)+COUNTIF('Managed Identities'!$C$2:$C$201,$A260)&gt;0,"Yes","NOT IN INVENTORY"))</f>
        <v/>
      </c>
    </row>
    <row r="261" customFormat="false" ht="15" hidden="false" customHeight="false" outlineLevel="0" collapsed="false">
      <c r="A261" s="46"/>
      <c r="B261" s="46"/>
      <c r="C261" s="47"/>
      <c r="D261" s="47"/>
      <c r="E261" s="46"/>
      <c r="F261" s="46"/>
      <c r="G261" s="47"/>
      <c r="H261" s="47"/>
      <c r="I261" s="47"/>
      <c r="J261" s="45" t="str">
        <f aca="false">IF($A261="","",IF(COUNTIF(Accounts!$C$2:$C$201,$A261)+COUNTIF('Service Principals'!$C$2:$C$201,$A261)+COUNTIF('Managed Identities'!$C$2:$C$201,$A261)&gt;0,"Yes","NOT IN INVENTORY"))</f>
        <v/>
      </c>
    </row>
    <row r="262" customFormat="false" ht="15" hidden="false" customHeight="false" outlineLevel="0" collapsed="false">
      <c r="A262" s="46"/>
      <c r="B262" s="46"/>
      <c r="C262" s="47"/>
      <c r="D262" s="47"/>
      <c r="E262" s="46"/>
      <c r="F262" s="46"/>
      <c r="G262" s="47"/>
      <c r="H262" s="47"/>
      <c r="I262" s="47"/>
      <c r="J262" s="45" t="str">
        <f aca="false">IF($A262="","",IF(COUNTIF(Accounts!$C$2:$C$201,$A262)+COUNTIF('Service Principals'!$C$2:$C$201,$A262)+COUNTIF('Managed Identities'!$C$2:$C$201,$A262)&gt;0,"Yes","NOT IN INVENTORY"))</f>
        <v/>
      </c>
    </row>
    <row r="263" customFormat="false" ht="15" hidden="false" customHeight="false" outlineLevel="0" collapsed="false">
      <c r="A263" s="46"/>
      <c r="B263" s="46"/>
      <c r="C263" s="47"/>
      <c r="D263" s="47"/>
      <c r="E263" s="46"/>
      <c r="F263" s="46"/>
      <c r="G263" s="47"/>
      <c r="H263" s="47"/>
      <c r="I263" s="47"/>
      <c r="J263" s="45" t="str">
        <f aca="false">IF($A263="","",IF(COUNTIF(Accounts!$C$2:$C$201,$A263)+COUNTIF('Service Principals'!$C$2:$C$201,$A263)+COUNTIF('Managed Identities'!$C$2:$C$201,$A263)&gt;0,"Yes","NOT IN INVENTORY"))</f>
        <v/>
      </c>
    </row>
    <row r="264" customFormat="false" ht="15" hidden="false" customHeight="false" outlineLevel="0" collapsed="false">
      <c r="A264" s="46"/>
      <c r="B264" s="46"/>
      <c r="C264" s="47"/>
      <c r="D264" s="47"/>
      <c r="E264" s="46"/>
      <c r="F264" s="46"/>
      <c r="G264" s="47"/>
      <c r="H264" s="47"/>
      <c r="I264" s="47"/>
      <c r="J264" s="45" t="str">
        <f aca="false">IF($A264="","",IF(COUNTIF(Accounts!$C$2:$C$201,$A264)+COUNTIF('Service Principals'!$C$2:$C$201,$A264)+COUNTIF('Managed Identities'!$C$2:$C$201,$A264)&gt;0,"Yes","NOT IN INVENTORY"))</f>
        <v/>
      </c>
    </row>
    <row r="265" customFormat="false" ht="15" hidden="false" customHeight="false" outlineLevel="0" collapsed="false">
      <c r="A265" s="46"/>
      <c r="B265" s="46"/>
      <c r="C265" s="47"/>
      <c r="D265" s="47"/>
      <c r="E265" s="46"/>
      <c r="F265" s="46"/>
      <c r="G265" s="47"/>
      <c r="H265" s="47"/>
      <c r="I265" s="47"/>
      <c r="J265" s="45" t="str">
        <f aca="false">IF($A265="","",IF(COUNTIF(Accounts!$C$2:$C$201,$A265)+COUNTIF('Service Principals'!$C$2:$C$201,$A265)+COUNTIF('Managed Identities'!$C$2:$C$201,$A265)&gt;0,"Yes","NOT IN INVENTORY"))</f>
        <v/>
      </c>
    </row>
    <row r="266" customFormat="false" ht="15" hidden="false" customHeight="false" outlineLevel="0" collapsed="false">
      <c r="A266" s="46"/>
      <c r="B266" s="46"/>
      <c r="C266" s="47"/>
      <c r="D266" s="47"/>
      <c r="E266" s="46"/>
      <c r="F266" s="46"/>
      <c r="G266" s="47"/>
      <c r="H266" s="47"/>
      <c r="I266" s="47"/>
      <c r="J266" s="45" t="str">
        <f aca="false">IF($A266="","",IF(COUNTIF(Accounts!$C$2:$C$201,$A266)+COUNTIF('Service Principals'!$C$2:$C$201,$A266)+COUNTIF('Managed Identities'!$C$2:$C$201,$A266)&gt;0,"Yes","NOT IN INVENTORY"))</f>
        <v/>
      </c>
    </row>
    <row r="267" customFormat="false" ht="15" hidden="false" customHeight="false" outlineLevel="0" collapsed="false">
      <c r="A267" s="46"/>
      <c r="B267" s="46"/>
      <c r="C267" s="47"/>
      <c r="D267" s="47"/>
      <c r="E267" s="46"/>
      <c r="F267" s="46"/>
      <c r="G267" s="47"/>
      <c r="H267" s="47"/>
      <c r="I267" s="47"/>
      <c r="J267" s="45" t="str">
        <f aca="false">IF($A267="","",IF(COUNTIF(Accounts!$C$2:$C$201,$A267)+COUNTIF('Service Principals'!$C$2:$C$201,$A267)+COUNTIF('Managed Identities'!$C$2:$C$201,$A267)&gt;0,"Yes","NOT IN INVENTORY"))</f>
        <v/>
      </c>
    </row>
    <row r="268" customFormat="false" ht="15" hidden="false" customHeight="false" outlineLevel="0" collapsed="false">
      <c r="A268" s="46"/>
      <c r="B268" s="46"/>
      <c r="C268" s="47"/>
      <c r="D268" s="47"/>
      <c r="E268" s="46"/>
      <c r="F268" s="46"/>
      <c r="G268" s="47"/>
      <c r="H268" s="47"/>
      <c r="I268" s="47"/>
      <c r="J268" s="45" t="str">
        <f aca="false">IF($A268="","",IF(COUNTIF(Accounts!$C$2:$C$201,$A268)+COUNTIF('Service Principals'!$C$2:$C$201,$A268)+COUNTIF('Managed Identities'!$C$2:$C$201,$A268)&gt;0,"Yes","NOT IN INVENTORY"))</f>
        <v/>
      </c>
    </row>
    <row r="269" customFormat="false" ht="15" hidden="false" customHeight="false" outlineLevel="0" collapsed="false">
      <c r="A269" s="46"/>
      <c r="B269" s="46"/>
      <c r="C269" s="47"/>
      <c r="D269" s="47"/>
      <c r="E269" s="46"/>
      <c r="F269" s="46"/>
      <c r="G269" s="47"/>
      <c r="H269" s="47"/>
      <c r="I269" s="47"/>
      <c r="J269" s="45" t="str">
        <f aca="false">IF($A269="","",IF(COUNTIF(Accounts!$C$2:$C$201,$A269)+COUNTIF('Service Principals'!$C$2:$C$201,$A269)+COUNTIF('Managed Identities'!$C$2:$C$201,$A269)&gt;0,"Yes","NOT IN INVENTORY"))</f>
        <v/>
      </c>
    </row>
    <row r="270" customFormat="false" ht="15" hidden="false" customHeight="false" outlineLevel="0" collapsed="false">
      <c r="A270" s="46"/>
      <c r="B270" s="46"/>
      <c r="C270" s="47"/>
      <c r="D270" s="47"/>
      <c r="E270" s="46"/>
      <c r="F270" s="46"/>
      <c r="G270" s="47"/>
      <c r="H270" s="47"/>
      <c r="I270" s="47"/>
      <c r="J270" s="45" t="str">
        <f aca="false">IF($A270="","",IF(COUNTIF(Accounts!$C$2:$C$201,$A270)+COUNTIF('Service Principals'!$C$2:$C$201,$A270)+COUNTIF('Managed Identities'!$C$2:$C$201,$A270)&gt;0,"Yes","NOT IN INVENTORY"))</f>
        <v/>
      </c>
    </row>
    <row r="271" customFormat="false" ht="15" hidden="false" customHeight="false" outlineLevel="0" collapsed="false">
      <c r="A271" s="46"/>
      <c r="B271" s="46"/>
      <c r="C271" s="47"/>
      <c r="D271" s="47"/>
      <c r="E271" s="46"/>
      <c r="F271" s="46"/>
      <c r="G271" s="47"/>
      <c r="H271" s="47"/>
      <c r="I271" s="47"/>
      <c r="J271" s="45" t="str">
        <f aca="false">IF($A271="","",IF(COUNTIF(Accounts!$C$2:$C$201,$A271)+COUNTIF('Service Principals'!$C$2:$C$201,$A271)+COUNTIF('Managed Identities'!$C$2:$C$201,$A271)&gt;0,"Yes","NOT IN INVENTORY"))</f>
        <v/>
      </c>
    </row>
    <row r="272" customFormat="false" ht="15" hidden="false" customHeight="false" outlineLevel="0" collapsed="false">
      <c r="A272" s="46"/>
      <c r="B272" s="46"/>
      <c r="C272" s="47"/>
      <c r="D272" s="47"/>
      <c r="E272" s="46"/>
      <c r="F272" s="46"/>
      <c r="G272" s="47"/>
      <c r="H272" s="47"/>
      <c r="I272" s="47"/>
      <c r="J272" s="45" t="str">
        <f aca="false">IF($A272="","",IF(COUNTIF(Accounts!$C$2:$C$201,$A272)+COUNTIF('Service Principals'!$C$2:$C$201,$A272)+COUNTIF('Managed Identities'!$C$2:$C$201,$A272)&gt;0,"Yes","NOT IN INVENTORY"))</f>
        <v/>
      </c>
    </row>
    <row r="273" customFormat="false" ht="15" hidden="false" customHeight="false" outlineLevel="0" collapsed="false">
      <c r="A273" s="46"/>
      <c r="B273" s="46"/>
      <c r="C273" s="47"/>
      <c r="D273" s="47"/>
      <c r="E273" s="46"/>
      <c r="F273" s="46"/>
      <c r="G273" s="47"/>
      <c r="H273" s="47"/>
      <c r="I273" s="47"/>
      <c r="J273" s="45" t="str">
        <f aca="false">IF($A273="","",IF(COUNTIF(Accounts!$C$2:$C$201,$A273)+COUNTIF('Service Principals'!$C$2:$C$201,$A273)+COUNTIF('Managed Identities'!$C$2:$C$201,$A273)&gt;0,"Yes","NOT IN INVENTORY"))</f>
        <v/>
      </c>
    </row>
    <row r="274" customFormat="false" ht="15" hidden="false" customHeight="false" outlineLevel="0" collapsed="false">
      <c r="A274" s="46"/>
      <c r="B274" s="46"/>
      <c r="C274" s="47"/>
      <c r="D274" s="47"/>
      <c r="E274" s="46"/>
      <c r="F274" s="46"/>
      <c r="G274" s="47"/>
      <c r="H274" s="47"/>
      <c r="I274" s="47"/>
      <c r="J274" s="45" t="str">
        <f aca="false">IF($A274="","",IF(COUNTIF(Accounts!$C$2:$C$201,$A274)+COUNTIF('Service Principals'!$C$2:$C$201,$A274)+COUNTIF('Managed Identities'!$C$2:$C$201,$A274)&gt;0,"Yes","NOT IN INVENTORY"))</f>
        <v/>
      </c>
    </row>
    <row r="275" customFormat="false" ht="15" hidden="false" customHeight="false" outlineLevel="0" collapsed="false">
      <c r="A275" s="46"/>
      <c r="B275" s="46"/>
      <c r="C275" s="47"/>
      <c r="D275" s="47"/>
      <c r="E275" s="46"/>
      <c r="F275" s="46"/>
      <c r="G275" s="47"/>
      <c r="H275" s="47"/>
      <c r="I275" s="47"/>
      <c r="J275" s="45" t="str">
        <f aca="false">IF($A275="","",IF(COUNTIF(Accounts!$C$2:$C$201,$A275)+COUNTIF('Service Principals'!$C$2:$C$201,$A275)+COUNTIF('Managed Identities'!$C$2:$C$201,$A275)&gt;0,"Yes","NOT IN INVENTORY"))</f>
        <v/>
      </c>
    </row>
    <row r="276" customFormat="false" ht="15" hidden="false" customHeight="false" outlineLevel="0" collapsed="false">
      <c r="A276" s="46"/>
      <c r="B276" s="46"/>
      <c r="C276" s="47"/>
      <c r="D276" s="47"/>
      <c r="E276" s="46"/>
      <c r="F276" s="46"/>
      <c r="G276" s="47"/>
      <c r="H276" s="47"/>
      <c r="I276" s="47"/>
      <c r="J276" s="45" t="str">
        <f aca="false">IF($A276="","",IF(COUNTIF(Accounts!$C$2:$C$201,$A276)+COUNTIF('Service Principals'!$C$2:$C$201,$A276)+COUNTIF('Managed Identities'!$C$2:$C$201,$A276)&gt;0,"Yes","NOT IN INVENTORY"))</f>
        <v/>
      </c>
    </row>
    <row r="277" customFormat="false" ht="15" hidden="false" customHeight="false" outlineLevel="0" collapsed="false">
      <c r="A277" s="46"/>
      <c r="B277" s="46"/>
      <c r="C277" s="47"/>
      <c r="D277" s="47"/>
      <c r="E277" s="46"/>
      <c r="F277" s="46"/>
      <c r="G277" s="47"/>
      <c r="H277" s="47"/>
      <c r="I277" s="47"/>
      <c r="J277" s="45" t="str">
        <f aca="false">IF($A277="","",IF(COUNTIF(Accounts!$C$2:$C$201,$A277)+COUNTIF('Service Principals'!$C$2:$C$201,$A277)+COUNTIF('Managed Identities'!$C$2:$C$201,$A277)&gt;0,"Yes","NOT IN INVENTORY"))</f>
        <v/>
      </c>
    </row>
    <row r="278" customFormat="false" ht="15" hidden="false" customHeight="false" outlineLevel="0" collapsed="false">
      <c r="A278" s="46"/>
      <c r="B278" s="46"/>
      <c r="C278" s="47"/>
      <c r="D278" s="47"/>
      <c r="E278" s="46"/>
      <c r="F278" s="46"/>
      <c r="G278" s="47"/>
      <c r="H278" s="47"/>
      <c r="I278" s="47"/>
      <c r="J278" s="45" t="str">
        <f aca="false">IF($A278="","",IF(COUNTIF(Accounts!$C$2:$C$201,$A278)+COUNTIF('Service Principals'!$C$2:$C$201,$A278)+COUNTIF('Managed Identities'!$C$2:$C$201,$A278)&gt;0,"Yes","NOT IN INVENTORY"))</f>
        <v/>
      </c>
    </row>
    <row r="279" customFormat="false" ht="15" hidden="false" customHeight="false" outlineLevel="0" collapsed="false">
      <c r="A279" s="46"/>
      <c r="B279" s="46"/>
      <c r="C279" s="47"/>
      <c r="D279" s="47"/>
      <c r="E279" s="46"/>
      <c r="F279" s="46"/>
      <c r="G279" s="47"/>
      <c r="H279" s="47"/>
      <c r="I279" s="47"/>
      <c r="J279" s="45" t="str">
        <f aca="false">IF($A279="","",IF(COUNTIF(Accounts!$C$2:$C$201,$A279)+COUNTIF('Service Principals'!$C$2:$C$201,$A279)+COUNTIF('Managed Identities'!$C$2:$C$201,$A279)&gt;0,"Yes","NOT IN INVENTORY"))</f>
        <v/>
      </c>
    </row>
    <row r="280" customFormat="false" ht="15" hidden="false" customHeight="false" outlineLevel="0" collapsed="false">
      <c r="A280" s="46"/>
      <c r="B280" s="46"/>
      <c r="C280" s="47"/>
      <c r="D280" s="47"/>
      <c r="E280" s="46"/>
      <c r="F280" s="46"/>
      <c r="G280" s="47"/>
      <c r="H280" s="47"/>
      <c r="I280" s="47"/>
      <c r="J280" s="45" t="str">
        <f aca="false">IF($A280="","",IF(COUNTIF(Accounts!$C$2:$C$201,$A280)+COUNTIF('Service Principals'!$C$2:$C$201,$A280)+COUNTIF('Managed Identities'!$C$2:$C$201,$A280)&gt;0,"Yes","NOT IN INVENTORY"))</f>
        <v/>
      </c>
    </row>
    <row r="281" customFormat="false" ht="15" hidden="false" customHeight="false" outlineLevel="0" collapsed="false">
      <c r="A281" s="46"/>
      <c r="B281" s="46"/>
      <c r="C281" s="47"/>
      <c r="D281" s="47"/>
      <c r="E281" s="46"/>
      <c r="F281" s="46"/>
      <c r="G281" s="47"/>
      <c r="H281" s="47"/>
      <c r="I281" s="47"/>
      <c r="J281" s="45" t="str">
        <f aca="false">IF($A281="","",IF(COUNTIF(Accounts!$C$2:$C$201,$A281)+COUNTIF('Service Principals'!$C$2:$C$201,$A281)+COUNTIF('Managed Identities'!$C$2:$C$201,$A281)&gt;0,"Yes","NOT IN INVENTORY"))</f>
        <v/>
      </c>
    </row>
    <row r="282" customFormat="false" ht="15" hidden="false" customHeight="false" outlineLevel="0" collapsed="false">
      <c r="A282" s="46"/>
      <c r="B282" s="46"/>
      <c r="C282" s="47"/>
      <c r="D282" s="47"/>
      <c r="E282" s="46"/>
      <c r="F282" s="46"/>
      <c r="G282" s="47"/>
      <c r="H282" s="47"/>
      <c r="I282" s="47"/>
      <c r="J282" s="45" t="str">
        <f aca="false">IF($A282="","",IF(COUNTIF(Accounts!$C$2:$C$201,$A282)+COUNTIF('Service Principals'!$C$2:$C$201,$A282)+COUNTIF('Managed Identities'!$C$2:$C$201,$A282)&gt;0,"Yes","NOT IN INVENTORY"))</f>
        <v/>
      </c>
    </row>
    <row r="283" customFormat="false" ht="15" hidden="false" customHeight="false" outlineLevel="0" collapsed="false">
      <c r="A283" s="46"/>
      <c r="B283" s="46"/>
      <c r="C283" s="47"/>
      <c r="D283" s="47"/>
      <c r="E283" s="46"/>
      <c r="F283" s="46"/>
      <c r="G283" s="47"/>
      <c r="H283" s="47"/>
      <c r="I283" s="47"/>
      <c r="J283" s="45" t="str">
        <f aca="false">IF($A283="","",IF(COUNTIF(Accounts!$C$2:$C$201,$A283)+COUNTIF('Service Principals'!$C$2:$C$201,$A283)+COUNTIF('Managed Identities'!$C$2:$C$201,$A283)&gt;0,"Yes","NOT IN INVENTORY"))</f>
        <v/>
      </c>
    </row>
    <row r="284" customFormat="false" ht="15" hidden="false" customHeight="false" outlineLevel="0" collapsed="false">
      <c r="A284" s="46"/>
      <c r="B284" s="46"/>
      <c r="C284" s="47"/>
      <c r="D284" s="47"/>
      <c r="E284" s="46"/>
      <c r="F284" s="46"/>
      <c r="G284" s="47"/>
      <c r="H284" s="47"/>
      <c r="I284" s="47"/>
      <c r="J284" s="45" t="str">
        <f aca="false">IF($A284="","",IF(COUNTIF(Accounts!$C$2:$C$201,$A284)+COUNTIF('Service Principals'!$C$2:$C$201,$A284)+COUNTIF('Managed Identities'!$C$2:$C$201,$A284)&gt;0,"Yes","NOT IN INVENTORY"))</f>
        <v/>
      </c>
    </row>
    <row r="285" customFormat="false" ht="15" hidden="false" customHeight="false" outlineLevel="0" collapsed="false">
      <c r="A285" s="46"/>
      <c r="B285" s="46"/>
      <c r="C285" s="47"/>
      <c r="D285" s="47"/>
      <c r="E285" s="46"/>
      <c r="F285" s="46"/>
      <c r="G285" s="47"/>
      <c r="H285" s="47"/>
      <c r="I285" s="47"/>
      <c r="J285" s="45" t="str">
        <f aca="false">IF($A285="","",IF(COUNTIF(Accounts!$C$2:$C$201,$A285)+COUNTIF('Service Principals'!$C$2:$C$201,$A285)+COUNTIF('Managed Identities'!$C$2:$C$201,$A285)&gt;0,"Yes","NOT IN INVENTORY"))</f>
        <v/>
      </c>
    </row>
    <row r="286" customFormat="false" ht="15" hidden="false" customHeight="false" outlineLevel="0" collapsed="false">
      <c r="A286" s="46"/>
      <c r="B286" s="46"/>
      <c r="C286" s="47"/>
      <c r="D286" s="47"/>
      <c r="E286" s="46"/>
      <c r="F286" s="46"/>
      <c r="G286" s="47"/>
      <c r="H286" s="47"/>
      <c r="I286" s="47"/>
      <c r="J286" s="45" t="str">
        <f aca="false">IF($A286="","",IF(COUNTIF(Accounts!$C$2:$C$201,$A286)+COUNTIF('Service Principals'!$C$2:$C$201,$A286)+COUNTIF('Managed Identities'!$C$2:$C$201,$A286)&gt;0,"Yes","NOT IN INVENTORY"))</f>
        <v/>
      </c>
    </row>
    <row r="287" customFormat="false" ht="15" hidden="false" customHeight="false" outlineLevel="0" collapsed="false">
      <c r="A287" s="46"/>
      <c r="B287" s="46"/>
      <c r="C287" s="47"/>
      <c r="D287" s="47"/>
      <c r="E287" s="46"/>
      <c r="F287" s="46"/>
      <c r="G287" s="47"/>
      <c r="H287" s="47"/>
      <c r="I287" s="47"/>
      <c r="J287" s="45" t="str">
        <f aca="false">IF($A287="","",IF(COUNTIF(Accounts!$C$2:$C$201,$A287)+COUNTIF('Service Principals'!$C$2:$C$201,$A287)+COUNTIF('Managed Identities'!$C$2:$C$201,$A287)&gt;0,"Yes","NOT IN INVENTORY"))</f>
        <v/>
      </c>
    </row>
    <row r="288" customFormat="false" ht="15" hidden="false" customHeight="false" outlineLevel="0" collapsed="false">
      <c r="A288" s="46"/>
      <c r="B288" s="46"/>
      <c r="C288" s="47"/>
      <c r="D288" s="47"/>
      <c r="E288" s="46"/>
      <c r="F288" s="46"/>
      <c r="G288" s="47"/>
      <c r="H288" s="47"/>
      <c r="I288" s="47"/>
      <c r="J288" s="45" t="str">
        <f aca="false">IF($A288="","",IF(COUNTIF(Accounts!$C$2:$C$201,$A288)+COUNTIF('Service Principals'!$C$2:$C$201,$A288)+COUNTIF('Managed Identities'!$C$2:$C$201,$A288)&gt;0,"Yes","NOT IN INVENTORY"))</f>
        <v/>
      </c>
    </row>
    <row r="289" customFormat="false" ht="15" hidden="false" customHeight="false" outlineLevel="0" collapsed="false">
      <c r="A289" s="46"/>
      <c r="B289" s="46"/>
      <c r="C289" s="47"/>
      <c r="D289" s="47"/>
      <c r="E289" s="46"/>
      <c r="F289" s="46"/>
      <c r="G289" s="47"/>
      <c r="H289" s="47"/>
      <c r="I289" s="47"/>
      <c r="J289" s="45" t="str">
        <f aca="false">IF($A289="","",IF(COUNTIF(Accounts!$C$2:$C$201,$A289)+COUNTIF('Service Principals'!$C$2:$C$201,$A289)+COUNTIF('Managed Identities'!$C$2:$C$201,$A289)&gt;0,"Yes","NOT IN INVENTORY"))</f>
        <v/>
      </c>
    </row>
    <row r="290" customFormat="false" ht="15" hidden="false" customHeight="false" outlineLevel="0" collapsed="false">
      <c r="A290" s="46"/>
      <c r="B290" s="46"/>
      <c r="C290" s="47"/>
      <c r="D290" s="47"/>
      <c r="E290" s="46"/>
      <c r="F290" s="46"/>
      <c r="G290" s="47"/>
      <c r="H290" s="47"/>
      <c r="I290" s="47"/>
      <c r="J290" s="45" t="str">
        <f aca="false">IF($A290="","",IF(COUNTIF(Accounts!$C$2:$C$201,$A290)+COUNTIF('Service Principals'!$C$2:$C$201,$A290)+COUNTIF('Managed Identities'!$C$2:$C$201,$A290)&gt;0,"Yes","NOT IN INVENTORY"))</f>
        <v/>
      </c>
    </row>
    <row r="291" customFormat="false" ht="15" hidden="false" customHeight="false" outlineLevel="0" collapsed="false">
      <c r="A291" s="46"/>
      <c r="B291" s="46"/>
      <c r="C291" s="47"/>
      <c r="D291" s="47"/>
      <c r="E291" s="46"/>
      <c r="F291" s="46"/>
      <c r="G291" s="47"/>
      <c r="H291" s="47"/>
      <c r="I291" s="47"/>
      <c r="J291" s="45" t="str">
        <f aca="false">IF($A291="","",IF(COUNTIF(Accounts!$C$2:$C$201,$A291)+COUNTIF('Service Principals'!$C$2:$C$201,$A291)+COUNTIF('Managed Identities'!$C$2:$C$201,$A291)&gt;0,"Yes","NOT IN INVENTORY"))</f>
        <v/>
      </c>
    </row>
    <row r="292" customFormat="false" ht="15" hidden="false" customHeight="false" outlineLevel="0" collapsed="false">
      <c r="A292" s="46"/>
      <c r="B292" s="46"/>
      <c r="C292" s="47"/>
      <c r="D292" s="47"/>
      <c r="E292" s="46"/>
      <c r="F292" s="46"/>
      <c r="G292" s="47"/>
      <c r="H292" s="47"/>
      <c r="I292" s="47"/>
      <c r="J292" s="45" t="str">
        <f aca="false">IF($A292="","",IF(COUNTIF(Accounts!$C$2:$C$201,$A292)+COUNTIF('Service Principals'!$C$2:$C$201,$A292)+COUNTIF('Managed Identities'!$C$2:$C$201,$A292)&gt;0,"Yes","NOT IN INVENTORY"))</f>
        <v/>
      </c>
    </row>
    <row r="293" customFormat="false" ht="15" hidden="false" customHeight="false" outlineLevel="0" collapsed="false">
      <c r="A293" s="46"/>
      <c r="B293" s="46"/>
      <c r="C293" s="47"/>
      <c r="D293" s="47"/>
      <c r="E293" s="46"/>
      <c r="F293" s="46"/>
      <c r="G293" s="47"/>
      <c r="H293" s="47"/>
      <c r="I293" s="47"/>
      <c r="J293" s="45" t="str">
        <f aca="false">IF($A293="","",IF(COUNTIF(Accounts!$C$2:$C$201,$A293)+COUNTIF('Service Principals'!$C$2:$C$201,$A293)+COUNTIF('Managed Identities'!$C$2:$C$201,$A293)&gt;0,"Yes","NOT IN INVENTORY"))</f>
        <v/>
      </c>
    </row>
    <row r="294" customFormat="false" ht="15" hidden="false" customHeight="false" outlineLevel="0" collapsed="false">
      <c r="A294" s="46"/>
      <c r="B294" s="46"/>
      <c r="C294" s="47"/>
      <c r="D294" s="47"/>
      <c r="E294" s="46"/>
      <c r="F294" s="46"/>
      <c r="G294" s="47"/>
      <c r="H294" s="47"/>
      <c r="I294" s="47"/>
      <c r="J294" s="45" t="str">
        <f aca="false">IF($A294="","",IF(COUNTIF(Accounts!$C$2:$C$201,$A294)+COUNTIF('Service Principals'!$C$2:$C$201,$A294)+COUNTIF('Managed Identities'!$C$2:$C$201,$A294)&gt;0,"Yes","NOT IN INVENTORY"))</f>
        <v/>
      </c>
    </row>
    <row r="295" customFormat="false" ht="15" hidden="false" customHeight="false" outlineLevel="0" collapsed="false">
      <c r="A295" s="46"/>
      <c r="B295" s="46"/>
      <c r="C295" s="47"/>
      <c r="D295" s="47"/>
      <c r="E295" s="46"/>
      <c r="F295" s="46"/>
      <c r="G295" s="47"/>
      <c r="H295" s="47"/>
      <c r="I295" s="47"/>
      <c r="J295" s="45" t="str">
        <f aca="false">IF($A295="","",IF(COUNTIF(Accounts!$C$2:$C$201,$A295)+COUNTIF('Service Principals'!$C$2:$C$201,$A295)+COUNTIF('Managed Identities'!$C$2:$C$201,$A295)&gt;0,"Yes","NOT IN INVENTORY"))</f>
        <v/>
      </c>
    </row>
    <row r="296" customFormat="false" ht="15" hidden="false" customHeight="false" outlineLevel="0" collapsed="false">
      <c r="A296" s="46"/>
      <c r="B296" s="46"/>
      <c r="C296" s="47"/>
      <c r="D296" s="47"/>
      <c r="E296" s="46"/>
      <c r="F296" s="46"/>
      <c r="G296" s="47"/>
      <c r="H296" s="47"/>
      <c r="I296" s="47"/>
      <c r="J296" s="45" t="str">
        <f aca="false">IF($A296="","",IF(COUNTIF(Accounts!$C$2:$C$201,$A296)+COUNTIF('Service Principals'!$C$2:$C$201,$A296)+COUNTIF('Managed Identities'!$C$2:$C$201,$A296)&gt;0,"Yes","NOT IN INVENTORY"))</f>
        <v/>
      </c>
    </row>
    <row r="297" customFormat="false" ht="15" hidden="false" customHeight="false" outlineLevel="0" collapsed="false">
      <c r="A297" s="46"/>
      <c r="B297" s="46"/>
      <c r="C297" s="47"/>
      <c r="D297" s="47"/>
      <c r="E297" s="46"/>
      <c r="F297" s="46"/>
      <c r="G297" s="47"/>
      <c r="H297" s="47"/>
      <c r="I297" s="47"/>
      <c r="J297" s="45" t="str">
        <f aca="false">IF($A297="","",IF(COUNTIF(Accounts!$C$2:$C$201,$A297)+COUNTIF('Service Principals'!$C$2:$C$201,$A297)+COUNTIF('Managed Identities'!$C$2:$C$201,$A297)&gt;0,"Yes","NOT IN INVENTORY"))</f>
        <v/>
      </c>
    </row>
    <row r="298" customFormat="false" ht="15" hidden="false" customHeight="false" outlineLevel="0" collapsed="false">
      <c r="A298" s="46"/>
      <c r="B298" s="46"/>
      <c r="C298" s="47"/>
      <c r="D298" s="47"/>
      <c r="E298" s="46"/>
      <c r="F298" s="46"/>
      <c r="G298" s="47"/>
      <c r="H298" s="47"/>
      <c r="I298" s="47"/>
      <c r="J298" s="45" t="str">
        <f aca="false">IF($A298="","",IF(COUNTIF(Accounts!$C$2:$C$201,$A298)+COUNTIF('Service Principals'!$C$2:$C$201,$A298)+COUNTIF('Managed Identities'!$C$2:$C$201,$A298)&gt;0,"Yes","NOT IN INVENTORY"))</f>
        <v/>
      </c>
    </row>
    <row r="299" customFormat="false" ht="15" hidden="false" customHeight="false" outlineLevel="0" collapsed="false">
      <c r="A299" s="46"/>
      <c r="B299" s="46"/>
      <c r="C299" s="47"/>
      <c r="D299" s="47"/>
      <c r="E299" s="46"/>
      <c r="F299" s="46"/>
      <c r="G299" s="47"/>
      <c r="H299" s="47"/>
      <c r="I299" s="47"/>
      <c r="J299" s="45" t="str">
        <f aca="false">IF($A299="","",IF(COUNTIF(Accounts!$C$2:$C$201,$A299)+COUNTIF('Service Principals'!$C$2:$C$201,$A299)+COUNTIF('Managed Identities'!$C$2:$C$201,$A299)&gt;0,"Yes","NOT IN INVENTORY"))</f>
        <v/>
      </c>
    </row>
    <row r="300" customFormat="false" ht="15" hidden="false" customHeight="false" outlineLevel="0" collapsed="false">
      <c r="A300" s="46"/>
      <c r="B300" s="46"/>
      <c r="C300" s="47"/>
      <c r="D300" s="47"/>
      <c r="E300" s="46"/>
      <c r="F300" s="46"/>
      <c r="G300" s="47"/>
      <c r="H300" s="47"/>
      <c r="I300" s="47"/>
      <c r="J300" s="45" t="str">
        <f aca="false">IF($A300="","",IF(COUNTIF(Accounts!$C$2:$C$201,$A300)+COUNTIF('Service Principals'!$C$2:$C$201,$A300)+COUNTIF('Managed Identities'!$C$2:$C$201,$A300)&gt;0,"Yes","NOT IN INVENTORY"))</f>
        <v/>
      </c>
    </row>
    <row r="301" customFormat="false" ht="15" hidden="false" customHeight="false" outlineLevel="0" collapsed="false">
      <c r="A301" s="46"/>
      <c r="B301" s="46"/>
      <c r="C301" s="47"/>
      <c r="D301" s="47"/>
      <c r="E301" s="46"/>
      <c r="F301" s="46"/>
      <c r="G301" s="47"/>
      <c r="H301" s="47"/>
      <c r="I301" s="47"/>
      <c r="J301" s="45" t="str">
        <f aca="false">IF($A301="","",IF(COUNTIF(Accounts!$C$2:$C$201,$A301)+COUNTIF('Service Principals'!$C$2:$C$201,$A301)+COUNTIF('Managed Identities'!$C$2:$C$201,$A301)&gt;0,"Yes","NOT IN INVENTORY"))</f>
        <v/>
      </c>
    </row>
    <row r="302" customFormat="false" ht="15" hidden="false" customHeight="false" outlineLevel="0" collapsed="false">
      <c r="A302" s="46"/>
      <c r="B302" s="46"/>
      <c r="C302" s="47"/>
      <c r="D302" s="47"/>
      <c r="E302" s="46"/>
      <c r="F302" s="46"/>
      <c r="G302" s="47"/>
      <c r="H302" s="47"/>
      <c r="I302" s="47"/>
      <c r="J302" s="45" t="str">
        <f aca="false">IF($A302="","",IF(COUNTIF(Accounts!$C$2:$C$201,$A302)+COUNTIF('Service Principals'!$C$2:$C$201,$A302)+COUNTIF('Managed Identities'!$C$2:$C$201,$A302)&gt;0,"Yes","NOT IN INVENTORY"))</f>
        <v/>
      </c>
    </row>
    <row r="303" customFormat="false" ht="15" hidden="false" customHeight="false" outlineLevel="0" collapsed="false">
      <c r="A303" s="46"/>
      <c r="B303" s="46"/>
      <c r="C303" s="47"/>
      <c r="D303" s="47"/>
      <c r="E303" s="46"/>
      <c r="F303" s="46"/>
      <c r="G303" s="47"/>
      <c r="H303" s="47"/>
      <c r="I303" s="47"/>
      <c r="J303" s="45" t="str">
        <f aca="false">IF($A303="","",IF(COUNTIF(Accounts!$C$2:$C$201,$A303)+COUNTIF('Service Principals'!$C$2:$C$201,$A303)+COUNTIF('Managed Identities'!$C$2:$C$201,$A303)&gt;0,"Yes","NOT IN INVENTORY"))</f>
        <v/>
      </c>
    </row>
    <row r="304" customFormat="false" ht="15" hidden="false" customHeight="false" outlineLevel="0" collapsed="false">
      <c r="A304" s="46"/>
      <c r="B304" s="46"/>
      <c r="C304" s="47"/>
      <c r="D304" s="47"/>
      <c r="E304" s="46"/>
      <c r="F304" s="46"/>
      <c r="G304" s="47"/>
      <c r="H304" s="47"/>
      <c r="I304" s="47"/>
      <c r="J304" s="45" t="str">
        <f aca="false">IF($A304="","",IF(COUNTIF(Accounts!$C$2:$C$201,$A304)+COUNTIF('Service Principals'!$C$2:$C$201,$A304)+COUNTIF('Managed Identities'!$C$2:$C$201,$A304)&gt;0,"Yes","NOT IN INVENTORY"))</f>
        <v/>
      </c>
    </row>
    <row r="305" customFormat="false" ht="15" hidden="false" customHeight="false" outlineLevel="0" collapsed="false">
      <c r="A305" s="46"/>
      <c r="B305" s="46"/>
      <c r="C305" s="47"/>
      <c r="D305" s="47"/>
      <c r="E305" s="46"/>
      <c r="F305" s="46"/>
      <c r="G305" s="47"/>
      <c r="H305" s="47"/>
      <c r="I305" s="47"/>
      <c r="J305" s="45" t="str">
        <f aca="false">IF($A305="","",IF(COUNTIF(Accounts!$C$2:$C$201,$A305)+COUNTIF('Service Principals'!$C$2:$C$201,$A305)+COUNTIF('Managed Identities'!$C$2:$C$201,$A305)&gt;0,"Yes","NOT IN INVENTORY"))</f>
        <v/>
      </c>
    </row>
    <row r="306" customFormat="false" ht="15" hidden="false" customHeight="false" outlineLevel="0" collapsed="false">
      <c r="A306" s="46"/>
      <c r="B306" s="46"/>
      <c r="C306" s="47"/>
      <c r="D306" s="47"/>
      <c r="E306" s="46"/>
      <c r="F306" s="46"/>
      <c r="G306" s="47"/>
      <c r="H306" s="47"/>
      <c r="I306" s="47"/>
      <c r="J306" s="45" t="str">
        <f aca="false">IF($A306="","",IF(COUNTIF(Accounts!$C$2:$C$201,$A306)+COUNTIF('Service Principals'!$C$2:$C$201,$A306)+COUNTIF('Managed Identities'!$C$2:$C$201,$A306)&gt;0,"Yes","NOT IN INVENTORY"))</f>
        <v/>
      </c>
    </row>
    <row r="307" customFormat="false" ht="15" hidden="false" customHeight="false" outlineLevel="0" collapsed="false">
      <c r="A307" s="46"/>
      <c r="B307" s="46"/>
      <c r="C307" s="47"/>
      <c r="D307" s="47"/>
      <c r="E307" s="46"/>
      <c r="F307" s="46"/>
      <c r="G307" s="47"/>
      <c r="H307" s="47"/>
      <c r="I307" s="47"/>
      <c r="J307" s="45" t="str">
        <f aca="false">IF($A307="","",IF(COUNTIF(Accounts!$C$2:$C$201,$A307)+COUNTIF('Service Principals'!$C$2:$C$201,$A307)+COUNTIF('Managed Identities'!$C$2:$C$201,$A307)&gt;0,"Yes","NOT IN INVENTORY"))</f>
        <v/>
      </c>
    </row>
    <row r="308" customFormat="false" ht="15" hidden="false" customHeight="false" outlineLevel="0" collapsed="false">
      <c r="A308" s="46"/>
      <c r="B308" s="46"/>
      <c r="C308" s="47"/>
      <c r="D308" s="47"/>
      <c r="E308" s="46"/>
      <c r="F308" s="46"/>
      <c r="G308" s="47"/>
      <c r="H308" s="47"/>
      <c r="I308" s="47"/>
      <c r="J308" s="45" t="str">
        <f aca="false">IF($A308="","",IF(COUNTIF(Accounts!$C$2:$C$201,$A308)+COUNTIF('Service Principals'!$C$2:$C$201,$A308)+COUNTIF('Managed Identities'!$C$2:$C$201,$A308)&gt;0,"Yes","NOT IN INVENTORY"))</f>
        <v/>
      </c>
    </row>
    <row r="309" customFormat="false" ht="15" hidden="false" customHeight="false" outlineLevel="0" collapsed="false">
      <c r="A309" s="46"/>
      <c r="B309" s="46"/>
      <c r="C309" s="47"/>
      <c r="D309" s="47"/>
      <c r="E309" s="46"/>
      <c r="F309" s="46"/>
      <c r="G309" s="47"/>
      <c r="H309" s="47"/>
      <c r="I309" s="47"/>
      <c r="J309" s="45" t="str">
        <f aca="false">IF($A309="","",IF(COUNTIF(Accounts!$C$2:$C$201,$A309)+COUNTIF('Service Principals'!$C$2:$C$201,$A309)+COUNTIF('Managed Identities'!$C$2:$C$201,$A309)&gt;0,"Yes","NOT IN INVENTORY"))</f>
        <v/>
      </c>
    </row>
    <row r="310" customFormat="false" ht="15" hidden="false" customHeight="false" outlineLevel="0" collapsed="false">
      <c r="A310" s="46"/>
      <c r="B310" s="46"/>
      <c r="C310" s="47"/>
      <c r="D310" s="47"/>
      <c r="E310" s="46"/>
      <c r="F310" s="46"/>
      <c r="G310" s="47"/>
      <c r="H310" s="47"/>
      <c r="I310" s="47"/>
      <c r="J310" s="45" t="str">
        <f aca="false">IF($A310="","",IF(COUNTIF(Accounts!$C$2:$C$201,$A310)+COUNTIF('Service Principals'!$C$2:$C$201,$A310)+COUNTIF('Managed Identities'!$C$2:$C$201,$A310)&gt;0,"Yes","NOT IN INVENTORY"))</f>
        <v/>
      </c>
    </row>
    <row r="311" customFormat="false" ht="15" hidden="false" customHeight="false" outlineLevel="0" collapsed="false">
      <c r="A311" s="46"/>
      <c r="B311" s="46"/>
      <c r="C311" s="47"/>
      <c r="D311" s="47"/>
      <c r="E311" s="46"/>
      <c r="F311" s="46"/>
      <c r="G311" s="47"/>
      <c r="H311" s="47"/>
      <c r="I311" s="47"/>
      <c r="J311" s="45" t="str">
        <f aca="false">IF($A311="","",IF(COUNTIF(Accounts!$C$2:$C$201,$A311)+COUNTIF('Service Principals'!$C$2:$C$201,$A311)+COUNTIF('Managed Identities'!$C$2:$C$201,$A311)&gt;0,"Yes","NOT IN INVENTORY"))</f>
        <v/>
      </c>
    </row>
    <row r="312" customFormat="false" ht="15" hidden="false" customHeight="false" outlineLevel="0" collapsed="false">
      <c r="A312" s="46"/>
      <c r="B312" s="46"/>
      <c r="C312" s="47"/>
      <c r="D312" s="47"/>
      <c r="E312" s="46"/>
      <c r="F312" s="46"/>
      <c r="G312" s="47"/>
      <c r="H312" s="47"/>
      <c r="I312" s="47"/>
      <c r="J312" s="45" t="str">
        <f aca="false">IF($A312="","",IF(COUNTIF(Accounts!$C$2:$C$201,$A312)+COUNTIF('Service Principals'!$C$2:$C$201,$A312)+COUNTIF('Managed Identities'!$C$2:$C$201,$A312)&gt;0,"Yes","NOT IN INVENTORY"))</f>
        <v/>
      </c>
    </row>
    <row r="313" customFormat="false" ht="15" hidden="false" customHeight="false" outlineLevel="0" collapsed="false">
      <c r="A313" s="46"/>
      <c r="B313" s="46"/>
      <c r="C313" s="47"/>
      <c r="D313" s="47"/>
      <c r="E313" s="46"/>
      <c r="F313" s="46"/>
      <c r="G313" s="47"/>
      <c r="H313" s="47"/>
      <c r="I313" s="47"/>
      <c r="J313" s="45" t="str">
        <f aca="false">IF($A313="","",IF(COUNTIF(Accounts!$C$2:$C$201,$A313)+COUNTIF('Service Principals'!$C$2:$C$201,$A313)+COUNTIF('Managed Identities'!$C$2:$C$201,$A313)&gt;0,"Yes","NOT IN INVENTORY"))</f>
        <v/>
      </c>
    </row>
    <row r="314" customFormat="false" ht="15" hidden="false" customHeight="false" outlineLevel="0" collapsed="false">
      <c r="A314" s="46"/>
      <c r="B314" s="46"/>
      <c r="C314" s="47"/>
      <c r="D314" s="47"/>
      <c r="E314" s="46"/>
      <c r="F314" s="46"/>
      <c r="G314" s="47"/>
      <c r="H314" s="47"/>
      <c r="I314" s="47"/>
      <c r="J314" s="45" t="str">
        <f aca="false">IF($A314="","",IF(COUNTIF(Accounts!$C$2:$C$201,$A314)+COUNTIF('Service Principals'!$C$2:$C$201,$A314)+COUNTIF('Managed Identities'!$C$2:$C$201,$A314)&gt;0,"Yes","NOT IN INVENTORY"))</f>
        <v/>
      </c>
    </row>
    <row r="315" customFormat="false" ht="15" hidden="false" customHeight="false" outlineLevel="0" collapsed="false">
      <c r="A315" s="46"/>
      <c r="B315" s="46"/>
      <c r="C315" s="47"/>
      <c r="D315" s="47"/>
      <c r="E315" s="46"/>
      <c r="F315" s="46"/>
      <c r="G315" s="47"/>
      <c r="H315" s="47"/>
      <c r="I315" s="47"/>
      <c r="J315" s="45" t="str">
        <f aca="false">IF($A315="","",IF(COUNTIF(Accounts!$C$2:$C$201,$A315)+COUNTIF('Service Principals'!$C$2:$C$201,$A315)+COUNTIF('Managed Identities'!$C$2:$C$201,$A315)&gt;0,"Yes","NOT IN INVENTORY"))</f>
        <v/>
      </c>
    </row>
    <row r="316" customFormat="false" ht="15" hidden="false" customHeight="false" outlineLevel="0" collapsed="false">
      <c r="A316" s="46"/>
      <c r="B316" s="46"/>
      <c r="C316" s="47"/>
      <c r="D316" s="47"/>
      <c r="E316" s="46"/>
      <c r="F316" s="46"/>
      <c r="G316" s="47"/>
      <c r="H316" s="47"/>
      <c r="I316" s="47"/>
      <c r="J316" s="45" t="str">
        <f aca="false">IF($A316="","",IF(COUNTIF(Accounts!$C$2:$C$201,$A316)+COUNTIF('Service Principals'!$C$2:$C$201,$A316)+COUNTIF('Managed Identities'!$C$2:$C$201,$A316)&gt;0,"Yes","NOT IN INVENTORY"))</f>
        <v/>
      </c>
    </row>
    <row r="317" customFormat="false" ht="15" hidden="false" customHeight="false" outlineLevel="0" collapsed="false">
      <c r="A317" s="46"/>
      <c r="B317" s="46"/>
      <c r="C317" s="47"/>
      <c r="D317" s="47"/>
      <c r="E317" s="46"/>
      <c r="F317" s="46"/>
      <c r="G317" s="47"/>
      <c r="H317" s="47"/>
      <c r="I317" s="47"/>
      <c r="J317" s="45" t="str">
        <f aca="false">IF($A317="","",IF(COUNTIF(Accounts!$C$2:$C$201,$A317)+COUNTIF('Service Principals'!$C$2:$C$201,$A317)+COUNTIF('Managed Identities'!$C$2:$C$201,$A317)&gt;0,"Yes","NOT IN INVENTORY"))</f>
        <v/>
      </c>
    </row>
    <row r="318" customFormat="false" ht="15" hidden="false" customHeight="false" outlineLevel="0" collapsed="false">
      <c r="A318" s="46"/>
      <c r="B318" s="46"/>
      <c r="C318" s="47"/>
      <c r="D318" s="47"/>
      <c r="E318" s="46"/>
      <c r="F318" s="46"/>
      <c r="G318" s="47"/>
      <c r="H318" s="47"/>
      <c r="I318" s="47"/>
      <c r="J318" s="45" t="str">
        <f aca="false">IF($A318="","",IF(COUNTIF(Accounts!$C$2:$C$201,$A318)+COUNTIF('Service Principals'!$C$2:$C$201,$A318)+COUNTIF('Managed Identities'!$C$2:$C$201,$A318)&gt;0,"Yes","NOT IN INVENTORY"))</f>
        <v/>
      </c>
    </row>
    <row r="319" customFormat="false" ht="15" hidden="false" customHeight="false" outlineLevel="0" collapsed="false">
      <c r="A319" s="46"/>
      <c r="B319" s="46"/>
      <c r="C319" s="47"/>
      <c r="D319" s="47"/>
      <c r="E319" s="46"/>
      <c r="F319" s="46"/>
      <c r="G319" s="47"/>
      <c r="H319" s="47"/>
      <c r="I319" s="47"/>
      <c r="J319" s="45" t="str">
        <f aca="false">IF($A319="","",IF(COUNTIF(Accounts!$C$2:$C$201,$A319)+COUNTIF('Service Principals'!$C$2:$C$201,$A319)+COUNTIF('Managed Identities'!$C$2:$C$201,$A319)&gt;0,"Yes","NOT IN INVENTORY"))</f>
        <v/>
      </c>
    </row>
    <row r="320" customFormat="false" ht="15" hidden="false" customHeight="false" outlineLevel="0" collapsed="false">
      <c r="A320" s="46"/>
      <c r="B320" s="46"/>
      <c r="C320" s="47"/>
      <c r="D320" s="47"/>
      <c r="E320" s="46"/>
      <c r="F320" s="46"/>
      <c r="G320" s="47"/>
      <c r="H320" s="47"/>
      <c r="I320" s="47"/>
      <c r="J320" s="45" t="str">
        <f aca="false">IF($A320="","",IF(COUNTIF(Accounts!$C$2:$C$201,$A320)+COUNTIF('Service Principals'!$C$2:$C$201,$A320)+COUNTIF('Managed Identities'!$C$2:$C$201,$A320)&gt;0,"Yes","NOT IN INVENTORY"))</f>
        <v/>
      </c>
    </row>
    <row r="321" customFormat="false" ht="15" hidden="false" customHeight="false" outlineLevel="0" collapsed="false">
      <c r="A321" s="46"/>
      <c r="B321" s="46"/>
      <c r="C321" s="47"/>
      <c r="D321" s="47"/>
      <c r="E321" s="46"/>
      <c r="F321" s="46"/>
      <c r="G321" s="47"/>
      <c r="H321" s="47"/>
      <c r="I321" s="47"/>
      <c r="J321" s="45" t="str">
        <f aca="false">IF($A321="","",IF(COUNTIF(Accounts!$C$2:$C$201,$A321)+COUNTIF('Service Principals'!$C$2:$C$201,$A321)+COUNTIF('Managed Identities'!$C$2:$C$201,$A321)&gt;0,"Yes","NOT IN INVENTORY"))</f>
        <v/>
      </c>
    </row>
    <row r="322" customFormat="false" ht="15" hidden="false" customHeight="false" outlineLevel="0" collapsed="false">
      <c r="A322" s="46"/>
      <c r="B322" s="46"/>
      <c r="C322" s="47"/>
      <c r="D322" s="47"/>
      <c r="E322" s="46"/>
      <c r="F322" s="46"/>
      <c r="G322" s="47"/>
      <c r="H322" s="47"/>
      <c r="I322" s="47"/>
      <c r="J322" s="45" t="str">
        <f aca="false">IF($A322="","",IF(COUNTIF(Accounts!$C$2:$C$201,$A322)+COUNTIF('Service Principals'!$C$2:$C$201,$A322)+COUNTIF('Managed Identities'!$C$2:$C$201,$A322)&gt;0,"Yes","NOT IN INVENTORY"))</f>
        <v/>
      </c>
    </row>
    <row r="323" customFormat="false" ht="15" hidden="false" customHeight="false" outlineLevel="0" collapsed="false">
      <c r="A323" s="46"/>
      <c r="B323" s="46"/>
      <c r="C323" s="47"/>
      <c r="D323" s="47"/>
      <c r="E323" s="46"/>
      <c r="F323" s="46"/>
      <c r="G323" s="47"/>
      <c r="H323" s="47"/>
      <c r="I323" s="47"/>
      <c r="J323" s="45" t="str">
        <f aca="false">IF($A323="","",IF(COUNTIF(Accounts!$C$2:$C$201,$A323)+COUNTIF('Service Principals'!$C$2:$C$201,$A323)+COUNTIF('Managed Identities'!$C$2:$C$201,$A323)&gt;0,"Yes","NOT IN INVENTORY"))</f>
        <v/>
      </c>
    </row>
    <row r="324" customFormat="false" ht="15" hidden="false" customHeight="false" outlineLevel="0" collapsed="false">
      <c r="A324" s="46"/>
      <c r="B324" s="46"/>
      <c r="C324" s="47"/>
      <c r="D324" s="47"/>
      <c r="E324" s="46"/>
      <c r="F324" s="46"/>
      <c r="G324" s="47"/>
      <c r="H324" s="47"/>
      <c r="I324" s="47"/>
      <c r="J324" s="45" t="str">
        <f aca="false">IF($A324="","",IF(COUNTIF(Accounts!$C$2:$C$201,$A324)+COUNTIF('Service Principals'!$C$2:$C$201,$A324)+COUNTIF('Managed Identities'!$C$2:$C$201,$A324)&gt;0,"Yes","NOT IN INVENTORY"))</f>
        <v/>
      </c>
    </row>
    <row r="325" customFormat="false" ht="15" hidden="false" customHeight="false" outlineLevel="0" collapsed="false">
      <c r="A325" s="46"/>
      <c r="B325" s="46"/>
      <c r="C325" s="47"/>
      <c r="D325" s="47"/>
      <c r="E325" s="46"/>
      <c r="F325" s="46"/>
      <c r="G325" s="47"/>
      <c r="H325" s="47"/>
      <c r="I325" s="47"/>
      <c r="J325" s="45" t="str">
        <f aca="false">IF($A325="","",IF(COUNTIF(Accounts!$C$2:$C$201,$A325)+COUNTIF('Service Principals'!$C$2:$C$201,$A325)+COUNTIF('Managed Identities'!$C$2:$C$201,$A325)&gt;0,"Yes","NOT IN INVENTORY"))</f>
        <v/>
      </c>
    </row>
    <row r="326" customFormat="false" ht="15" hidden="false" customHeight="false" outlineLevel="0" collapsed="false">
      <c r="A326" s="46"/>
      <c r="B326" s="46"/>
      <c r="C326" s="47"/>
      <c r="D326" s="47"/>
      <c r="E326" s="46"/>
      <c r="F326" s="46"/>
      <c r="G326" s="47"/>
      <c r="H326" s="47"/>
      <c r="I326" s="47"/>
      <c r="J326" s="45" t="str">
        <f aca="false">IF($A326="","",IF(COUNTIF(Accounts!$C$2:$C$201,$A326)+COUNTIF('Service Principals'!$C$2:$C$201,$A326)+COUNTIF('Managed Identities'!$C$2:$C$201,$A326)&gt;0,"Yes","NOT IN INVENTORY"))</f>
        <v/>
      </c>
    </row>
    <row r="327" customFormat="false" ht="15" hidden="false" customHeight="false" outlineLevel="0" collapsed="false">
      <c r="A327" s="46"/>
      <c r="B327" s="46"/>
      <c r="C327" s="47"/>
      <c r="D327" s="47"/>
      <c r="E327" s="46"/>
      <c r="F327" s="46"/>
      <c r="G327" s="47"/>
      <c r="H327" s="47"/>
      <c r="I327" s="47"/>
      <c r="J327" s="45" t="str">
        <f aca="false">IF($A327="","",IF(COUNTIF(Accounts!$C$2:$C$201,$A327)+COUNTIF('Service Principals'!$C$2:$C$201,$A327)+COUNTIF('Managed Identities'!$C$2:$C$201,$A327)&gt;0,"Yes","NOT IN INVENTORY"))</f>
        <v/>
      </c>
    </row>
    <row r="328" customFormat="false" ht="15" hidden="false" customHeight="false" outlineLevel="0" collapsed="false">
      <c r="A328" s="46"/>
      <c r="B328" s="46"/>
      <c r="C328" s="47"/>
      <c r="D328" s="47"/>
      <c r="E328" s="46"/>
      <c r="F328" s="46"/>
      <c r="G328" s="47"/>
      <c r="H328" s="47"/>
      <c r="I328" s="47"/>
      <c r="J328" s="45" t="str">
        <f aca="false">IF($A328="","",IF(COUNTIF(Accounts!$C$2:$C$201,$A328)+COUNTIF('Service Principals'!$C$2:$C$201,$A328)+COUNTIF('Managed Identities'!$C$2:$C$201,$A328)&gt;0,"Yes","NOT IN INVENTORY"))</f>
        <v/>
      </c>
    </row>
    <row r="329" customFormat="false" ht="15" hidden="false" customHeight="false" outlineLevel="0" collapsed="false">
      <c r="A329" s="46"/>
      <c r="B329" s="46"/>
      <c r="C329" s="47"/>
      <c r="D329" s="47"/>
      <c r="E329" s="46"/>
      <c r="F329" s="46"/>
      <c r="G329" s="47"/>
      <c r="H329" s="47"/>
      <c r="I329" s="47"/>
      <c r="J329" s="45" t="str">
        <f aca="false">IF($A329="","",IF(COUNTIF(Accounts!$C$2:$C$201,$A329)+COUNTIF('Service Principals'!$C$2:$C$201,$A329)+COUNTIF('Managed Identities'!$C$2:$C$201,$A329)&gt;0,"Yes","NOT IN INVENTORY"))</f>
        <v/>
      </c>
    </row>
    <row r="330" customFormat="false" ht="15" hidden="false" customHeight="false" outlineLevel="0" collapsed="false">
      <c r="A330" s="46"/>
      <c r="B330" s="46"/>
      <c r="C330" s="47"/>
      <c r="D330" s="47"/>
      <c r="E330" s="46"/>
      <c r="F330" s="46"/>
      <c r="G330" s="47"/>
      <c r="H330" s="47"/>
      <c r="I330" s="47"/>
      <c r="J330" s="45" t="str">
        <f aca="false">IF($A330="","",IF(COUNTIF(Accounts!$C$2:$C$201,$A330)+COUNTIF('Service Principals'!$C$2:$C$201,$A330)+COUNTIF('Managed Identities'!$C$2:$C$201,$A330)&gt;0,"Yes","NOT IN INVENTORY"))</f>
        <v/>
      </c>
    </row>
    <row r="331" customFormat="false" ht="15" hidden="false" customHeight="false" outlineLevel="0" collapsed="false">
      <c r="A331" s="46"/>
      <c r="B331" s="46"/>
      <c r="C331" s="47"/>
      <c r="D331" s="47"/>
      <c r="E331" s="46"/>
      <c r="F331" s="46"/>
      <c r="G331" s="47"/>
      <c r="H331" s="47"/>
      <c r="I331" s="47"/>
      <c r="J331" s="45" t="str">
        <f aca="false">IF($A331="","",IF(COUNTIF(Accounts!$C$2:$C$201,$A331)+COUNTIF('Service Principals'!$C$2:$C$201,$A331)+COUNTIF('Managed Identities'!$C$2:$C$201,$A331)&gt;0,"Yes","NOT IN INVENTORY"))</f>
        <v/>
      </c>
    </row>
    <row r="332" customFormat="false" ht="15" hidden="false" customHeight="false" outlineLevel="0" collapsed="false">
      <c r="A332" s="46"/>
      <c r="B332" s="46"/>
      <c r="C332" s="47"/>
      <c r="D332" s="47"/>
      <c r="E332" s="46"/>
      <c r="F332" s="46"/>
      <c r="G332" s="47"/>
      <c r="H332" s="47"/>
      <c r="I332" s="47"/>
      <c r="J332" s="45" t="str">
        <f aca="false">IF($A332="","",IF(COUNTIF(Accounts!$C$2:$C$201,$A332)+COUNTIF('Service Principals'!$C$2:$C$201,$A332)+COUNTIF('Managed Identities'!$C$2:$C$201,$A332)&gt;0,"Yes","NOT IN INVENTORY"))</f>
        <v/>
      </c>
    </row>
    <row r="333" customFormat="false" ht="15" hidden="false" customHeight="false" outlineLevel="0" collapsed="false">
      <c r="A333" s="46"/>
      <c r="B333" s="46"/>
      <c r="C333" s="47"/>
      <c r="D333" s="47"/>
      <c r="E333" s="46"/>
      <c r="F333" s="46"/>
      <c r="G333" s="47"/>
      <c r="H333" s="47"/>
      <c r="I333" s="47"/>
      <c r="J333" s="45" t="str">
        <f aca="false">IF($A333="","",IF(COUNTIF(Accounts!$C$2:$C$201,$A333)+COUNTIF('Service Principals'!$C$2:$C$201,$A333)+COUNTIF('Managed Identities'!$C$2:$C$201,$A333)&gt;0,"Yes","NOT IN INVENTORY"))</f>
        <v/>
      </c>
    </row>
    <row r="334" customFormat="false" ht="15" hidden="false" customHeight="false" outlineLevel="0" collapsed="false">
      <c r="A334" s="46"/>
      <c r="B334" s="46"/>
      <c r="C334" s="47"/>
      <c r="D334" s="47"/>
      <c r="E334" s="46"/>
      <c r="F334" s="46"/>
      <c r="G334" s="47"/>
      <c r="H334" s="47"/>
      <c r="I334" s="47"/>
      <c r="J334" s="45" t="str">
        <f aca="false">IF($A334="","",IF(COUNTIF(Accounts!$C$2:$C$201,$A334)+COUNTIF('Service Principals'!$C$2:$C$201,$A334)+COUNTIF('Managed Identities'!$C$2:$C$201,$A334)&gt;0,"Yes","NOT IN INVENTORY"))</f>
        <v/>
      </c>
    </row>
    <row r="335" customFormat="false" ht="15" hidden="false" customHeight="false" outlineLevel="0" collapsed="false">
      <c r="A335" s="46"/>
      <c r="B335" s="46"/>
      <c r="C335" s="47"/>
      <c r="D335" s="47"/>
      <c r="E335" s="46"/>
      <c r="F335" s="46"/>
      <c r="G335" s="47"/>
      <c r="H335" s="47"/>
      <c r="I335" s="47"/>
      <c r="J335" s="45" t="str">
        <f aca="false">IF($A335="","",IF(COUNTIF(Accounts!$C$2:$C$201,$A335)+COUNTIF('Service Principals'!$C$2:$C$201,$A335)+COUNTIF('Managed Identities'!$C$2:$C$201,$A335)&gt;0,"Yes","NOT IN INVENTORY"))</f>
        <v/>
      </c>
    </row>
    <row r="336" customFormat="false" ht="15" hidden="false" customHeight="false" outlineLevel="0" collapsed="false">
      <c r="A336" s="46"/>
      <c r="B336" s="46"/>
      <c r="C336" s="47"/>
      <c r="D336" s="47"/>
      <c r="E336" s="46"/>
      <c r="F336" s="46"/>
      <c r="G336" s="47"/>
      <c r="H336" s="47"/>
      <c r="I336" s="47"/>
      <c r="J336" s="45" t="str">
        <f aca="false">IF($A336="","",IF(COUNTIF(Accounts!$C$2:$C$201,$A336)+COUNTIF('Service Principals'!$C$2:$C$201,$A336)+COUNTIF('Managed Identities'!$C$2:$C$201,$A336)&gt;0,"Yes","NOT IN INVENTORY"))</f>
        <v/>
      </c>
    </row>
    <row r="337" customFormat="false" ht="15" hidden="false" customHeight="false" outlineLevel="0" collapsed="false">
      <c r="A337" s="46"/>
      <c r="B337" s="46"/>
      <c r="C337" s="47"/>
      <c r="D337" s="47"/>
      <c r="E337" s="46"/>
      <c r="F337" s="46"/>
      <c r="G337" s="47"/>
      <c r="H337" s="47"/>
      <c r="I337" s="47"/>
      <c r="J337" s="45" t="str">
        <f aca="false">IF($A337="","",IF(COUNTIF(Accounts!$C$2:$C$201,$A337)+COUNTIF('Service Principals'!$C$2:$C$201,$A337)+COUNTIF('Managed Identities'!$C$2:$C$201,$A337)&gt;0,"Yes","NOT IN INVENTORY"))</f>
        <v/>
      </c>
    </row>
    <row r="338" customFormat="false" ht="15" hidden="false" customHeight="false" outlineLevel="0" collapsed="false">
      <c r="A338" s="46"/>
      <c r="B338" s="46"/>
      <c r="C338" s="47"/>
      <c r="D338" s="47"/>
      <c r="E338" s="46"/>
      <c r="F338" s="46"/>
      <c r="G338" s="47"/>
      <c r="H338" s="47"/>
      <c r="I338" s="47"/>
      <c r="J338" s="45" t="str">
        <f aca="false">IF($A338="","",IF(COUNTIF(Accounts!$C$2:$C$201,$A338)+COUNTIF('Service Principals'!$C$2:$C$201,$A338)+COUNTIF('Managed Identities'!$C$2:$C$201,$A338)&gt;0,"Yes","NOT IN INVENTORY"))</f>
        <v/>
      </c>
    </row>
    <row r="339" customFormat="false" ht="15" hidden="false" customHeight="false" outlineLevel="0" collapsed="false">
      <c r="A339" s="46"/>
      <c r="B339" s="46"/>
      <c r="C339" s="47"/>
      <c r="D339" s="47"/>
      <c r="E339" s="46"/>
      <c r="F339" s="46"/>
      <c r="G339" s="47"/>
      <c r="H339" s="47"/>
      <c r="I339" s="47"/>
      <c r="J339" s="45" t="str">
        <f aca="false">IF($A339="","",IF(COUNTIF(Accounts!$C$2:$C$201,$A339)+COUNTIF('Service Principals'!$C$2:$C$201,$A339)+COUNTIF('Managed Identities'!$C$2:$C$201,$A339)&gt;0,"Yes","NOT IN INVENTORY"))</f>
        <v/>
      </c>
    </row>
    <row r="340" customFormat="false" ht="15" hidden="false" customHeight="false" outlineLevel="0" collapsed="false">
      <c r="A340" s="46"/>
      <c r="B340" s="46"/>
      <c r="C340" s="47"/>
      <c r="D340" s="47"/>
      <c r="E340" s="46"/>
      <c r="F340" s="46"/>
      <c r="G340" s="47"/>
      <c r="H340" s="47"/>
      <c r="I340" s="47"/>
      <c r="J340" s="45" t="str">
        <f aca="false">IF($A340="","",IF(COUNTIF(Accounts!$C$2:$C$201,$A340)+COUNTIF('Service Principals'!$C$2:$C$201,$A340)+COUNTIF('Managed Identities'!$C$2:$C$201,$A340)&gt;0,"Yes","NOT IN INVENTORY"))</f>
        <v/>
      </c>
    </row>
    <row r="341" customFormat="false" ht="15" hidden="false" customHeight="false" outlineLevel="0" collapsed="false">
      <c r="A341" s="46"/>
      <c r="B341" s="46"/>
      <c r="C341" s="47"/>
      <c r="D341" s="47"/>
      <c r="E341" s="46"/>
      <c r="F341" s="46"/>
      <c r="G341" s="47"/>
      <c r="H341" s="47"/>
      <c r="I341" s="47"/>
      <c r="J341" s="45" t="str">
        <f aca="false">IF($A341="","",IF(COUNTIF(Accounts!$C$2:$C$201,$A341)+COUNTIF('Service Principals'!$C$2:$C$201,$A341)+COUNTIF('Managed Identities'!$C$2:$C$201,$A341)&gt;0,"Yes","NOT IN INVENTORY"))</f>
        <v/>
      </c>
    </row>
    <row r="342" customFormat="false" ht="15" hidden="false" customHeight="false" outlineLevel="0" collapsed="false">
      <c r="A342" s="46"/>
      <c r="B342" s="46"/>
      <c r="C342" s="47"/>
      <c r="D342" s="47"/>
      <c r="E342" s="46"/>
      <c r="F342" s="46"/>
      <c r="G342" s="47"/>
      <c r="H342" s="47"/>
      <c r="I342" s="47"/>
      <c r="J342" s="45" t="str">
        <f aca="false">IF($A342="","",IF(COUNTIF(Accounts!$C$2:$C$201,$A342)+COUNTIF('Service Principals'!$C$2:$C$201,$A342)+COUNTIF('Managed Identities'!$C$2:$C$201,$A342)&gt;0,"Yes","NOT IN INVENTORY"))</f>
        <v/>
      </c>
    </row>
    <row r="343" customFormat="false" ht="15" hidden="false" customHeight="false" outlineLevel="0" collapsed="false">
      <c r="A343" s="46"/>
      <c r="B343" s="46"/>
      <c r="C343" s="47"/>
      <c r="D343" s="47"/>
      <c r="E343" s="46"/>
      <c r="F343" s="46"/>
      <c r="G343" s="47"/>
      <c r="H343" s="47"/>
      <c r="I343" s="47"/>
      <c r="J343" s="45" t="str">
        <f aca="false">IF($A343="","",IF(COUNTIF(Accounts!$C$2:$C$201,$A343)+COUNTIF('Service Principals'!$C$2:$C$201,$A343)+COUNTIF('Managed Identities'!$C$2:$C$201,$A343)&gt;0,"Yes","NOT IN INVENTORY"))</f>
        <v/>
      </c>
    </row>
    <row r="344" customFormat="false" ht="15" hidden="false" customHeight="false" outlineLevel="0" collapsed="false">
      <c r="A344" s="46"/>
      <c r="B344" s="46"/>
      <c r="C344" s="47"/>
      <c r="D344" s="47"/>
      <c r="E344" s="46"/>
      <c r="F344" s="46"/>
      <c r="G344" s="47"/>
      <c r="H344" s="47"/>
      <c r="I344" s="47"/>
      <c r="J344" s="45" t="str">
        <f aca="false">IF($A344="","",IF(COUNTIF(Accounts!$C$2:$C$201,$A344)+COUNTIF('Service Principals'!$C$2:$C$201,$A344)+COUNTIF('Managed Identities'!$C$2:$C$201,$A344)&gt;0,"Yes","NOT IN INVENTORY"))</f>
        <v/>
      </c>
    </row>
    <row r="345" customFormat="false" ht="15" hidden="false" customHeight="false" outlineLevel="0" collapsed="false">
      <c r="A345" s="46"/>
      <c r="B345" s="46"/>
      <c r="C345" s="47"/>
      <c r="D345" s="47"/>
      <c r="E345" s="46"/>
      <c r="F345" s="46"/>
      <c r="G345" s="47"/>
      <c r="H345" s="47"/>
      <c r="I345" s="47"/>
      <c r="J345" s="45" t="str">
        <f aca="false">IF($A345="","",IF(COUNTIF(Accounts!$C$2:$C$201,$A345)+COUNTIF('Service Principals'!$C$2:$C$201,$A345)+COUNTIF('Managed Identities'!$C$2:$C$201,$A345)&gt;0,"Yes","NOT IN INVENTORY"))</f>
        <v/>
      </c>
    </row>
    <row r="346" customFormat="false" ht="15" hidden="false" customHeight="false" outlineLevel="0" collapsed="false">
      <c r="A346" s="46"/>
      <c r="B346" s="46"/>
      <c r="C346" s="47"/>
      <c r="D346" s="47"/>
      <c r="E346" s="46"/>
      <c r="F346" s="46"/>
      <c r="G346" s="47"/>
      <c r="H346" s="47"/>
      <c r="I346" s="47"/>
      <c r="J346" s="45" t="str">
        <f aca="false">IF($A346="","",IF(COUNTIF(Accounts!$C$2:$C$201,$A346)+COUNTIF('Service Principals'!$C$2:$C$201,$A346)+COUNTIF('Managed Identities'!$C$2:$C$201,$A346)&gt;0,"Yes","NOT IN INVENTORY"))</f>
        <v/>
      </c>
    </row>
    <row r="347" customFormat="false" ht="15" hidden="false" customHeight="false" outlineLevel="0" collapsed="false">
      <c r="A347" s="46"/>
      <c r="B347" s="46"/>
      <c r="C347" s="47"/>
      <c r="D347" s="47"/>
      <c r="E347" s="46"/>
      <c r="F347" s="46"/>
      <c r="G347" s="47"/>
      <c r="H347" s="47"/>
      <c r="I347" s="47"/>
      <c r="J347" s="45" t="str">
        <f aca="false">IF($A347="","",IF(COUNTIF(Accounts!$C$2:$C$201,$A347)+COUNTIF('Service Principals'!$C$2:$C$201,$A347)+COUNTIF('Managed Identities'!$C$2:$C$201,$A347)&gt;0,"Yes","NOT IN INVENTORY"))</f>
        <v/>
      </c>
    </row>
    <row r="348" customFormat="false" ht="15" hidden="false" customHeight="false" outlineLevel="0" collapsed="false">
      <c r="A348" s="46"/>
      <c r="B348" s="46"/>
      <c r="C348" s="47"/>
      <c r="D348" s="47"/>
      <c r="E348" s="46"/>
      <c r="F348" s="46"/>
      <c r="G348" s="47"/>
      <c r="H348" s="47"/>
      <c r="I348" s="47"/>
      <c r="J348" s="45" t="str">
        <f aca="false">IF($A348="","",IF(COUNTIF(Accounts!$C$2:$C$201,$A348)+COUNTIF('Service Principals'!$C$2:$C$201,$A348)+COUNTIF('Managed Identities'!$C$2:$C$201,$A348)&gt;0,"Yes","NOT IN INVENTORY"))</f>
        <v/>
      </c>
    </row>
    <row r="349" customFormat="false" ht="15" hidden="false" customHeight="false" outlineLevel="0" collapsed="false">
      <c r="A349" s="46"/>
      <c r="B349" s="46"/>
      <c r="C349" s="47"/>
      <c r="D349" s="47"/>
      <c r="E349" s="46"/>
      <c r="F349" s="46"/>
      <c r="G349" s="47"/>
      <c r="H349" s="47"/>
      <c r="I349" s="47"/>
      <c r="J349" s="45" t="str">
        <f aca="false">IF($A349="","",IF(COUNTIF(Accounts!$C$2:$C$201,$A349)+COUNTIF('Service Principals'!$C$2:$C$201,$A349)+COUNTIF('Managed Identities'!$C$2:$C$201,$A349)&gt;0,"Yes","NOT IN INVENTORY"))</f>
        <v/>
      </c>
    </row>
    <row r="350" customFormat="false" ht="15" hidden="false" customHeight="false" outlineLevel="0" collapsed="false">
      <c r="A350" s="46"/>
      <c r="B350" s="46"/>
      <c r="C350" s="47"/>
      <c r="D350" s="47"/>
      <c r="E350" s="46"/>
      <c r="F350" s="46"/>
      <c r="G350" s="47"/>
      <c r="H350" s="47"/>
      <c r="I350" s="47"/>
      <c r="J350" s="45" t="str">
        <f aca="false">IF($A350="","",IF(COUNTIF(Accounts!$C$2:$C$201,$A350)+COUNTIF('Service Principals'!$C$2:$C$201,$A350)+COUNTIF('Managed Identities'!$C$2:$C$201,$A350)&gt;0,"Yes","NOT IN INVENTORY"))</f>
        <v/>
      </c>
    </row>
    <row r="351" customFormat="false" ht="15" hidden="false" customHeight="false" outlineLevel="0" collapsed="false">
      <c r="A351" s="46"/>
      <c r="B351" s="46"/>
      <c r="C351" s="47"/>
      <c r="D351" s="47"/>
      <c r="E351" s="46"/>
      <c r="F351" s="46"/>
      <c r="G351" s="47"/>
      <c r="H351" s="47"/>
      <c r="I351" s="47"/>
      <c r="J351" s="45" t="str">
        <f aca="false">IF($A351="","",IF(COUNTIF(Accounts!$C$2:$C$201,$A351)+COUNTIF('Service Principals'!$C$2:$C$201,$A351)+COUNTIF('Managed Identities'!$C$2:$C$201,$A351)&gt;0,"Yes","NOT IN INVENTORY"))</f>
        <v/>
      </c>
    </row>
    <row r="352" customFormat="false" ht="15" hidden="false" customHeight="false" outlineLevel="0" collapsed="false">
      <c r="A352" s="46"/>
      <c r="B352" s="46"/>
      <c r="C352" s="47"/>
      <c r="D352" s="47"/>
      <c r="E352" s="46"/>
      <c r="F352" s="46"/>
      <c r="G352" s="47"/>
      <c r="H352" s="47"/>
      <c r="I352" s="47"/>
      <c r="J352" s="45" t="str">
        <f aca="false">IF($A352="","",IF(COUNTIF(Accounts!$C$2:$C$201,$A352)+COUNTIF('Service Principals'!$C$2:$C$201,$A352)+COUNTIF('Managed Identities'!$C$2:$C$201,$A352)&gt;0,"Yes","NOT IN INVENTORY"))</f>
        <v/>
      </c>
    </row>
    <row r="353" customFormat="false" ht="15" hidden="false" customHeight="false" outlineLevel="0" collapsed="false">
      <c r="A353" s="46"/>
      <c r="B353" s="46"/>
      <c r="C353" s="47"/>
      <c r="D353" s="47"/>
      <c r="E353" s="46"/>
      <c r="F353" s="46"/>
      <c r="G353" s="47"/>
      <c r="H353" s="47"/>
      <c r="I353" s="47"/>
      <c r="J353" s="45" t="str">
        <f aca="false">IF($A353="","",IF(COUNTIF(Accounts!$C$2:$C$201,$A353)+COUNTIF('Service Principals'!$C$2:$C$201,$A353)+COUNTIF('Managed Identities'!$C$2:$C$201,$A353)&gt;0,"Yes","NOT IN INVENTORY"))</f>
        <v/>
      </c>
    </row>
    <row r="354" customFormat="false" ht="15" hidden="false" customHeight="false" outlineLevel="0" collapsed="false">
      <c r="A354" s="46"/>
      <c r="B354" s="46"/>
      <c r="C354" s="47"/>
      <c r="D354" s="47"/>
      <c r="E354" s="46"/>
      <c r="F354" s="46"/>
      <c r="G354" s="47"/>
      <c r="H354" s="47"/>
      <c r="I354" s="47"/>
      <c r="J354" s="45" t="str">
        <f aca="false">IF($A354="","",IF(COUNTIF(Accounts!$C$2:$C$201,$A354)+COUNTIF('Service Principals'!$C$2:$C$201,$A354)+COUNTIF('Managed Identities'!$C$2:$C$201,$A354)&gt;0,"Yes","NOT IN INVENTORY"))</f>
        <v/>
      </c>
    </row>
    <row r="355" customFormat="false" ht="15" hidden="false" customHeight="false" outlineLevel="0" collapsed="false">
      <c r="A355" s="46"/>
      <c r="B355" s="46"/>
      <c r="C355" s="47"/>
      <c r="D355" s="47"/>
      <c r="E355" s="46"/>
      <c r="F355" s="46"/>
      <c r="G355" s="47"/>
      <c r="H355" s="47"/>
      <c r="I355" s="47"/>
      <c r="J355" s="45" t="str">
        <f aca="false">IF($A355="","",IF(COUNTIF(Accounts!$C$2:$C$201,$A355)+COUNTIF('Service Principals'!$C$2:$C$201,$A355)+COUNTIF('Managed Identities'!$C$2:$C$201,$A355)&gt;0,"Yes","NOT IN INVENTORY"))</f>
        <v/>
      </c>
    </row>
    <row r="356" customFormat="false" ht="15" hidden="false" customHeight="false" outlineLevel="0" collapsed="false">
      <c r="A356" s="46"/>
      <c r="B356" s="46"/>
      <c r="C356" s="47"/>
      <c r="D356" s="47"/>
      <c r="E356" s="46"/>
      <c r="F356" s="46"/>
      <c r="G356" s="47"/>
      <c r="H356" s="47"/>
      <c r="I356" s="47"/>
      <c r="J356" s="45" t="str">
        <f aca="false">IF($A356="","",IF(COUNTIF(Accounts!$C$2:$C$201,$A356)+COUNTIF('Service Principals'!$C$2:$C$201,$A356)+COUNTIF('Managed Identities'!$C$2:$C$201,$A356)&gt;0,"Yes","NOT IN INVENTORY"))</f>
        <v/>
      </c>
    </row>
    <row r="357" customFormat="false" ht="15" hidden="false" customHeight="false" outlineLevel="0" collapsed="false">
      <c r="A357" s="46"/>
      <c r="B357" s="46"/>
      <c r="C357" s="47"/>
      <c r="D357" s="47"/>
      <c r="E357" s="46"/>
      <c r="F357" s="46"/>
      <c r="G357" s="47"/>
      <c r="H357" s="47"/>
      <c r="I357" s="47"/>
      <c r="J357" s="45" t="str">
        <f aca="false">IF($A357="","",IF(COUNTIF(Accounts!$C$2:$C$201,$A357)+COUNTIF('Service Principals'!$C$2:$C$201,$A357)+COUNTIF('Managed Identities'!$C$2:$C$201,$A357)&gt;0,"Yes","NOT IN INVENTORY"))</f>
        <v/>
      </c>
    </row>
    <row r="358" customFormat="false" ht="15" hidden="false" customHeight="false" outlineLevel="0" collapsed="false">
      <c r="A358" s="46"/>
      <c r="B358" s="46"/>
      <c r="C358" s="47"/>
      <c r="D358" s="47"/>
      <c r="E358" s="46"/>
      <c r="F358" s="46"/>
      <c r="G358" s="47"/>
      <c r="H358" s="47"/>
      <c r="I358" s="47"/>
      <c r="J358" s="45" t="str">
        <f aca="false">IF($A358="","",IF(COUNTIF(Accounts!$C$2:$C$201,$A358)+COUNTIF('Service Principals'!$C$2:$C$201,$A358)+COUNTIF('Managed Identities'!$C$2:$C$201,$A358)&gt;0,"Yes","NOT IN INVENTORY"))</f>
        <v/>
      </c>
    </row>
    <row r="359" customFormat="false" ht="15" hidden="false" customHeight="false" outlineLevel="0" collapsed="false">
      <c r="A359" s="46"/>
      <c r="B359" s="46"/>
      <c r="C359" s="47"/>
      <c r="D359" s="47"/>
      <c r="E359" s="46"/>
      <c r="F359" s="46"/>
      <c r="G359" s="47"/>
      <c r="H359" s="47"/>
      <c r="I359" s="47"/>
      <c r="J359" s="45" t="str">
        <f aca="false">IF($A359="","",IF(COUNTIF(Accounts!$C$2:$C$201,$A359)+COUNTIF('Service Principals'!$C$2:$C$201,$A359)+COUNTIF('Managed Identities'!$C$2:$C$201,$A359)&gt;0,"Yes","NOT IN INVENTORY"))</f>
        <v/>
      </c>
    </row>
    <row r="360" customFormat="false" ht="15" hidden="false" customHeight="false" outlineLevel="0" collapsed="false">
      <c r="A360" s="46"/>
      <c r="B360" s="46"/>
      <c r="C360" s="47"/>
      <c r="D360" s="47"/>
      <c r="E360" s="46"/>
      <c r="F360" s="46"/>
      <c r="G360" s="47"/>
      <c r="H360" s="47"/>
      <c r="I360" s="47"/>
      <c r="J360" s="45" t="str">
        <f aca="false">IF($A360="","",IF(COUNTIF(Accounts!$C$2:$C$201,$A360)+COUNTIF('Service Principals'!$C$2:$C$201,$A360)+COUNTIF('Managed Identities'!$C$2:$C$201,$A360)&gt;0,"Yes","NOT IN INVENTORY"))</f>
        <v/>
      </c>
    </row>
    <row r="361" customFormat="false" ht="15" hidden="false" customHeight="false" outlineLevel="0" collapsed="false">
      <c r="A361" s="46"/>
      <c r="B361" s="46"/>
      <c r="C361" s="47"/>
      <c r="D361" s="47"/>
      <c r="E361" s="46"/>
      <c r="F361" s="46"/>
      <c r="G361" s="47"/>
      <c r="H361" s="47"/>
      <c r="I361" s="47"/>
      <c r="J361" s="45" t="str">
        <f aca="false">IF($A361="","",IF(COUNTIF(Accounts!$C$2:$C$201,$A361)+COUNTIF('Service Principals'!$C$2:$C$201,$A361)+COUNTIF('Managed Identities'!$C$2:$C$201,$A361)&gt;0,"Yes","NOT IN INVENTORY"))</f>
        <v/>
      </c>
    </row>
    <row r="362" customFormat="false" ht="15" hidden="false" customHeight="false" outlineLevel="0" collapsed="false">
      <c r="A362" s="46"/>
      <c r="B362" s="46"/>
      <c r="C362" s="47"/>
      <c r="D362" s="47"/>
      <c r="E362" s="46"/>
      <c r="F362" s="46"/>
      <c r="G362" s="47"/>
      <c r="H362" s="47"/>
      <c r="I362" s="47"/>
      <c r="J362" s="45" t="str">
        <f aca="false">IF($A362="","",IF(COUNTIF(Accounts!$C$2:$C$201,$A362)+COUNTIF('Service Principals'!$C$2:$C$201,$A362)+COUNTIF('Managed Identities'!$C$2:$C$201,$A362)&gt;0,"Yes","NOT IN INVENTORY"))</f>
        <v/>
      </c>
    </row>
    <row r="363" customFormat="false" ht="15" hidden="false" customHeight="false" outlineLevel="0" collapsed="false">
      <c r="A363" s="46"/>
      <c r="B363" s="46"/>
      <c r="C363" s="47"/>
      <c r="D363" s="47"/>
      <c r="E363" s="46"/>
      <c r="F363" s="46"/>
      <c r="G363" s="47"/>
      <c r="H363" s="47"/>
      <c r="I363" s="47"/>
      <c r="J363" s="45" t="str">
        <f aca="false">IF($A363="","",IF(COUNTIF(Accounts!$C$2:$C$201,$A363)+COUNTIF('Service Principals'!$C$2:$C$201,$A363)+COUNTIF('Managed Identities'!$C$2:$C$201,$A363)&gt;0,"Yes","NOT IN INVENTORY"))</f>
        <v/>
      </c>
    </row>
    <row r="364" customFormat="false" ht="15" hidden="false" customHeight="false" outlineLevel="0" collapsed="false">
      <c r="A364" s="46"/>
      <c r="B364" s="46"/>
      <c r="C364" s="47"/>
      <c r="D364" s="47"/>
      <c r="E364" s="46"/>
      <c r="F364" s="46"/>
      <c r="G364" s="47"/>
      <c r="H364" s="47"/>
      <c r="I364" s="47"/>
      <c r="J364" s="45" t="str">
        <f aca="false">IF($A364="","",IF(COUNTIF(Accounts!$C$2:$C$201,$A364)+COUNTIF('Service Principals'!$C$2:$C$201,$A364)+COUNTIF('Managed Identities'!$C$2:$C$201,$A364)&gt;0,"Yes","NOT IN INVENTORY"))</f>
        <v/>
      </c>
    </row>
    <row r="365" customFormat="false" ht="15" hidden="false" customHeight="false" outlineLevel="0" collapsed="false">
      <c r="A365" s="46"/>
      <c r="B365" s="46"/>
      <c r="C365" s="47"/>
      <c r="D365" s="47"/>
      <c r="E365" s="46"/>
      <c r="F365" s="46"/>
      <c r="G365" s="47"/>
      <c r="H365" s="47"/>
      <c r="I365" s="47"/>
      <c r="J365" s="45" t="str">
        <f aca="false">IF($A365="","",IF(COUNTIF(Accounts!$C$2:$C$201,$A365)+COUNTIF('Service Principals'!$C$2:$C$201,$A365)+COUNTIF('Managed Identities'!$C$2:$C$201,$A365)&gt;0,"Yes","NOT IN INVENTORY"))</f>
        <v/>
      </c>
    </row>
    <row r="366" customFormat="false" ht="15" hidden="false" customHeight="false" outlineLevel="0" collapsed="false">
      <c r="A366" s="46"/>
      <c r="B366" s="46"/>
      <c r="C366" s="47"/>
      <c r="D366" s="47"/>
      <c r="E366" s="46"/>
      <c r="F366" s="46"/>
      <c r="G366" s="47"/>
      <c r="H366" s="47"/>
      <c r="I366" s="47"/>
      <c r="J366" s="45" t="str">
        <f aca="false">IF($A366="","",IF(COUNTIF(Accounts!$C$2:$C$201,$A366)+COUNTIF('Service Principals'!$C$2:$C$201,$A366)+COUNTIF('Managed Identities'!$C$2:$C$201,$A366)&gt;0,"Yes","NOT IN INVENTORY"))</f>
        <v/>
      </c>
    </row>
    <row r="367" customFormat="false" ht="15" hidden="false" customHeight="false" outlineLevel="0" collapsed="false">
      <c r="A367" s="46"/>
      <c r="B367" s="46"/>
      <c r="C367" s="47"/>
      <c r="D367" s="47"/>
      <c r="E367" s="46"/>
      <c r="F367" s="46"/>
      <c r="G367" s="47"/>
      <c r="H367" s="47"/>
      <c r="I367" s="47"/>
      <c r="J367" s="45" t="str">
        <f aca="false">IF($A367="","",IF(COUNTIF(Accounts!$C$2:$C$201,$A367)+COUNTIF('Service Principals'!$C$2:$C$201,$A367)+COUNTIF('Managed Identities'!$C$2:$C$201,$A367)&gt;0,"Yes","NOT IN INVENTORY"))</f>
        <v/>
      </c>
    </row>
    <row r="368" customFormat="false" ht="15" hidden="false" customHeight="false" outlineLevel="0" collapsed="false">
      <c r="A368" s="46"/>
      <c r="B368" s="46"/>
      <c r="C368" s="47"/>
      <c r="D368" s="47"/>
      <c r="E368" s="46"/>
      <c r="F368" s="46"/>
      <c r="G368" s="47"/>
      <c r="H368" s="47"/>
      <c r="I368" s="47"/>
      <c r="J368" s="45" t="str">
        <f aca="false">IF($A368="","",IF(COUNTIF(Accounts!$C$2:$C$201,$A368)+COUNTIF('Service Principals'!$C$2:$C$201,$A368)+COUNTIF('Managed Identities'!$C$2:$C$201,$A368)&gt;0,"Yes","NOT IN INVENTORY"))</f>
        <v/>
      </c>
    </row>
    <row r="369" customFormat="false" ht="15" hidden="false" customHeight="false" outlineLevel="0" collapsed="false">
      <c r="A369" s="46"/>
      <c r="B369" s="46"/>
      <c r="C369" s="47"/>
      <c r="D369" s="47"/>
      <c r="E369" s="46"/>
      <c r="F369" s="46"/>
      <c r="G369" s="47"/>
      <c r="H369" s="47"/>
      <c r="I369" s="47"/>
      <c r="J369" s="45" t="str">
        <f aca="false">IF($A369="","",IF(COUNTIF(Accounts!$C$2:$C$201,$A369)+COUNTIF('Service Principals'!$C$2:$C$201,$A369)+COUNTIF('Managed Identities'!$C$2:$C$201,$A369)&gt;0,"Yes","NOT IN INVENTORY"))</f>
        <v/>
      </c>
    </row>
    <row r="370" customFormat="false" ht="15" hidden="false" customHeight="false" outlineLevel="0" collapsed="false">
      <c r="A370" s="46"/>
      <c r="B370" s="46"/>
      <c r="C370" s="47"/>
      <c r="D370" s="47"/>
      <c r="E370" s="46"/>
      <c r="F370" s="46"/>
      <c r="G370" s="47"/>
      <c r="H370" s="47"/>
      <c r="I370" s="47"/>
      <c r="J370" s="45" t="str">
        <f aca="false">IF($A370="","",IF(COUNTIF(Accounts!$C$2:$C$201,$A370)+COUNTIF('Service Principals'!$C$2:$C$201,$A370)+COUNTIF('Managed Identities'!$C$2:$C$201,$A370)&gt;0,"Yes","NOT IN INVENTORY"))</f>
        <v/>
      </c>
    </row>
    <row r="371" customFormat="false" ht="15" hidden="false" customHeight="false" outlineLevel="0" collapsed="false">
      <c r="A371" s="46"/>
      <c r="B371" s="46"/>
      <c r="C371" s="47"/>
      <c r="D371" s="47"/>
      <c r="E371" s="46"/>
      <c r="F371" s="46"/>
      <c r="G371" s="47"/>
      <c r="H371" s="47"/>
      <c r="I371" s="47"/>
      <c r="J371" s="45" t="str">
        <f aca="false">IF($A371="","",IF(COUNTIF(Accounts!$C$2:$C$201,$A371)+COUNTIF('Service Principals'!$C$2:$C$201,$A371)+COUNTIF('Managed Identities'!$C$2:$C$201,$A371)&gt;0,"Yes","NOT IN INVENTORY"))</f>
        <v/>
      </c>
    </row>
    <row r="372" customFormat="false" ht="15" hidden="false" customHeight="false" outlineLevel="0" collapsed="false">
      <c r="A372" s="46"/>
      <c r="B372" s="46"/>
      <c r="C372" s="47"/>
      <c r="D372" s="47"/>
      <c r="E372" s="46"/>
      <c r="F372" s="46"/>
      <c r="G372" s="47"/>
      <c r="H372" s="47"/>
      <c r="I372" s="47"/>
      <c r="J372" s="45" t="str">
        <f aca="false">IF($A372="","",IF(COUNTIF(Accounts!$C$2:$C$201,$A372)+COUNTIF('Service Principals'!$C$2:$C$201,$A372)+COUNTIF('Managed Identities'!$C$2:$C$201,$A372)&gt;0,"Yes","NOT IN INVENTORY"))</f>
        <v/>
      </c>
    </row>
    <row r="373" customFormat="false" ht="15" hidden="false" customHeight="false" outlineLevel="0" collapsed="false">
      <c r="A373" s="46"/>
      <c r="B373" s="46"/>
      <c r="C373" s="47"/>
      <c r="D373" s="47"/>
      <c r="E373" s="46"/>
      <c r="F373" s="46"/>
      <c r="G373" s="47"/>
      <c r="H373" s="47"/>
      <c r="I373" s="47"/>
      <c r="J373" s="45" t="str">
        <f aca="false">IF($A373="","",IF(COUNTIF(Accounts!$C$2:$C$201,$A373)+COUNTIF('Service Principals'!$C$2:$C$201,$A373)+COUNTIF('Managed Identities'!$C$2:$C$201,$A373)&gt;0,"Yes","NOT IN INVENTORY"))</f>
        <v/>
      </c>
    </row>
    <row r="374" customFormat="false" ht="15" hidden="false" customHeight="false" outlineLevel="0" collapsed="false">
      <c r="A374" s="46"/>
      <c r="B374" s="46"/>
      <c r="C374" s="47"/>
      <c r="D374" s="47"/>
      <c r="E374" s="46"/>
      <c r="F374" s="46"/>
      <c r="G374" s="47"/>
      <c r="H374" s="47"/>
      <c r="I374" s="47"/>
      <c r="J374" s="45" t="str">
        <f aca="false">IF($A374="","",IF(COUNTIF(Accounts!$C$2:$C$201,$A374)+COUNTIF('Service Principals'!$C$2:$C$201,$A374)+COUNTIF('Managed Identities'!$C$2:$C$201,$A374)&gt;0,"Yes","NOT IN INVENTORY"))</f>
        <v/>
      </c>
    </row>
    <row r="375" customFormat="false" ht="15" hidden="false" customHeight="false" outlineLevel="0" collapsed="false">
      <c r="A375" s="46"/>
      <c r="B375" s="46"/>
      <c r="C375" s="47"/>
      <c r="D375" s="47"/>
      <c r="E375" s="46"/>
      <c r="F375" s="46"/>
      <c r="G375" s="47"/>
      <c r="H375" s="47"/>
      <c r="I375" s="47"/>
      <c r="J375" s="45" t="str">
        <f aca="false">IF($A375="","",IF(COUNTIF(Accounts!$C$2:$C$201,$A375)+COUNTIF('Service Principals'!$C$2:$C$201,$A375)+COUNTIF('Managed Identities'!$C$2:$C$201,$A375)&gt;0,"Yes","NOT IN INVENTORY"))</f>
        <v/>
      </c>
    </row>
    <row r="376" customFormat="false" ht="15" hidden="false" customHeight="false" outlineLevel="0" collapsed="false">
      <c r="A376" s="46"/>
      <c r="B376" s="46"/>
      <c r="C376" s="47"/>
      <c r="D376" s="47"/>
      <c r="E376" s="46"/>
      <c r="F376" s="46"/>
      <c r="G376" s="47"/>
      <c r="H376" s="47"/>
      <c r="I376" s="47"/>
      <c r="J376" s="45" t="str">
        <f aca="false">IF($A376="","",IF(COUNTIF(Accounts!$C$2:$C$201,$A376)+COUNTIF('Service Principals'!$C$2:$C$201,$A376)+COUNTIF('Managed Identities'!$C$2:$C$201,$A376)&gt;0,"Yes","NOT IN INVENTORY"))</f>
        <v/>
      </c>
    </row>
    <row r="377" customFormat="false" ht="15" hidden="false" customHeight="false" outlineLevel="0" collapsed="false">
      <c r="A377" s="46"/>
      <c r="B377" s="46"/>
      <c r="C377" s="47"/>
      <c r="D377" s="47"/>
      <c r="E377" s="46"/>
      <c r="F377" s="46"/>
      <c r="G377" s="47"/>
      <c r="H377" s="47"/>
      <c r="I377" s="47"/>
      <c r="J377" s="45" t="str">
        <f aca="false">IF($A377="","",IF(COUNTIF(Accounts!$C$2:$C$201,$A377)+COUNTIF('Service Principals'!$C$2:$C$201,$A377)+COUNTIF('Managed Identities'!$C$2:$C$201,$A377)&gt;0,"Yes","NOT IN INVENTORY"))</f>
        <v/>
      </c>
    </row>
    <row r="378" customFormat="false" ht="15" hidden="false" customHeight="false" outlineLevel="0" collapsed="false">
      <c r="A378" s="46"/>
      <c r="B378" s="46"/>
      <c r="C378" s="47"/>
      <c r="D378" s="47"/>
      <c r="E378" s="46"/>
      <c r="F378" s="46"/>
      <c r="G378" s="47"/>
      <c r="H378" s="47"/>
      <c r="I378" s="47"/>
      <c r="J378" s="45" t="str">
        <f aca="false">IF($A378="","",IF(COUNTIF(Accounts!$C$2:$C$201,$A378)+COUNTIF('Service Principals'!$C$2:$C$201,$A378)+COUNTIF('Managed Identities'!$C$2:$C$201,$A378)&gt;0,"Yes","NOT IN INVENTORY"))</f>
        <v/>
      </c>
    </row>
    <row r="379" customFormat="false" ht="15" hidden="false" customHeight="false" outlineLevel="0" collapsed="false">
      <c r="A379" s="46"/>
      <c r="B379" s="46"/>
      <c r="C379" s="47"/>
      <c r="D379" s="47"/>
      <c r="E379" s="46"/>
      <c r="F379" s="46"/>
      <c r="G379" s="47"/>
      <c r="H379" s="47"/>
      <c r="I379" s="47"/>
      <c r="J379" s="45" t="str">
        <f aca="false">IF($A379="","",IF(COUNTIF(Accounts!$C$2:$C$201,$A379)+COUNTIF('Service Principals'!$C$2:$C$201,$A379)+COUNTIF('Managed Identities'!$C$2:$C$201,$A379)&gt;0,"Yes","NOT IN INVENTORY"))</f>
        <v/>
      </c>
    </row>
    <row r="380" customFormat="false" ht="15" hidden="false" customHeight="false" outlineLevel="0" collapsed="false">
      <c r="A380" s="46"/>
      <c r="B380" s="46"/>
      <c r="C380" s="47"/>
      <c r="D380" s="47"/>
      <c r="E380" s="46"/>
      <c r="F380" s="46"/>
      <c r="G380" s="47"/>
      <c r="H380" s="47"/>
      <c r="I380" s="47"/>
      <c r="J380" s="45" t="str">
        <f aca="false">IF($A380="","",IF(COUNTIF(Accounts!$C$2:$C$201,$A380)+COUNTIF('Service Principals'!$C$2:$C$201,$A380)+COUNTIF('Managed Identities'!$C$2:$C$201,$A380)&gt;0,"Yes","NOT IN INVENTORY"))</f>
        <v/>
      </c>
    </row>
    <row r="381" customFormat="false" ht="15" hidden="false" customHeight="false" outlineLevel="0" collapsed="false">
      <c r="A381" s="46"/>
      <c r="B381" s="46"/>
      <c r="C381" s="47"/>
      <c r="D381" s="47"/>
      <c r="E381" s="46"/>
      <c r="F381" s="46"/>
      <c r="G381" s="47"/>
      <c r="H381" s="47"/>
      <c r="I381" s="47"/>
      <c r="J381" s="45" t="str">
        <f aca="false">IF($A381="","",IF(COUNTIF(Accounts!$C$2:$C$201,$A381)+COUNTIF('Service Principals'!$C$2:$C$201,$A381)+COUNTIF('Managed Identities'!$C$2:$C$201,$A381)&gt;0,"Yes","NOT IN INVENTORY"))</f>
        <v/>
      </c>
    </row>
    <row r="382" customFormat="false" ht="15" hidden="false" customHeight="false" outlineLevel="0" collapsed="false">
      <c r="A382" s="46"/>
      <c r="B382" s="46"/>
      <c r="C382" s="47"/>
      <c r="D382" s="47"/>
      <c r="E382" s="46"/>
      <c r="F382" s="46"/>
      <c r="G382" s="47"/>
      <c r="H382" s="47"/>
      <c r="I382" s="47"/>
      <c r="J382" s="45" t="str">
        <f aca="false">IF($A382="","",IF(COUNTIF(Accounts!$C$2:$C$201,$A382)+COUNTIF('Service Principals'!$C$2:$C$201,$A382)+COUNTIF('Managed Identities'!$C$2:$C$201,$A382)&gt;0,"Yes","NOT IN INVENTORY"))</f>
        <v/>
      </c>
    </row>
    <row r="383" customFormat="false" ht="15" hidden="false" customHeight="false" outlineLevel="0" collapsed="false">
      <c r="A383" s="46"/>
      <c r="B383" s="46"/>
      <c r="C383" s="47"/>
      <c r="D383" s="47"/>
      <c r="E383" s="46"/>
      <c r="F383" s="46"/>
      <c r="G383" s="47"/>
      <c r="H383" s="47"/>
      <c r="I383" s="47"/>
      <c r="J383" s="45" t="str">
        <f aca="false">IF($A383="","",IF(COUNTIF(Accounts!$C$2:$C$201,$A383)+COUNTIF('Service Principals'!$C$2:$C$201,$A383)+COUNTIF('Managed Identities'!$C$2:$C$201,$A383)&gt;0,"Yes","NOT IN INVENTORY"))</f>
        <v/>
      </c>
    </row>
    <row r="384" customFormat="false" ht="15" hidden="false" customHeight="false" outlineLevel="0" collapsed="false">
      <c r="A384" s="46"/>
      <c r="B384" s="46"/>
      <c r="C384" s="47"/>
      <c r="D384" s="47"/>
      <c r="E384" s="46"/>
      <c r="F384" s="46"/>
      <c r="G384" s="47"/>
      <c r="H384" s="47"/>
      <c r="I384" s="47"/>
      <c r="J384" s="45" t="str">
        <f aca="false">IF($A384="","",IF(COUNTIF(Accounts!$C$2:$C$201,$A384)+COUNTIF('Service Principals'!$C$2:$C$201,$A384)+COUNTIF('Managed Identities'!$C$2:$C$201,$A384)&gt;0,"Yes","NOT IN INVENTORY"))</f>
        <v/>
      </c>
    </row>
    <row r="385" customFormat="false" ht="15" hidden="false" customHeight="false" outlineLevel="0" collapsed="false">
      <c r="A385" s="46"/>
      <c r="B385" s="46"/>
      <c r="C385" s="47"/>
      <c r="D385" s="47"/>
      <c r="E385" s="46"/>
      <c r="F385" s="46"/>
      <c r="G385" s="47"/>
      <c r="H385" s="47"/>
      <c r="I385" s="47"/>
      <c r="J385" s="45" t="str">
        <f aca="false">IF($A385="","",IF(COUNTIF(Accounts!$C$2:$C$201,$A385)+COUNTIF('Service Principals'!$C$2:$C$201,$A385)+COUNTIF('Managed Identities'!$C$2:$C$201,$A385)&gt;0,"Yes","NOT IN INVENTORY"))</f>
        <v/>
      </c>
    </row>
    <row r="386" customFormat="false" ht="15" hidden="false" customHeight="false" outlineLevel="0" collapsed="false">
      <c r="A386" s="46"/>
      <c r="B386" s="46"/>
      <c r="C386" s="47"/>
      <c r="D386" s="47"/>
      <c r="E386" s="46"/>
      <c r="F386" s="46"/>
      <c r="G386" s="47"/>
      <c r="H386" s="47"/>
      <c r="I386" s="47"/>
      <c r="J386" s="45" t="str">
        <f aca="false">IF($A386="","",IF(COUNTIF(Accounts!$C$2:$C$201,$A386)+COUNTIF('Service Principals'!$C$2:$C$201,$A386)+COUNTIF('Managed Identities'!$C$2:$C$201,$A386)&gt;0,"Yes","NOT IN INVENTORY"))</f>
        <v/>
      </c>
    </row>
    <row r="387" customFormat="false" ht="15" hidden="false" customHeight="false" outlineLevel="0" collapsed="false">
      <c r="A387" s="46"/>
      <c r="B387" s="46"/>
      <c r="C387" s="47"/>
      <c r="D387" s="47"/>
      <c r="E387" s="46"/>
      <c r="F387" s="46"/>
      <c r="G387" s="47"/>
      <c r="H387" s="47"/>
      <c r="I387" s="47"/>
      <c r="J387" s="45" t="str">
        <f aca="false">IF($A387="","",IF(COUNTIF(Accounts!$C$2:$C$201,$A387)+COUNTIF('Service Principals'!$C$2:$C$201,$A387)+COUNTIF('Managed Identities'!$C$2:$C$201,$A387)&gt;0,"Yes","NOT IN INVENTORY"))</f>
        <v/>
      </c>
    </row>
    <row r="388" customFormat="false" ht="15" hidden="false" customHeight="false" outlineLevel="0" collapsed="false">
      <c r="A388" s="46"/>
      <c r="B388" s="46"/>
      <c r="C388" s="47"/>
      <c r="D388" s="47"/>
      <c r="E388" s="46"/>
      <c r="F388" s="46"/>
      <c r="G388" s="47"/>
      <c r="H388" s="47"/>
      <c r="I388" s="47"/>
      <c r="J388" s="45" t="str">
        <f aca="false">IF($A388="","",IF(COUNTIF(Accounts!$C$2:$C$201,$A388)+COUNTIF('Service Principals'!$C$2:$C$201,$A388)+COUNTIF('Managed Identities'!$C$2:$C$201,$A388)&gt;0,"Yes","NOT IN INVENTORY"))</f>
        <v/>
      </c>
    </row>
    <row r="389" customFormat="false" ht="15" hidden="false" customHeight="false" outlineLevel="0" collapsed="false">
      <c r="A389" s="46"/>
      <c r="B389" s="46"/>
      <c r="C389" s="47"/>
      <c r="D389" s="47"/>
      <c r="E389" s="46"/>
      <c r="F389" s="46"/>
      <c r="G389" s="47"/>
      <c r="H389" s="47"/>
      <c r="I389" s="47"/>
      <c r="J389" s="45" t="str">
        <f aca="false">IF($A389="","",IF(COUNTIF(Accounts!$C$2:$C$201,$A389)+COUNTIF('Service Principals'!$C$2:$C$201,$A389)+COUNTIF('Managed Identities'!$C$2:$C$201,$A389)&gt;0,"Yes","NOT IN INVENTORY"))</f>
        <v/>
      </c>
    </row>
    <row r="390" customFormat="false" ht="15" hidden="false" customHeight="false" outlineLevel="0" collapsed="false">
      <c r="A390" s="46"/>
      <c r="B390" s="46"/>
      <c r="C390" s="47"/>
      <c r="D390" s="47"/>
      <c r="E390" s="46"/>
      <c r="F390" s="46"/>
      <c r="G390" s="47"/>
      <c r="H390" s="47"/>
      <c r="I390" s="47"/>
      <c r="J390" s="45" t="str">
        <f aca="false">IF($A390="","",IF(COUNTIF(Accounts!$C$2:$C$201,$A390)+COUNTIF('Service Principals'!$C$2:$C$201,$A390)+COUNTIF('Managed Identities'!$C$2:$C$201,$A390)&gt;0,"Yes","NOT IN INVENTORY"))</f>
        <v/>
      </c>
    </row>
    <row r="391" customFormat="false" ht="15" hidden="false" customHeight="false" outlineLevel="0" collapsed="false">
      <c r="A391" s="46"/>
      <c r="B391" s="46"/>
      <c r="C391" s="47"/>
      <c r="D391" s="47"/>
      <c r="E391" s="46"/>
      <c r="F391" s="46"/>
      <c r="G391" s="47"/>
      <c r="H391" s="47"/>
      <c r="I391" s="47"/>
      <c r="J391" s="45" t="str">
        <f aca="false">IF($A391="","",IF(COUNTIF(Accounts!$C$2:$C$201,$A391)+COUNTIF('Service Principals'!$C$2:$C$201,$A391)+COUNTIF('Managed Identities'!$C$2:$C$201,$A391)&gt;0,"Yes","NOT IN INVENTORY"))</f>
        <v/>
      </c>
    </row>
    <row r="392" customFormat="false" ht="15" hidden="false" customHeight="false" outlineLevel="0" collapsed="false">
      <c r="A392" s="46"/>
      <c r="B392" s="46"/>
      <c r="C392" s="47"/>
      <c r="D392" s="47"/>
      <c r="E392" s="46"/>
      <c r="F392" s="46"/>
      <c r="G392" s="47"/>
      <c r="H392" s="47"/>
      <c r="I392" s="47"/>
      <c r="J392" s="45" t="str">
        <f aca="false">IF($A392="","",IF(COUNTIF(Accounts!$C$2:$C$201,$A392)+COUNTIF('Service Principals'!$C$2:$C$201,$A392)+COUNTIF('Managed Identities'!$C$2:$C$201,$A392)&gt;0,"Yes","NOT IN INVENTORY"))</f>
        <v/>
      </c>
    </row>
    <row r="393" customFormat="false" ht="15" hidden="false" customHeight="false" outlineLevel="0" collapsed="false">
      <c r="A393" s="46"/>
      <c r="B393" s="46"/>
      <c r="C393" s="47"/>
      <c r="D393" s="47"/>
      <c r="E393" s="46"/>
      <c r="F393" s="46"/>
      <c r="G393" s="47"/>
      <c r="H393" s="47"/>
      <c r="I393" s="47"/>
      <c r="J393" s="45" t="str">
        <f aca="false">IF($A393="","",IF(COUNTIF(Accounts!$C$2:$C$201,$A393)+COUNTIF('Service Principals'!$C$2:$C$201,$A393)+COUNTIF('Managed Identities'!$C$2:$C$201,$A393)&gt;0,"Yes","NOT IN INVENTORY"))</f>
        <v/>
      </c>
    </row>
    <row r="394" customFormat="false" ht="15" hidden="false" customHeight="false" outlineLevel="0" collapsed="false">
      <c r="A394" s="46"/>
      <c r="B394" s="46"/>
      <c r="C394" s="47"/>
      <c r="D394" s="47"/>
      <c r="E394" s="46"/>
      <c r="F394" s="46"/>
      <c r="G394" s="47"/>
      <c r="H394" s="47"/>
      <c r="I394" s="47"/>
      <c r="J394" s="45" t="str">
        <f aca="false">IF($A394="","",IF(COUNTIF(Accounts!$C$2:$C$201,$A394)+COUNTIF('Service Principals'!$C$2:$C$201,$A394)+COUNTIF('Managed Identities'!$C$2:$C$201,$A394)&gt;0,"Yes","NOT IN INVENTORY"))</f>
        <v/>
      </c>
    </row>
    <row r="395" customFormat="false" ht="15" hidden="false" customHeight="false" outlineLevel="0" collapsed="false">
      <c r="A395" s="46"/>
      <c r="B395" s="46"/>
      <c r="C395" s="47"/>
      <c r="D395" s="47"/>
      <c r="E395" s="46"/>
      <c r="F395" s="46"/>
      <c r="G395" s="47"/>
      <c r="H395" s="47"/>
      <c r="I395" s="47"/>
      <c r="J395" s="45" t="str">
        <f aca="false">IF($A395="","",IF(COUNTIF(Accounts!$C$2:$C$201,$A395)+COUNTIF('Service Principals'!$C$2:$C$201,$A395)+COUNTIF('Managed Identities'!$C$2:$C$201,$A395)&gt;0,"Yes","NOT IN INVENTORY"))</f>
        <v/>
      </c>
    </row>
    <row r="396" customFormat="false" ht="15" hidden="false" customHeight="false" outlineLevel="0" collapsed="false">
      <c r="A396" s="46"/>
      <c r="B396" s="46"/>
      <c r="C396" s="47"/>
      <c r="D396" s="47"/>
      <c r="E396" s="46"/>
      <c r="F396" s="46"/>
      <c r="G396" s="47"/>
      <c r="H396" s="47"/>
      <c r="I396" s="47"/>
      <c r="J396" s="45" t="str">
        <f aca="false">IF($A396="","",IF(COUNTIF(Accounts!$C$2:$C$201,$A396)+COUNTIF('Service Principals'!$C$2:$C$201,$A396)+COUNTIF('Managed Identities'!$C$2:$C$201,$A396)&gt;0,"Yes","NOT IN INVENTORY"))</f>
        <v/>
      </c>
    </row>
    <row r="397" customFormat="false" ht="15" hidden="false" customHeight="false" outlineLevel="0" collapsed="false">
      <c r="A397" s="46"/>
      <c r="B397" s="46"/>
      <c r="C397" s="47"/>
      <c r="D397" s="47"/>
      <c r="E397" s="46"/>
      <c r="F397" s="46"/>
      <c r="G397" s="47"/>
      <c r="H397" s="47"/>
      <c r="I397" s="47"/>
      <c r="J397" s="45" t="str">
        <f aca="false">IF($A397="","",IF(COUNTIF(Accounts!$C$2:$C$201,$A397)+COUNTIF('Service Principals'!$C$2:$C$201,$A397)+COUNTIF('Managed Identities'!$C$2:$C$201,$A397)&gt;0,"Yes","NOT IN INVENTORY"))</f>
        <v/>
      </c>
    </row>
    <row r="398" customFormat="false" ht="15" hidden="false" customHeight="false" outlineLevel="0" collapsed="false">
      <c r="A398" s="46"/>
      <c r="B398" s="46"/>
      <c r="C398" s="47"/>
      <c r="D398" s="47"/>
      <c r="E398" s="46"/>
      <c r="F398" s="46"/>
      <c r="G398" s="47"/>
      <c r="H398" s="47"/>
      <c r="I398" s="47"/>
      <c r="J398" s="45" t="str">
        <f aca="false">IF($A398="","",IF(COUNTIF(Accounts!$C$2:$C$201,$A398)+COUNTIF('Service Principals'!$C$2:$C$201,$A398)+COUNTIF('Managed Identities'!$C$2:$C$201,$A398)&gt;0,"Yes","NOT IN INVENTORY"))</f>
        <v/>
      </c>
    </row>
    <row r="399" customFormat="false" ht="15" hidden="false" customHeight="false" outlineLevel="0" collapsed="false">
      <c r="A399" s="46"/>
      <c r="B399" s="46"/>
      <c r="C399" s="47"/>
      <c r="D399" s="47"/>
      <c r="E399" s="46"/>
      <c r="F399" s="46"/>
      <c r="G399" s="47"/>
      <c r="H399" s="47"/>
      <c r="I399" s="47"/>
      <c r="J399" s="45" t="str">
        <f aca="false">IF($A399="","",IF(COUNTIF(Accounts!$C$2:$C$201,$A399)+COUNTIF('Service Principals'!$C$2:$C$201,$A399)+COUNTIF('Managed Identities'!$C$2:$C$201,$A399)&gt;0,"Yes","NOT IN INVENTORY"))</f>
        <v/>
      </c>
    </row>
    <row r="400" customFormat="false" ht="15" hidden="false" customHeight="false" outlineLevel="0" collapsed="false">
      <c r="A400" s="46"/>
      <c r="B400" s="46"/>
      <c r="C400" s="47"/>
      <c r="D400" s="47"/>
      <c r="E400" s="46"/>
      <c r="F400" s="46"/>
      <c r="G400" s="47"/>
      <c r="H400" s="47"/>
      <c r="I400" s="47"/>
      <c r="J400" s="45" t="str">
        <f aca="false">IF($A400="","",IF(COUNTIF(Accounts!$C$2:$C$201,$A400)+COUNTIF('Service Principals'!$C$2:$C$201,$A400)+COUNTIF('Managed Identities'!$C$2:$C$201,$A400)&gt;0,"Yes","NOT IN INVENTORY"))</f>
        <v/>
      </c>
    </row>
    <row r="401" customFormat="false" ht="15" hidden="false" customHeight="false" outlineLevel="0" collapsed="false">
      <c r="A401" s="46"/>
      <c r="B401" s="46"/>
      <c r="C401" s="47"/>
      <c r="D401" s="47"/>
      <c r="E401" s="46"/>
      <c r="F401" s="46"/>
      <c r="G401" s="47"/>
      <c r="H401" s="47"/>
      <c r="I401" s="47"/>
      <c r="J401" s="45" t="str">
        <f aca="false">IF($A401="","",IF(COUNTIF(Accounts!$C$2:$C$201,$A401)+COUNTIF('Service Principals'!$C$2:$C$201,$A401)+COUNTIF('Managed Identities'!$C$2:$C$201,$A401)&gt;0,"Yes","NOT IN INVENTORY"))</f>
        <v/>
      </c>
    </row>
    <row r="402" customFormat="false" ht="15" hidden="false" customHeight="false" outlineLevel="0" collapsed="false">
      <c r="A402" s="46"/>
      <c r="B402" s="46"/>
      <c r="C402" s="47"/>
      <c r="D402" s="47"/>
      <c r="E402" s="46"/>
      <c r="F402" s="46"/>
      <c r="G402" s="47"/>
      <c r="H402" s="47"/>
      <c r="I402" s="47"/>
      <c r="J402" s="45" t="str">
        <f aca="false">IF($A402="","",IF(COUNTIF(Accounts!$C$2:$C$201,$A402)+COUNTIF('Service Principals'!$C$2:$C$201,$A402)+COUNTIF('Managed Identities'!$C$2:$C$201,$A402)&gt;0,"Yes","NOT IN INVENTORY"))</f>
        <v/>
      </c>
    </row>
    <row r="403" customFormat="false" ht="15" hidden="false" customHeight="false" outlineLevel="0" collapsed="false">
      <c r="A403" s="46"/>
      <c r="B403" s="46"/>
      <c r="C403" s="47"/>
      <c r="D403" s="47"/>
      <c r="E403" s="46"/>
      <c r="F403" s="46"/>
      <c r="G403" s="47"/>
      <c r="H403" s="47"/>
      <c r="I403" s="47"/>
      <c r="J403" s="45" t="str">
        <f aca="false">IF($A403="","",IF(COUNTIF(Accounts!$C$2:$C$201,$A403)+COUNTIF('Service Principals'!$C$2:$C$201,$A403)+COUNTIF('Managed Identities'!$C$2:$C$201,$A403)&gt;0,"Yes","NOT IN INVENTORY"))</f>
        <v/>
      </c>
    </row>
    <row r="404" customFormat="false" ht="15" hidden="false" customHeight="false" outlineLevel="0" collapsed="false">
      <c r="A404" s="46"/>
      <c r="B404" s="46"/>
      <c r="C404" s="47"/>
      <c r="D404" s="47"/>
      <c r="E404" s="46"/>
      <c r="F404" s="46"/>
      <c r="G404" s="47"/>
      <c r="H404" s="47"/>
      <c r="I404" s="47"/>
      <c r="J404" s="45" t="str">
        <f aca="false">IF($A404="","",IF(COUNTIF(Accounts!$C$2:$C$201,$A404)+COUNTIF('Service Principals'!$C$2:$C$201,$A404)+COUNTIF('Managed Identities'!$C$2:$C$201,$A404)&gt;0,"Yes","NOT IN INVENTORY"))</f>
        <v/>
      </c>
    </row>
    <row r="405" customFormat="false" ht="15" hidden="false" customHeight="false" outlineLevel="0" collapsed="false">
      <c r="A405" s="46"/>
      <c r="B405" s="46"/>
      <c r="C405" s="47"/>
      <c r="D405" s="47"/>
      <c r="E405" s="46"/>
      <c r="F405" s="46"/>
      <c r="G405" s="47"/>
      <c r="H405" s="47"/>
      <c r="I405" s="47"/>
      <c r="J405" s="45" t="str">
        <f aca="false">IF($A405="","",IF(COUNTIF(Accounts!$C$2:$C$201,$A405)+COUNTIF('Service Principals'!$C$2:$C$201,$A405)+COUNTIF('Managed Identities'!$C$2:$C$201,$A405)&gt;0,"Yes","NOT IN INVENTORY"))</f>
        <v/>
      </c>
    </row>
    <row r="406" customFormat="false" ht="15" hidden="false" customHeight="false" outlineLevel="0" collapsed="false">
      <c r="A406" s="46"/>
      <c r="B406" s="46"/>
      <c r="C406" s="47"/>
      <c r="D406" s="47"/>
      <c r="E406" s="46"/>
      <c r="F406" s="46"/>
      <c r="G406" s="47"/>
      <c r="H406" s="47"/>
      <c r="I406" s="47"/>
      <c r="J406" s="45" t="str">
        <f aca="false">IF($A406="","",IF(COUNTIF(Accounts!$C$2:$C$201,$A406)+COUNTIF('Service Principals'!$C$2:$C$201,$A406)+COUNTIF('Managed Identities'!$C$2:$C$201,$A406)&gt;0,"Yes","NOT IN INVENTORY"))</f>
        <v/>
      </c>
    </row>
    <row r="407" customFormat="false" ht="15" hidden="false" customHeight="false" outlineLevel="0" collapsed="false">
      <c r="A407" s="46"/>
      <c r="B407" s="46"/>
      <c r="C407" s="47"/>
      <c r="D407" s="47"/>
      <c r="E407" s="46"/>
      <c r="F407" s="46"/>
      <c r="G407" s="47"/>
      <c r="H407" s="47"/>
      <c r="I407" s="47"/>
      <c r="J407" s="45" t="str">
        <f aca="false">IF($A407="","",IF(COUNTIF(Accounts!$C$2:$C$201,$A407)+COUNTIF('Service Principals'!$C$2:$C$201,$A407)+COUNTIF('Managed Identities'!$C$2:$C$201,$A407)&gt;0,"Yes","NOT IN INVENTORY"))</f>
        <v/>
      </c>
    </row>
    <row r="408" customFormat="false" ht="15" hidden="false" customHeight="false" outlineLevel="0" collapsed="false">
      <c r="A408" s="46"/>
      <c r="B408" s="46"/>
      <c r="C408" s="47"/>
      <c r="D408" s="47"/>
      <c r="E408" s="46"/>
      <c r="F408" s="46"/>
      <c r="G408" s="47"/>
      <c r="H408" s="47"/>
      <c r="I408" s="47"/>
      <c r="J408" s="45" t="str">
        <f aca="false">IF($A408="","",IF(COUNTIF(Accounts!$C$2:$C$201,$A408)+COUNTIF('Service Principals'!$C$2:$C$201,$A408)+COUNTIF('Managed Identities'!$C$2:$C$201,$A408)&gt;0,"Yes","NOT IN INVENTORY"))</f>
        <v/>
      </c>
    </row>
    <row r="409" customFormat="false" ht="15" hidden="false" customHeight="false" outlineLevel="0" collapsed="false">
      <c r="A409" s="46"/>
      <c r="B409" s="46"/>
      <c r="C409" s="47"/>
      <c r="D409" s="47"/>
      <c r="E409" s="46"/>
      <c r="F409" s="46"/>
      <c r="G409" s="47"/>
      <c r="H409" s="47"/>
      <c r="I409" s="47"/>
      <c r="J409" s="45" t="str">
        <f aca="false">IF($A409="","",IF(COUNTIF(Accounts!$C$2:$C$201,$A409)+COUNTIF('Service Principals'!$C$2:$C$201,$A409)+COUNTIF('Managed Identities'!$C$2:$C$201,$A409)&gt;0,"Yes","NOT IN INVENTORY"))</f>
        <v/>
      </c>
    </row>
    <row r="410" customFormat="false" ht="15" hidden="false" customHeight="false" outlineLevel="0" collapsed="false">
      <c r="A410" s="46"/>
      <c r="B410" s="46"/>
      <c r="C410" s="47"/>
      <c r="D410" s="47"/>
      <c r="E410" s="46"/>
      <c r="F410" s="46"/>
      <c r="G410" s="47"/>
      <c r="H410" s="47"/>
      <c r="I410" s="47"/>
      <c r="J410" s="45" t="str">
        <f aca="false">IF($A410="","",IF(COUNTIF(Accounts!$C$2:$C$201,$A410)+COUNTIF('Service Principals'!$C$2:$C$201,$A410)+COUNTIF('Managed Identities'!$C$2:$C$201,$A410)&gt;0,"Yes","NOT IN INVENTORY"))</f>
        <v/>
      </c>
    </row>
    <row r="411" customFormat="false" ht="15" hidden="false" customHeight="false" outlineLevel="0" collapsed="false">
      <c r="A411" s="46"/>
      <c r="B411" s="46"/>
      <c r="C411" s="47"/>
      <c r="D411" s="47"/>
      <c r="E411" s="46"/>
      <c r="F411" s="46"/>
      <c r="G411" s="47"/>
      <c r="H411" s="47"/>
      <c r="I411" s="47"/>
      <c r="J411" s="45" t="str">
        <f aca="false">IF($A411="","",IF(COUNTIF(Accounts!$C$2:$C$201,$A411)+COUNTIF('Service Principals'!$C$2:$C$201,$A411)+COUNTIF('Managed Identities'!$C$2:$C$201,$A411)&gt;0,"Yes","NOT IN INVENTORY"))</f>
        <v/>
      </c>
    </row>
    <row r="412" customFormat="false" ht="15" hidden="false" customHeight="false" outlineLevel="0" collapsed="false">
      <c r="A412" s="46"/>
      <c r="B412" s="46"/>
      <c r="C412" s="47"/>
      <c r="D412" s="47"/>
      <c r="E412" s="46"/>
      <c r="F412" s="46"/>
      <c r="G412" s="47"/>
      <c r="H412" s="47"/>
      <c r="I412" s="47"/>
      <c r="J412" s="45" t="str">
        <f aca="false">IF($A412="","",IF(COUNTIF(Accounts!$C$2:$C$201,$A412)+COUNTIF('Service Principals'!$C$2:$C$201,$A412)+COUNTIF('Managed Identities'!$C$2:$C$201,$A412)&gt;0,"Yes","NOT IN INVENTORY"))</f>
        <v/>
      </c>
    </row>
    <row r="413" customFormat="false" ht="15" hidden="false" customHeight="false" outlineLevel="0" collapsed="false">
      <c r="A413" s="46"/>
      <c r="B413" s="46"/>
      <c r="C413" s="47"/>
      <c r="D413" s="47"/>
      <c r="E413" s="46"/>
      <c r="F413" s="46"/>
      <c r="G413" s="47"/>
      <c r="H413" s="47"/>
      <c r="I413" s="47"/>
      <c r="J413" s="45" t="str">
        <f aca="false">IF($A413="","",IF(COUNTIF(Accounts!$C$2:$C$201,$A413)+COUNTIF('Service Principals'!$C$2:$C$201,$A413)+COUNTIF('Managed Identities'!$C$2:$C$201,$A413)&gt;0,"Yes","NOT IN INVENTORY"))</f>
        <v/>
      </c>
    </row>
    <row r="414" customFormat="false" ht="15" hidden="false" customHeight="false" outlineLevel="0" collapsed="false">
      <c r="A414" s="46"/>
      <c r="B414" s="46"/>
      <c r="C414" s="47"/>
      <c r="D414" s="47"/>
      <c r="E414" s="46"/>
      <c r="F414" s="46"/>
      <c r="G414" s="47"/>
      <c r="H414" s="47"/>
      <c r="I414" s="47"/>
      <c r="J414" s="45" t="str">
        <f aca="false">IF($A414="","",IF(COUNTIF(Accounts!$C$2:$C$201,$A414)+COUNTIF('Service Principals'!$C$2:$C$201,$A414)+COUNTIF('Managed Identities'!$C$2:$C$201,$A414)&gt;0,"Yes","NOT IN INVENTORY"))</f>
        <v/>
      </c>
    </row>
    <row r="415" customFormat="false" ht="15" hidden="false" customHeight="false" outlineLevel="0" collapsed="false">
      <c r="A415" s="46"/>
      <c r="B415" s="46"/>
      <c r="C415" s="47"/>
      <c r="D415" s="47"/>
      <c r="E415" s="46"/>
      <c r="F415" s="46"/>
      <c r="G415" s="47"/>
      <c r="H415" s="47"/>
      <c r="I415" s="47"/>
      <c r="J415" s="45" t="str">
        <f aca="false">IF($A415="","",IF(COUNTIF(Accounts!$C$2:$C$201,$A415)+COUNTIF('Service Principals'!$C$2:$C$201,$A415)+COUNTIF('Managed Identities'!$C$2:$C$201,$A415)&gt;0,"Yes","NOT IN INVENTORY"))</f>
        <v/>
      </c>
    </row>
    <row r="416" customFormat="false" ht="15" hidden="false" customHeight="false" outlineLevel="0" collapsed="false">
      <c r="A416" s="46"/>
      <c r="B416" s="46"/>
      <c r="C416" s="47"/>
      <c r="D416" s="47"/>
      <c r="E416" s="46"/>
      <c r="F416" s="46"/>
      <c r="G416" s="47"/>
      <c r="H416" s="47"/>
      <c r="I416" s="47"/>
      <c r="J416" s="45" t="str">
        <f aca="false">IF($A416="","",IF(COUNTIF(Accounts!$C$2:$C$201,$A416)+COUNTIF('Service Principals'!$C$2:$C$201,$A416)+COUNTIF('Managed Identities'!$C$2:$C$201,$A416)&gt;0,"Yes","NOT IN INVENTORY"))</f>
        <v/>
      </c>
    </row>
    <row r="417" customFormat="false" ht="15" hidden="false" customHeight="false" outlineLevel="0" collapsed="false">
      <c r="A417" s="46"/>
      <c r="B417" s="46"/>
      <c r="C417" s="47"/>
      <c r="D417" s="47"/>
      <c r="E417" s="46"/>
      <c r="F417" s="46"/>
      <c r="G417" s="47"/>
      <c r="H417" s="47"/>
      <c r="I417" s="47"/>
      <c r="J417" s="45" t="str">
        <f aca="false">IF($A417="","",IF(COUNTIF(Accounts!$C$2:$C$201,$A417)+COUNTIF('Service Principals'!$C$2:$C$201,$A417)+COUNTIF('Managed Identities'!$C$2:$C$201,$A417)&gt;0,"Yes","NOT IN INVENTORY"))</f>
        <v/>
      </c>
    </row>
    <row r="418" customFormat="false" ht="15" hidden="false" customHeight="false" outlineLevel="0" collapsed="false">
      <c r="A418" s="46"/>
      <c r="B418" s="46"/>
      <c r="C418" s="47"/>
      <c r="D418" s="47"/>
      <c r="E418" s="46"/>
      <c r="F418" s="46"/>
      <c r="G418" s="47"/>
      <c r="H418" s="47"/>
      <c r="I418" s="47"/>
      <c r="J418" s="45" t="str">
        <f aca="false">IF($A418="","",IF(COUNTIF(Accounts!$C$2:$C$201,$A418)+COUNTIF('Service Principals'!$C$2:$C$201,$A418)+COUNTIF('Managed Identities'!$C$2:$C$201,$A418)&gt;0,"Yes","NOT IN INVENTORY"))</f>
        <v/>
      </c>
    </row>
    <row r="419" customFormat="false" ht="15" hidden="false" customHeight="false" outlineLevel="0" collapsed="false">
      <c r="A419" s="46"/>
      <c r="B419" s="46"/>
      <c r="C419" s="47"/>
      <c r="D419" s="47"/>
      <c r="E419" s="46"/>
      <c r="F419" s="46"/>
      <c r="G419" s="47"/>
      <c r="H419" s="47"/>
      <c r="I419" s="47"/>
      <c r="J419" s="45" t="str">
        <f aca="false">IF($A419="","",IF(COUNTIF(Accounts!$C$2:$C$201,$A419)+COUNTIF('Service Principals'!$C$2:$C$201,$A419)+COUNTIF('Managed Identities'!$C$2:$C$201,$A419)&gt;0,"Yes","NOT IN INVENTORY"))</f>
        <v/>
      </c>
    </row>
    <row r="420" customFormat="false" ht="15" hidden="false" customHeight="false" outlineLevel="0" collapsed="false">
      <c r="A420" s="46"/>
      <c r="B420" s="46"/>
      <c r="C420" s="47"/>
      <c r="D420" s="47"/>
      <c r="E420" s="46"/>
      <c r="F420" s="46"/>
      <c r="G420" s="47"/>
      <c r="H420" s="47"/>
      <c r="I420" s="47"/>
      <c r="J420" s="45" t="str">
        <f aca="false">IF($A420="","",IF(COUNTIF(Accounts!$C$2:$C$201,$A420)+COUNTIF('Service Principals'!$C$2:$C$201,$A420)+COUNTIF('Managed Identities'!$C$2:$C$201,$A420)&gt;0,"Yes","NOT IN INVENTORY"))</f>
        <v/>
      </c>
    </row>
    <row r="421" customFormat="false" ht="15" hidden="false" customHeight="false" outlineLevel="0" collapsed="false">
      <c r="A421" s="46"/>
      <c r="B421" s="46"/>
      <c r="C421" s="47"/>
      <c r="D421" s="47"/>
      <c r="E421" s="46"/>
      <c r="F421" s="46"/>
      <c r="G421" s="47"/>
      <c r="H421" s="47"/>
      <c r="I421" s="47"/>
      <c r="J421" s="45" t="str">
        <f aca="false">IF($A421="","",IF(COUNTIF(Accounts!$C$2:$C$201,$A421)+COUNTIF('Service Principals'!$C$2:$C$201,$A421)+COUNTIF('Managed Identities'!$C$2:$C$201,$A421)&gt;0,"Yes","NOT IN INVENTORY"))</f>
        <v/>
      </c>
    </row>
    <row r="422" customFormat="false" ht="15" hidden="false" customHeight="false" outlineLevel="0" collapsed="false">
      <c r="A422" s="46"/>
      <c r="B422" s="46"/>
      <c r="C422" s="47"/>
      <c r="D422" s="47"/>
      <c r="E422" s="46"/>
      <c r="F422" s="46"/>
      <c r="G422" s="47"/>
      <c r="H422" s="47"/>
      <c r="I422" s="47"/>
      <c r="J422" s="45" t="str">
        <f aca="false">IF($A422="","",IF(COUNTIF(Accounts!$C$2:$C$201,$A422)+COUNTIF('Service Principals'!$C$2:$C$201,$A422)+COUNTIF('Managed Identities'!$C$2:$C$201,$A422)&gt;0,"Yes","NOT IN INVENTORY"))</f>
        <v/>
      </c>
    </row>
    <row r="423" customFormat="false" ht="15" hidden="false" customHeight="false" outlineLevel="0" collapsed="false">
      <c r="A423" s="46"/>
      <c r="B423" s="46"/>
      <c r="C423" s="47"/>
      <c r="D423" s="47"/>
      <c r="E423" s="46"/>
      <c r="F423" s="46"/>
      <c r="G423" s="47"/>
      <c r="H423" s="47"/>
      <c r="I423" s="47"/>
      <c r="J423" s="45" t="str">
        <f aca="false">IF($A423="","",IF(COUNTIF(Accounts!$C$2:$C$201,$A423)+COUNTIF('Service Principals'!$C$2:$C$201,$A423)+COUNTIF('Managed Identities'!$C$2:$C$201,$A423)&gt;0,"Yes","NOT IN INVENTORY"))</f>
        <v/>
      </c>
    </row>
    <row r="424" customFormat="false" ht="15" hidden="false" customHeight="false" outlineLevel="0" collapsed="false">
      <c r="A424" s="46"/>
      <c r="B424" s="46"/>
      <c r="C424" s="47"/>
      <c r="D424" s="47"/>
      <c r="E424" s="46"/>
      <c r="F424" s="46"/>
      <c r="G424" s="47"/>
      <c r="H424" s="47"/>
      <c r="I424" s="47"/>
      <c r="J424" s="45" t="str">
        <f aca="false">IF($A424="","",IF(COUNTIF(Accounts!$C$2:$C$201,$A424)+COUNTIF('Service Principals'!$C$2:$C$201,$A424)+COUNTIF('Managed Identities'!$C$2:$C$201,$A424)&gt;0,"Yes","NOT IN INVENTORY"))</f>
        <v/>
      </c>
    </row>
    <row r="425" customFormat="false" ht="15" hidden="false" customHeight="false" outlineLevel="0" collapsed="false">
      <c r="A425" s="46"/>
      <c r="B425" s="46"/>
      <c r="C425" s="47"/>
      <c r="D425" s="47"/>
      <c r="E425" s="46"/>
      <c r="F425" s="46"/>
      <c r="G425" s="47"/>
      <c r="H425" s="47"/>
      <c r="I425" s="47"/>
      <c r="J425" s="45" t="str">
        <f aca="false">IF($A425="","",IF(COUNTIF(Accounts!$C$2:$C$201,$A425)+COUNTIF('Service Principals'!$C$2:$C$201,$A425)+COUNTIF('Managed Identities'!$C$2:$C$201,$A425)&gt;0,"Yes","NOT IN INVENTORY"))</f>
        <v/>
      </c>
    </row>
    <row r="426" customFormat="false" ht="15" hidden="false" customHeight="false" outlineLevel="0" collapsed="false">
      <c r="A426" s="46"/>
      <c r="B426" s="46"/>
      <c r="C426" s="47"/>
      <c r="D426" s="47"/>
      <c r="E426" s="46"/>
      <c r="F426" s="46"/>
      <c r="G426" s="47"/>
      <c r="H426" s="47"/>
      <c r="I426" s="47"/>
      <c r="J426" s="45" t="str">
        <f aca="false">IF($A426="","",IF(COUNTIF(Accounts!$C$2:$C$201,$A426)+COUNTIF('Service Principals'!$C$2:$C$201,$A426)+COUNTIF('Managed Identities'!$C$2:$C$201,$A426)&gt;0,"Yes","NOT IN INVENTORY"))</f>
        <v/>
      </c>
    </row>
    <row r="427" customFormat="false" ht="15" hidden="false" customHeight="false" outlineLevel="0" collapsed="false">
      <c r="A427" s="46"/>
      <c r="B427" s="46"/>
      <c r="C427" s="47"/>
      <c r="D427" s="47"/>
      <c r="E427" s="46"/>
      <c r="F427" s="46"/>
      <c r="G427" s="47"/>
      <c r="H427" s="47"/>
      <c r="I427" s="47"/>
      <c r="J427" s="45" t="str">
        <f aca="false">IF($A427="","",IF(COUNTIF(Accounts!$C$2:$C$201,$A427)+COUNTIF('Service Principals'!$C$2:$C$201,$A427)+COUNTIF('Managed Identities'!$C$2:$C$201,$A427)&gt;0,"Yes","NOT IN INVENTORY"))</f>
        <v/>
      </c>
    </row>
    <row r="428" customFormat="false" ht="15" hidden="false" customHeight="false" outlineLevel="0" collapsed="false">
      <c r="A428" s="46"/>
      <c r="B428" s="46"/>
      <c r="C428" s="47"/>
      <c r="D428" s="47"/>
      <c r="E428" s="46"/>
      <c r="F428" s="46"/>
      <c r="G428" s="47"/>
      <c r="H428" s="47"/>
      <c r="I428" s="47"/>
      <c r="J428" s="45" t="str">
        <f aca="false">IF($A428="","",IF(COUNTIF(Accounts!$C$2:$C$201,$A428)+COUNTIF('Service Principals'!$C$2:$C$201,$A428)+COUNTIF('Managed Identities'!$C$2:$C$201,$A428)&gt;0,"Yes","NOT IN INVENTORY"))</f>
        <v/>
      </c>
    </row>
    <row r="429" customFormat="false" ht="15" hidden="false" customHeight="false" outlineLevel="0" collapsed="false">
      <c r="A429" s="46"/>
      <c r="B429" s="46"/>
      <c r="C429" s="47"/>
      <c r="D429" s="47"/>
      <c r="E429" s="46"/>
      <c r="F429" s="46"/>
      <c r="G429" s="47"/>
      <c r="H429" s="47"/>
      <c r="I429" s="47"/>
      <c r="J429" s="45" t="str">
        <f aca="false">IF($A429="","",IF(COUNTIF(Accounts!$C$2:$C$201,$A429)+COUNTIF('Service Principals'!$C$2:$C$201,$A429)+COUNTIF('Managed Identities'!$C$2:$C$201,$A429)&gt;0,"Yes","NOT IN INVENTORY"))</f>
        <v/>
      </c>
    </row>
    <row r="430" customFormat="false" ht="15" hidden="false" customHeight="false" outlineLevel="0" collapsed="false">
      <c r="A430" s="46"/>
      <c r="B430" s="46"/>
      <c r="C430" s="47"/>
      <c r="D430" s="47"/>
      <c r="E430" s="46"/>
      <c r="F430" s="46"/>
      <c r="G430" s="47"/>
      <c r="H430" s="47"/>
      <c r="I430" s="47"/>
      <c r="J430" s="45" t="str">
        <f aca="false">IF($A430="","",IF(COUNTIF(Accounts!$C$2:$C$201,$A430)+COUNTIF('Service Principals'!$C$2:$C$201,$A430)+COUNTIF('Managed Identities'!$C$2:$C$201,$A430)&gt;0,"Yes","NOT IN INVENTORY"))</f>
        <v/>
      </c>
    </row>
    <row r="431" customFormat="false" ht="15" hidden="false" customHeight="false" outlineLevel="0" collapsed="false">
      <c r="A431" s="46"/>
      <c r="B431" s="46"/>
      <c r="C431" s="47"/>
      <c r="D431" s="47"/>
      <c r="E431" s="46"/>
      <c r="F431" s="46"/>
      <c r="G431" s="47"/>
      <c r="H431" s="47"/>
      <c r="I431" s="47"/>
      <c r="J431" s="45" t="str">
        <f aca="false">IF($A431="","",IF(COUNTIF(Accounts!$C$2:$C$201,$A431)+COUNTIF('Service Principals'!$C$2:$C$201,$A431)+COUNTIF('Managed Identities'!$C$2:$C$201,$A431)&gt;0,"Yes","NOT IN INVENTORY"))</f>
        <v/>
      </c>
    </row>
    <row r="432" customFormat="false" ht="15" hidden="false" customHeight="false" outlineLevel="0" collapsed="false">
      <c r="A432" s="46"/>
      <c r="B432" s="46"/>
      <c r="C432" s="47"/>
      <c r="D432" s="47"/>
      <c r="E432" s="46"/>
      <c r="F432" s="46"/>
      <c r="G432" s="47"/>
      <c r="H432" s="47"/>
      <c r="I432" s="47"/>
      <c r="J432" s="45" t="str">
        <f aca="false">IF($A432="","",IF(COUNTIF(Accounts!$C$2:$C$201,$A432)+COUNTIF('Service Principals'!$C$2:$C$201,$A432)+COUNTIF('Managed Identities'!$C$2:$C$201,$A432)&gt;0,"Yes","NOT IN INVENTORY"))</f>
        <v/>
      </c>
    </row>
    <row r="433" customFormat="false" ht="15" hidden="false" customHeight="false" outlineLevel="0" collapsed="false">
      <c r="A433" s="46"/>
      <c r="B433" s="46"/>
      <c r="C433" s="47"/>
      <c r="D433" s="47"/>
      <c r="E433" s="46"/>
      <c r="F433" s="46"/>
      <c r="G433" s="47"/>
      <c r="H433" s="47"/>
      <c r="I433" s="47"/>
      <c r="J433" s="45" t="str">
        <f aca="false">IF($A433="","",IF(COUNTIF(Accounts!$C$2:$C$201,$A433)+COUNTIF('Service Principals'!$C$2:$C$201,$A433)+COUNTIF('Managed Identities'!$C$2:$C$201,$A433)&gt;0,"Yes","NOT IN INVENTORY"))</f>
        <v/>
      </c>
    </row>
    <row r="434" customFormat="false" ht="15" hidden="false" customHeight="false" outlineLevel="0" collapsed="false">
      <c r="A434" s="46"/>
      <c r="B434" s="46"/>
      <c r="C434" s="47"/>
      <c r="D434" s="47"/>
      <c r="E434" s="46"/>
      <c r="F434" s="46"/>
      <c r="G434" s="47"/>
      <c r="H434" s="47"/>
      <c r="I434" s="47"/>
      <c r="J434" s="45" t="str">
        <f aca="false">IF($A434="","",IF(COUNTIF(Accounts!$C$2:$C$201,$A434)+COUNTIF('Service Principals'!$C$2:$C$201,$A434)+COUNTIF('Managed Identities'!$C$2:$C$201,$A434)&gt;0,"Yes","NOT IN INVENTORY"))</f>
        <v/>
      </c>
    </row>
    <row r="435" customFormat="false" ht="15" hidden="false" customHeight="false" outlineLevel="0" collapsed="false">
      <c r="A435" s="46"/>
      <c r="B435" s="46"/>
      <c r="C435" s="47"/>
      <c r="D435" s="47"/>
      <c r="E435" s="46"/>
      <c r="F435" s="46"/>
      <c r="G435" s="47"/>
      <c r="H435" s="47"/>
      <c r="I435" s="47"/>
      <c r="J435" s="45" t="str">
        <f aca="false">IF($A435="","",IF(COUNTIF(Accounts!$C$2:$C$201,$A435)+COUNTIF('Service Principals'!$C$2:$C$201,$A435)+COUNTIF('Managed Identities'!$C$2:$C$201,$A435)&gt;0,"Yes","NOT IN INVENTORY"))</f>
        <v/>
      </c>
    </row>
    <row r="436" customFormat="false" ht="15" hidden="false" customHeight="false" outlineLevel="0" collapsed="false">
      <c r="A436" s="46"/>
      <c r="B436" s="46"/>
      <c r="C436" s="47"/>
      <c r="D436" s="47"/>
      <c r="E436" s="46"/>
      <c r="F436" s="46"/>
      <c r="G436" s="47"/>
      <c r="H436" s="47"/>
      <c r="I436" s="47"/>
      <c r="J436" s="45" t="str">
        <f aca="false">IF($A436="","",IF(COUNTIF(Accounts!$C$2:$C$201,$A436)+COUNTIF('Service Principals'!$C$2:$C$201,$A436)+COUNTIF('Managed Identities'!$C$2:$C$201,$A436)&gt;0,"Yes","NOT IN INVENTORY"))</f>
        <v/>
      </c>
    </row>
    <row r="437" customFormat="false" ht="15" hidden="false" customHeight="false" outlineLevel="0" collapsed="false">
      <c r="A437" s="46"/>
      <c r="B437" s="46"/>
      <c r="C437" s="47"/>
      <c r="D437" s="47"/>
      <c r="E437" s="46"/>
      <c r="F437" s="46"/>
      <c r="G437" s="47"/>
      <c r="H437" s="47"/>
      <c r="I437" s="47"/>
      <c r="J437" s="45" t="str">
        <f aca="false">IF($A437="","",IF(COUNTIF(Accounts!$C$2:$C$201,$A437)+COUNTIF('Service Principals'!$C$2:$C$201,$A437)+COUNTIF('Managed Identities'!$C$2:$C$201,$A437)&gt;0,"Yes","NOT IN INVENTORY"))</f>
        <v/>
      </c>
    </row>
    <row r="438" customFormat="false" ht="15" hidden="false" customHeight="false" outlineLevel="0" collapsed="false">
      <c r="A438" s="46"/>
      <c r="B438" s="46"/>
      <c r="C438" s="47"/>
      <c r="D438" s="47"/>
      <c r="E438" s="46"/>
      <c r="F438" s="46"/>
      <c r="G438" s="47"/>
      <c r="H438" s="47"/>
      <c r="I438" s="47"/>
      <c r="J438" s="45" t="str">
        <f aca="false">IF($A438="","",IF(COUNTIF(Accounts!$C$2:$C$201,$A438)+COUNTIF('Service Principals'!$C$2:$C$201,$A438)+COUNTIF('Managed Identities'!$C$2:$C$201,$A438)&gt;0,"Yes","NOT IN INVENTORY"))</f>
        <v/>
      </c>
    </row>
    <row r="439" customFormat="false" ht="15" hidden="false" customHeight="false" outlineLevel="0" collapsed="false">
      <c r="A439" s="46"/>
      <c r="B439" s="46"/>
      <c r="C439" s="47"/>
      <c r="D439" s="47"/>
      <c r="E439" s="46"/>
      <c r="F439" s="46"/>
      <c r="G439" s="47"/>
      <c r="H439" s="47"/>
      <c r="I439" s="47"/>
      <c r="J439" s="45" t="str">
        <f aca="false">IF($A439="","",IF(COUNTIF(Accounts!$C$2:$C$201,$A439)+COUNTIF('Service Principals'!$C$2:$C$201,$A439)+COUNTIF('Managed Identities'!$C$2:$C$201,$A439)&gt;0,"Yes","NOT IN INVENTORY"))</f>
        <v/>
      </c>
    </row>
    <row r="440" customFormat="false" ht="15" hidden="false" customHeight="false" outlineLevel="0" collapsed="false">
      <c r="A440" s="46"/>
      <c r="B440" s="46"/>
      <c r="C440" s="47"/>
      <c r="D440" s="47"/>
      <c r="E440" s="46"/>
      <c r="F440" s="46"/>
      <c r="G440" s="47"/>
      <c r="H440" s="47"/>
      <c r="I440" s="47"/>
      <c r="J440" s="45" t="str">
        <f aca="false">IF($A440="","",IF(COUNTIF(Accounts!$C$2:$C$201,$A440)+COUNTIF('Service Principals'!$C$2:$C$201,$A440)+COUNTIF('Managed Identities'!$C$2:$C$201,$A440)&gt;0,"Yes","NOT IN INVENTORY"))</f>
        <v/>
      </c>
    </row>
    <row r="441" customFormat="false" ht="15" hidden="false" customHeight="false" outlineLevel="0" collapsed="false">
      <c r="A441" s="46"/>
      <c r="B441" s="46"/>
      <c r="C441" s="47"/>
      <c r="D441" s="47"/>
      <c r="E441" s="46"/>
      <c r="F441" s="46"/>
      <c r="G441" s="47"/>
      <c r="H441" s="47"/>
      <c r="I441" s="47"/>
      <c r="J441" s="45" t="str">
        <f aca="false">IF($A441="","",IF(COUNTIF(Accounts!$C$2:$C$201,$A441)+COUNTIF('Service Principals'!$C$2:$C$201,$A441)+COUNTIF('Managed Identities'!$C$2:$C$201,$A441)&gt;0,"Yes","NOT IN INVENTORY"))</f>
        <v/>
      </c>
    </row>
    <row r="442" customFormat="false" ht="15" hidden="false" customHeight="false" outlineLevel="0" collapsed="false">
      <c r="A442" s="46"/>
      <c r="B442" s="46"/>
      <c r="C442" s="47"/>
      <c r="D442" s="47"/>
      <c r="E442" s="46"/>
      <c r="F442" s="46"/>
      <c r="G442" s="47"/>
      <c r="H442" s="47"/>
      <c r="I442" s="47"/>
      <c r="J442" s="45" t="str">
        <f aca="false">IF($A442="","",IF(COUNTIF(Accounts!$C$2:$C$201,$A442)+COUNTIF('Service Principals'!$C$2:$C$201,$A442)+COUNTIF('Managed Identities'!$C$2:$C$201,$A442)&gt;0,"Yes","NOT IN INVENTORY"))</f>
        <v/>
      </c>
    </row>
    <row r="443" customFormat="false" ht="15" hidden="false" customHeight="false" outlineLevel="0" collapsed="false">
      <c r="A443" s="46"/>
      <c r="B443" s="46"/>
      <c r="C443" s="47"/>
      <c r="D443" s="47"/>
      <c r="E443" s="46"/>
      <c r="F443" s="46"/>
      <c r="G443" s="47"/>
      <c r="H443" s="47"/>
      <c r="I443" s="47"/>
      <c r="J443" s="45" t="str">
        <f aca="false">IF($A443="","",IF(COUNTIF(Accounts!$C$2:$C$201,$A443)+COUNTIF('Service Principals'!$C$2:$C$201,$A443)+COUNTIF('Managed Identities'!$C$2:$C$201,$A443)&gt;0,"Yes","NOT IN INVENTORY"))</f>
        <v/>
      </c>
    </row>
    <row r="444" customFormat="false" ht="15" hidden="false" customHeight="false" outlineLevel="0" collapsed="false">
      <c r="A444" s="46"/>
      <c r="B444" s="46"/>
      <c r="C444" s="47"/>
      <c r="D444" s="47"/>
      <c r="E444" s="46"/>
      <c r="F444" s="46"/>
      <c r="G444" s="47"/>
      <c r="H444" s="47"/>
      <c r="I444" s="47"/>
      <c r="J444" s="45" t="str">
        <f aca="false">IF($A444="","",IF(COUNTIF(Accounts!$C$2:$C$201,$A444)+COUNTIF('Service Principals'!$C$2:$C$201,$A444)+COUNTIF('Managed Identities'!$C$2:$C$201,$A444)&gt;0,"Yes","NOT IN INVENTORY"))</f>
        <v/>
      </c>
    </row>
    <row r="445" customFormat="false" ht="15" hidden="false" customHeight="false" outlineLevel="0" collapsed="false">
      <c r="A445" s="46"/>
      <c r="B445" s="46"/>
      <c r="C445" s="47"/>
      <c r="D445" s="47"/>
      <c r="E445" s="46"/>
      <c r="F445" s="46"/>
      <c r="G445" s="47"/>
      <c r="H445" s="47"/>
      <c r="I445" s="47"/>
      <c r="J445" s="45" t="str">
        <f aca="false">IF($A445="","",IF(COUNTIF(Accounts!$C$2:$C$201,$A445)+COUNTIF('Service Principals'!$C$2:$C$201,$A445)+COUNTIF('Managed Identities'!$C$2:$C$201,$A445)&gt;0,"Yes","NOT IN INVENTORY"))</f>
        <v/>
      </c>
    </row>
    <row r="446" customFormat="false" ht="15" hidden="false" customHeight="false" outlineLevel="0" collapsed="false">
      <c r="A446" s="46"/>
      <c r="B446" s="46"/>
      <c r="C446" s="47"/>
      <c r="D446" s="47"/>
      <c r="E446" s="46"/>
      <c r="F446" s="46"/>
      <c r="G446" s="47"/>
      <c r="H446" s="47"/>
      <c r="I446" s="47"/>
      <c r="J446" s="45" t="str">
        <f aca="false">IF($A446="","",IF(COUNTIF(Accounts!$C$2:$C$201,$A446)+COUNTIF('Service Principals'!$C$2:$C$201,$A446)+COUNTIF('Managed Identities'!$C$2:$C$201,$A446)&gt;0,"Yes","NOT IN INVENTORY"))</f>
        <v/>
      </c>
    </row>
    <row r="447" customFormat="false" ht="15" hidden="false" customHeight="false" outlineLevel="0" collapsed="false">
      <c r="A447" s="46"/>
      <c r="B447" s="46"/>
      <c r="C447" s="47"/>
      <c r="D447" s="47"/>
      <c r="E447" s="46"/>
      <c r="F447" s="46"/>
      <c r="G447" s="47"/>
      <c r="H447" s="47"/>
      <c r="I447" s="47"/>
      <c r="J447" s="45" t="str">
        <f aca="false">IF($A447="","",IF(COUNTIF(Accounts!$C$2:$C$201,$A447)+COUNTIF('Service Principals'!$C$2:$C$201,$A447)+COUNTIF('Managed Identities'!$C$2:$C$201,$A447)&gt;0,"Yes","NOT IN INVENTORY"))</f>
        <v/>
      </c>
    </row>
    <row r="448" customFormat="false" ht="15" hidden="false" customHeight="false" outlineLevel="0" collapsed="false">
      <c r="A448" s="46"/>
      <c r="B448" s="46"/>
      <c r="C448" s="47"/>
      <c r="D448" s="47"/>
      <c r="E448" s="46"/>
      <c r="F448" s="46"/>
      <c r="G448" s="47"/>
      <c r="H448" s="47"/>
      <c r="I448" s="47"/>
      <c r="J448" s="45" t="str">
        <f aca="false">IF($A448="","",IF(COUNTIF(Accounts!$C$2:$C$201,$A448)+COUNTIF('Service Principals'!$C$2:$C$201,$A448)+COUNTIF('Managed Identities'!$C$2:$C$201,$A448)&gt;0,"Yes","NOT IN INVENTORY"))</f>
        <v/>
      </c>
    </row>
    <row r="449" customFormat="false" ht="15" hidden="false" customHeight="false" outlineLevel="0" collapsed="false">
      <c r="A449" s="46"/>
      <c r="B449" s="46"/>
      <c r="C449" s="47"/>
      <c r="D449" s="47"/>
      <c r="E449" s="46"/>
      <c r="F449" s="46"/>
      <c r="G449" s="47"/>
      <c r="H449" s="47"/>
      <c r="I449" s="47"/>
      <c r="J449" s="45" t="str">
        <f aca="false">IF($A449="","",IF(COUNTIF(Accounts!$C$2:$C$201,$A449)+COUNTIF('Service Principals'!$C$2:$C$201,$A449)+COUNTIF('Managed Identities'!$C$2:$C$201,$A449)&gt;0,"Yes","NOT IN INVENTORY"))</f>
        <v/>
      </c>
    </row>
    <row r="450" customFormat="false" ht="15" hidden="false" customHeight="false" outlineLevel="0" collapsed="false">
      <c r="A450" s="46"/>
      <c r="B450" s="46"/>
      <c r="C450" s="47"/>
      <c r="D450" s="47"/>
      <c r="E450" s="46"/>
      <c r="F450" s="46"/>
      <c r="G450" s="47"/>
      <c r="H450" s="47"/>
      <c r="I450" s="47"/>
      <c r="J450" s="45" t="str">
        <f aca="false">IF($A450="","",IF(COUNTIF(Accounts!$C$2:$C$201,$A450)+COUNTIF('Service Principals'!$C$2:$C$201,$A450)+COUNTIF('Managed Identities'!$C$2:$C$201,$A450)&gt;0,"Yes","NOT IN INVENTORY"))</f>
        <v/>
      </c>
    </row>
    <row r="451" customFormat="false" ht="15" hidden="false" customHeight="false" outlineLevel="0" collapsed="false">
      <c r="A451" s="46"/>
      <c r="B451" s="46"/>
      <c r="C451" s="47"/>
      <c r="D451" s="47"/>
      <c r="E451" s="46"/>
      <c r="F451" s="46"/>
      <c r="G451" s="47"/>
      <c r="H451" s="47"/>
      <c r="I451" s="47"/>
      <c r="J451" s="45" t="str">
        <f aca="false">IF($A451="","",IF(COUNTIF(Accounts!$C$2:$C$201,$A451)+COUNTIF('Service Principals'!$C$2:$C$201,$A451)+COUNTIF('Managed Identities'!$C$2:$C$201,$A451)&gt;0,"Yes","NOT IN INVENTORY"))</f>
        <v/>
      </c>
    </row>
    <row r="452" customFormat="false" ht="15" hidden="false" customHeight="false" outlineLevel="0" collapsed="false">
      <c r="A452" s="46"/>
      <c r="B452" s="46"/>
      <c r="C452" s="47"/>
      <c r="D452" s="47"/>
      <c r="E452" s="46"/>
      <c r="F452" s="46"/>
      <c r="G452" s="47"/>
      <c r="H452" s="47"/>
      <c r="I452" s="47"/>
      <c r="J452" s="45" t="str">
        <f aca="false">IF($A452="","",IF(COUNTIF(Accounts!$C$2:$C$201,$A452)+COUNTIF('Service Principals'!$C$2:$C$201,$A452)+COUNTIF('Managed Identities'!$C$2:$C$201,$A452)&gt;0,"Yes","NOT IN INVENTORY"))</f>
        <v/>
      </c>
    </row>
    <row r="453" customFormat="false" ht="15" hidden="false" customHeight="false" outlineLevel="0" collapsed="false">
      <c r="A453" s="46"/>
      <c r="B453" s="46"/>
      <c r="C453" s="47"/>
      <c r="D453" s="47"/>
      <c r="E453" s="46"/>
      <c r="F453" s="46"/>
      <c r="G453" s="47"/>
      <c r="H453" s="47"/>
      <c r="I453" s="47"/>
      <c r="J453" s="45" t="str">
        <f aca="false">IF($A453="","",IF(COUNTIF(Accounts!$C$2:$C$201,$A453)+COUNTIF('Service Principals'!$C$2:$C$201,$A453)+COUNTIF('Managed Identities'!$C$2:$C$201,$A453)&gt;0,"Yes","NOT IN INVENTORY"))</f>
        <v/>
      </c>
    </row>
    <row r="454" customFormat="false" ht="15" hidden="false" customHeight="false" outlineLevel="0" collapsed="false">
      <c r="A454" s="46"/>
      <c r="B454" s="46"/>
      <c r="C454" s="47"/>
      <c r="D454" s="47"/>
      <c r="E454" s="46"/>
      <c r="F454" s="46"/>
      <c r="G454" s="47"/>
      <c r="H454" s="47"/>
      <c r="I454" s="47"/>
      <c r="J454" s="45" t="str">
        <f aca="false">IF($A454="","",IF(COUNTIF(Accounts!$C$2:$C$201,$A454)+COUNTIF('Service Principals'!$C$2:$C$201,$A454)+COUNTIF('Managed Identities'!$C$2:$C$201,$A454)&gt;0,"Yes","NOT IN INVENTORY"))</f>
        <v/>
      </c>
    </row>
    <row r="455" customFormat="false" ht="15" hidden="false" customHeight="false" outlineLevel="0" collapsed="false">
      <c r="A455" s="46"/>
      <c r="B455" s="46"/>
      <c r="C455" s="47"/>
      <c r="D455" s="47"/>
      <c r="E455" s="46"/>
      <c r="F455" s="46"/>
      <c r="G455" s="47"/>
      <c r="H455" s="47"/>
      <c r="I455" s="47"/>
      <c r="J455" s="45" t="str">
        <f aca="false">IF($A455="","",IF(COUNTIF(Accounts!$C$2:$C$201,$A455)+COUNTIF('Service Principals'!$C$2:$C$201,$A455)+COUNTIF('Managed Identities'!$C$2:$C$201,$A455)&gt;0,"Yes","NOT IN INVENTORY"))</f>
        <v/>
      </c>
    </row>
    <row r="456" customFormat="false" ht="15" hidden="false" customHeight="false" outlineLevel="0" collapsed="false">
      <c r="A456" s="46"/>
      <c r="B456" s="46"/>
      <c r="C456" s="47"/>
      <c r="D456" s="47"/>
      <c r="E456" s="46"/>
      <c r="F456" s="46"/>
      <c r="G456" s="47"/>
      <c r="H456" s="47"/>
      <c r="I456" s="47"/>
      <c r="J456" s="45" t="str">
        <f aca="false">IF($A456="","",IF(COUNTIF(Accounts!$C$2:$C$201,$A456)+COUNTIF('Service Principals'!$C$2:$C$201,$A456)+COUNTIF('Managed Identities'!$C$2:$C$201,$A456)&gt;0,"Yes","NOT IN INVENTORY"))</f>
        <v/>
      </c>
    </row>
    <row r="457" customFormat="false" ht="15" hidden="false" customHeight="false" outlineLevel="0" collapsed="false">
      <c r="A457" s="46"/>
      <c r="B457" s="46"/>
      <c r="C457" s="47"/>
      <c r="D457" s="47"/>
      <c r="E457" s="46"/>
      <c r="F457" s="46"/>
      <c r="G457" s="47"/>
      <c r="H457" s="47"/>
      <c r="I457" s="47"/>
      <c r="J457" s="45" t="str">
        <f aca="false">IF($A457="","",IF(COUNTIF(Accounts!$C$2:$C$201,$A457)+COUNTIF('Service Principals'!$C$2:$C$201,$A457)+COUNTIF('Managed Identities'!$C$2:$C$201,$A457)&gt;0,"Yes","NOT IN INVENTORY"))</f>
        <v/>
      </c>
    </row>
    <row r="458" customFormat="false" ht="15" hidden="false" customHeight="false" outlineLevel="0" collapsed="false">
      <c r="A458" s="46"/>
      <c r="B458" s="46"/>
      <c r="C458" s="47"/>
      <c r="D458" s="47"/>
      <c r="E458" s="46"/>
      <c r="F458" s="46"/>
      <c r="G458" s="47"/>
      <c r="H458" s="47"/>
      <c r="I458" s="47"/>
      <c r="J458" s="45" t="str">
        <f aca="false">IF($A458="","",IF(COUNTIF(Accounts!$C$2:$C$201,$A458)+COUNTIF('Service Principals'!$C$2:$C$201,$A458)+COUNTIF('Managed Identities'!$C$2:$C$201,$A458)&gt;0,"Yes","NOT IN INVENTORY"))</f>
        <v/>
      </c>
    </row>
    <row r="459" customFormat="false" ht="15" hidden="false" customHeight="false" outlineLevel="0" collapsed="false">
      <c r="A459" s="46"/>
      <c r="B459" s="46"/>
      <c r="C459" s="47"/>
      <c r="D459" s="47"/>
      <c r="E459" s="46"/>
      <c r="F459" s="46"/>
      <c r="G459" s="47"/>
      <c r="H459" s="47"/>
      <c r="I459" s="47"/>
      <c r="J459" s="45" t="str">
        <f aca="false">IF($A459="","",IF(COUNTIF(Accounts!$C$2:$C$201,$A459)+COUNTIF('Service Principals'!$C$2:$C$201,$A459)+COUNTIF('Managed Identities'!$C$2:$C$201,$A459)&gt;0,"Yes","NOT IN INVENTORY"))</f>
        <v/>
      </c>
    </row>
    <row r="460" customFormat="false" ht="15" hidden="false" customHeight="false" outlineLevel="0" collapsed="false">
      <c r="A460" s="46"/>
      <c r="B460" s="46"/>
      <c r="C460" s="47"/>
      <c r="D460" s="47"/>
      <c r="E460" s="46"/>
      <c r="F460" s="46"/>
      <c r="G460" s="47"/>
      <c r="H460" s="47"/>
      <c r="I460" s="47"/>
      <c r="J460" s="45" t="str">
        <f aca="false">IF($A460="","",IF(COUNTIF(Accounts!$C$2:$C$201,$A460)+COUNTIF('Service Principals'!$C$2:$C$201,$A460)+COUNTIF('Managed Identities'!$C$2:$C$201,$A460)&gt;0,"Yes","NOT IN INVENTORY"))</f>
        <v/>
      </c>
    </row>
    <row r="461" customFormat="false" ht="15" hidden="false" customHeight="false" outlineLevel="0" collapsed="false">
      <c r="A461" s="46"/>
      <c r="B461" s="46"/>
      <c r="C461" s="47"/>
      <c r="D461" s="47"/>
      <c r="E461" s="46"/>
      <c r="F461" s="46"/>
      <c r="G461" s="47"/>
      <c r="H461" s="47"/>
      <c r="I461" s="47"/>
      <c r="J461" s="45" t="str">
        <f aca="false">IF($A461="","",IF(COUNTIF(Accounts!$C$2:$C$201,$A461)+COUNTIF('Service Principals'!$C$2:$C$201,$A461)+COUNTIF('Managed Identities'!$C$2:$C$201,$A461)&gt;0,"Yes","NOT IN INVENTORY"))</f>
        <v/>
      </c>
    </row>
    <row r="462" customFormat="false" ht="15" hidden="false" customHeight="false" outlineLevel="0" collapsed="false">
      <c r="A462" s="46"/>
      <c r="B462" s="46"/>
      <c r="C462" s="47"/>
      <c r="D462" s="47"/>
      <c r="E462" s="46"/>
      <c r="F462" s="46"/>
      <c r="G462" s="47"/>
      <c r="H462" s="47"/>
      <c r="I462" s="47"/>
      <c r="J462" s="45" t="str">
        <f aca="false">IF($A462="","",IF(COUNTIF(Accounts!$C$2:$C$201,$A462)+COUNTIF('Service Principals'!$C$2:$C$201,$A462)+COUNTIF('Managed Identities'!$C$2:$C$201,$A462)&gt;0,"Yes","NOT IN INVENTORY"))</f>
        <v/>
      </c>
    </row>
    <row r="463" customFormat="false" ht="15" hidden="false" customHeight="false" outlineLevel="0" collapsed="false">
      <c r="A463" s="46"/>
      <c r="B463" s="46"/>
      <c r="C463" s="47"/>
      <c r="D463" s="47"/>
      <c r="E463" s="46"/>
      <c r="F463" s="46"/>
      <c r="G463" s="47"/>
      <c r="H463" s="47"/>
      <c r="I463" s="47"/>
      <c r="J463" s="45" t="str">
        <f aca="false">IF($A463="","",IF(COUNTIF(Accounts!$C$2:$C$201,$A463)+COUNTIF('Service Principals'!$C$2:$C$201,$A463)+COUNTIF('Managed Identities'!$C$2:$C$201,$A463)&gt;0,"Yes","NOT IN INVENTORY"))</f>
        <v/>
      </c>
    </row>
    <row r="464" customFormat="false" ht="15" hidden="false" customHeight="false" outlineLevel="0" collapsed="false">
      <c r="A464" s="46"/>
      <c r="B464" s="46"/>
      <c r="C464" s="47"/>
      <c r="D464" s="47"/>
      <c r="E464" s="46"/>
      <c r="F464" s="46"/>
      <c r="G464" s="47"/>
      <c r="H464" s="47"/>
      <c r="I464" s="47"/>
      <c r="J464" s="45" t="str">
        <f aca="false">IF($A464="","",IF(COUNTIF(Accounts!$C$2:$C$201,$A464)+COUNTIF('Service Principals'!$C$2:$C$201,$A464)+COUNTIF('Managed Identities'!$C$2:$C$201,$A464)&gt;0,"Yes","NOT IN INVENTORY"))</f>
        <v/>
      </c>
    </row>
    <row r="465" customFormat="false" ht="15" hidden="false" customHeight="false" outlineLevel="0" collapsed="false">
      <c r="A465" s="46"/>
      <c r="B465" s="46"/>
      <c r="C465" s="47"/>
      <c r="D465" s="47"/>
      <c r="E465" s="46"/>
      <c r="F465" s="46"/>
      <c r="G465" s="47"/>
      <c r="H465" s="47"/>
      <c r="I465" s="47"/>
      <c r="J465" s="45" t="str">
        <f aca="false">IF($A465="","",IF(COUNTIF(Accounts!$C$2:$C$201,$A465)+COUNTIF('Service Principals'!$C$2:$C$201,$A465)+COUNTIF('Managed Identities'!$C$2:$C$201,$A465)&gt;0,"Yes","NOT IN INVENTORY"))</f>
        <v/>
      </c>
    </row>
    <row r="466" customFormat="false" ht="15" hidden="false" customHeight="false" outlineLevel="0" collapsed="false">
      <c r="A466" s="46"/>
      <c r="B466" s="46"/>
      <c r="C466" s="47"/>
      <c r="D466" s="47"/>
      <c r="E466" s="46"/>
      <c r="F466" s="46"/>
      <c r="G466" s="47"/>
      <c r="H466" s="47"/>
      <c r="I466" s="47"/>
      <c r="J466" s="45" t="str">
        <f aca="false">IF($A466="","",IF(COUNTIF(Accounts!$C$2:$C$201,$A466)+COUNTIF('Service Principals'!$C$2:$C$201,$A466)+COUNTIF('Managed Identities'!$C$2:$C$201,$A466)&gt;0,"Yes","NOT IN INVENTORY"))</f>
        <v/>
      </c>
    </row>
    <row r="467" customFormat="false" ht="15" hidden="false" customHeight="false" outlineLevel="0" collapsed="false">
      <c r="A467" s="46"/>
      <c r="B467" s="46"/>
      <c r="C467" s="47"/>
      <c r="D467" s="47"/>
      <c r="E467" s="46"/>
      <c r="F467" s="46"/>
      <c r="G467" s="47"/>
      <c r="H467" s="47"/>
      <c r="I467" s="47"/>
      <c r="J467" s="45" t="str">
        <f aca="false">IF($A467="","",IF(COUNTIF(Accounts!$C$2:$C$201,$A467)+COUNTIF('Service Principals'!$C$2:$C$201,$A467)+COUNTIF('Managed Identities'!$C$2:$C$201,$A467)&gt;0,"Yes","NOT IN INVENTORY"))</f>
        <v/>
      </c>
    </row>
    <row r="468" customFormat="false" ht="15" hidden="false" customHeight="false" outlineLevel="0" collapsed="false">
      <c r="A468" s="46"/>
      <c r="B468" s="46"/>
      <c r="C468" s="47"/>
      <c r="D468" s="47"/>
      <c r="E468" s="46"/>
      <c r="F468" s="46"/>
      <c r="G468" s="47"/>
      <c r="H468" s="47"/>
      <c r="I468" s="47"/>
      <c r="J468" s="45" t="str">
        <f aca="false">IF($A468="","",IF(COUNTIF(Accounts!$C$2:$C$201,$A468)+COUNTIF('Service Principals'!$C$2:$C$201,$A468)+COUNTIF('Managed Identities'!$C$2:$C$201,$A468)&gt;0,"Yes","NOT IN INVENTORY"))</f>
        <v/>
      </c>
    </row>
    <row r="469" customFormat="false" ht="15" hidden="false" customHeight="false" outlineLevel="0" collapsed="false">
      <c r="A469" s="46"/>
      <c r="B469" s="46"/>
      <c r="C469" s="47"/>
      <c r="D469" s="47"/>
      <c r="E469" s="46"/>
      <c r="F469" s="46"/>
      <c r="G469" s="47"/>
      <c r="H469" s="47"/>
      <c r="I469" s="47"/>
      <c r="J469" s="45" t="str">
        <f aca="false">IF($A469="","",IF(COUNTIF(Accounts!$C$2:$C$201,$A469)+COUNTIF('Service Principals'!$C$2:$C$201,$A469)+COUNTIF('Managed Identities'!$C$2:$C$201,$A469)&gt;0,"Yes","NOT IN INVENTORY"))</f>
        <v/>
      </c>
    </row>
    <row r="470" customFormat="false" ht="15" hidden="false" customHeight="false" outlineLevel="0" collapsed="false">
      <c r="A470" s="46"/>
      <c r="B470" s="46"/>
      <c r="C470" s="47"/>
      <c r="D470" s="47"/>
      <c r="E470" s="46"/>
      <c r="F470" s="46"/>
      <c r="G470" s="47"/>
      <c r="H470" s="47"/>
      <c r="I470" s="47"/>
      <c r="J470" s="45" t="str">
        <f aca="false">IF($A470="","",IF(COUNTIF(Accounts!$C$2:$C$201,$A470)+COUNTIF('Service Principals'!$C$2:$C$201,$A470)+COUNTIF('Managed Identities'!$C$2:$C$201,$A470)&gt;0,"Yes","NOT IN INVENTORY"))</f>
        <v/>
      </c>
    </row>
    <row r="471" customFormat="false" ht="15" hidden="false" customHeight="false" outlineLevel="0" collapsed="false">
      <c r="A471" s="46"/>
      <c r="B471" s="46"/>
      <c r="C471" s="47"/>
      <c r="D471" s="47"/>
      <c r="E471" s="46"/>
      <c r="F471" s="46"/>
      <c r="G471" s="47"/>
      <c r="H471" s="47"/>
      <c r="I471" s="47"/>
      <c r="J471" s="45" t="str">
        <f aca="false">IF($A471="","",IF(COUNTIF(Accounts!$C$2:$C$201,$A471)+COUNTIF('Service Principals'!$C$2:$C$201,$A471)+COUNTIF('Managed Identities'!$C$2:$C$201,$A471)&gt;0,"Yes","NOT IN INVENTORY"))</f>
        <v/>
      </c>
    </row>
    <row r="472" customFormat="false" ht="15" hidden="false" customHeight="false" outlineLevel="0" collapsed="false">
      <c r="A472" s="46"/>
      <c r="B472" s="46"/>
      <c r="C472" s="47"/>
      <c r="D472" s="47"/>
      <c r="E472" s="46"/>
      <c r="F472" s="46"/>
      <c r="G472" s="47"/>
      <c r="H472" s="47"/>
      <c r="I472" s="47"/>
      <c r="J472" s="45" t="str">
        <f aca="false">IF($A472="","",IF(COUNTIF(Accounts!$C$2:$C$201,$A472)+COUNTIF('Service Principals'!$C$2:$C$201,$A472)+COUNTIF('Managed Identities'!$C$2:$C$201,$A472)&gt;0,"Yes","NOT IN INVENTORY"))</f>
        <v/>
      </c>
    </row>
    <row r="473" customFormat="false" ht="15" hidden="false" customHeight="false" outlineLevel="0" collapsed="false">
      <c r="A473" s="46"/>
      <c r="B473" s="46"/>
      <c r="C473" s="47"/>
      <c r="D473" s="47"/>
      <c r="E473" s="46"/>
      <c r="F473" s="46"/>
      <c r="G473" s="47"/>
      <c r="H473" s="47"/>
      <c r="I473" s="47"/>
      <c r="J473" s="45" t="str">
        <f aca="false">IF($A473="","",IF(COUNTIF(Accounts!$C$2:$C$201,$A473)+COUNTIF('Service Principals'!$C$2:$C$201,$A473)+COUNTIF('Managed Identities'!$C$2:$C$201,$A473)&gt;0,"Yes","NOT IN INVENTORY"))</f>
        <v/>
      </c>
    </row>
    <row r="474" customFormat="false" ht="15" hidden="false" customHeight="false" outlineLevel="0" collapsed="false">
      <c r="A474" s="46"/>
      <c r="B474" s="46"/>
      <c r="C474" s="47"/>
      <c r="D474" s="47"/>
      <c r="E474" s="46"/>
      <c r="F474" s="46"/>
      <c r="G474" s="47"/>
      <c r="H474" s="47"/>
      <c r="I474" s="47"/>
      <c r="J474" s="45" t="str">
        <f aca="false">IF($A474="","",IF(COUNTIF(Accounts!$C$2:$C$201,$A474)+COUNTIF('Service Principals'!$C$2:$C$201,$A474)+COUNTIF('Managed Identities'!$C$2:$C$201,$A474)&gt;0,"Yes","NOT IN INVENTORY"))</f>
        <v/>
      </c>
    </row>
    <row r="475" customFormat="false" ht="15" hidden="false" customHeight="false" outlineLevel="0" collapsed="false">
      <c r="A475" s="46"/>
      <c r="B475" s="46"/>
      <c r="C475" s="47"/>
      <c r="D475" s="47"/>
      <c r="E475" s="46"/>
      <c r="F475" s="46"/>
      <c r="G475" s="47"/>
      <c r="H475" s="47"/>
      <c r="I475" s="47"/>
      <c r="J475" s="45" t="str">
        <f aca="false">IF($A475="","",IF(COUNTIF(Accounts!$C$2:$C$201,$A475)+COUNTIF('Service Principals'!$C$2:$C$201,$A475)+COUNTIF('Managed Identities'!$C$2:$C$201,$A475)&gt;0,"Yes","NOT IN INVENTORY"))</f>
        <v/>
      </c>
    </row>
    <row r="476" customFormat="false" ht="15" hidden="false" customHeight="false" outlineLevel="0" collapsed="false">
      <c r="A476" s="46"/>
      <c r="B476" s="46"/>
      <c r="C476" s="47"/>
      <c r="D476" s="47"/>
      <c r="E476" s="46"/>
      <c r="F476" s="46"/>
      <c r="G476" s="47"/>
      <c r="H476" s="47"/>
      <c r="I476" s="47"/>
      <c r="J476" s="45" t="str">
        <f aca="false">IF($A476="","",IF(COUNTIF(Accounts!$C$2:$C$201,$A476)+COUNTIF('Service Principals'!$C$2:$C$201,$A476)+COUNTIF('Managed Identities'!$C$2:$C$201,$A476)&gt;0,"Yes","NOT IN INVENTORY"))</f>
        <v/>
      </c>
    </row>
    <row r="477" customFormat="false" ht="15" hidden="false" customHeight="false" outlineLevel="0" collapsed="false">
      <c r="A477" s="46"/>
      <c r="B477" s="46"/>
      <c r="C477" s="47"/>
      <c r="D477" s="47"/>
      <c r="E477" s="46"/>
      <c r="F477" s="46"/>
      <c r="G477" s="47"/>
      <c r="H477" s="47"/>
      <c r="I477" s="47"/>
      <c r="J477" s="45" t="str">
        <f aca="false">IF($A477="","",IF(COUNTIF(Accounts!$C$2:$C$201,$A477)+COUNTIF('Service Principals'!$C$2:$C$201,$A477)+COUNTIF('Managed Identities'!$C$2:$C$201,$A477)&gt;0,"Yes","NOT IN INVENTORY"))</f>
        <v/>
      </c>
    </row>
    <row r="478" customFormat="false" ht="15" hidden="false" customHeight="false" outlineLevel="0" collapsed="false">
      <c r="A478" s="46"/>
      <c r="B478" s="46"/>
      <c r="C478" s="47"/>
      <c r="D478" s="47"/>
      <c r="E478" s="46"/>
      <c r="F478" s="46"/>
      <c r="G478" s="47"/>
      <c r="H478" s="47"/>
      <c r="I478" s="47"/>
      <c r="J478" s="45" t="str">
        <f aca="false">IF($A478="","",IF(COUNTIF(Accounts!$C$2:$C$201,$A478)+COUNTIF('Service Principals'!$C$2:$C$201,$A478)+COUNTIF('Managed Identities'!$C$2:$C$201,$A478)&gt;0,"Yes","NOT IN INVENTORY"))</f>
        <v/>
      </c>
    </row>
    <row r="479" customFormat="false" ht="15" hidden="false" customHeight="false" outlineLevel="0" collapsed="false">
      <c r="A479" s="46"/>
      <c r="B479" s="46"/>
      <c r="C479" s="47"/>
      <c r="D479" s="47"/>
      <c r="E479" s="46"/>
      <c r="F479" s="46"/>
      <c r="G479" s="47"/>
      <c r="H479" s="47"/>
      <c r="I479" s="47"/>
      <c r="J479" s="45" t="str">
        <f aca="false">IF($A479="","",IF(COUNTIF(Accounts!$C$2:$C$201,$A479)+COUNTIF('Service Principals'!$C$2:$C$201,$A479)+COUNTIF('Managed Identities'!$C$2:$C$201,$A479)&gt;0,"Yes","NOT IN INVENTORY"))</f>
        <v/>
      </c>
    </row>
    <row r="480" customFormat="false" ht="15" hidden="false" customHeight="false" outlineLevel="0" collapsed="false">
      <c r="A480" s="46"/>
      <c r="B480" s="46"/>
      <c r="C480" s="47"/>
      <c r="D480" s="47"/>
      <c r="E480" s="46"/>
      <c r="F480" s="46"/>
      <c r="G480" s="47"/>
      <c r="H480" s="47"/>
      <c r="I480" s="47"/>
      <c r="J480" s="45" t="str">
        <f aca="false">IF($A480="","",IF(COUNTIF(Accounts!$C$2:$C$201,$A480)+COUNTIF('Service Principals'!$C$2:$C$201,$A480)+COUNTIF('Managed Identities'!$C$2:$C$201,$A480)&gt;0,"Yes","NOT IN INVENTORY"))</f>
        <v/>
      </c>
    </row>
    <row r="481" customFormat="false" ht="15" hidden="false" customHeight="false" outlineLevel="0" collapsed="false">
      <c r="A481" s="46"/>
      <c r="B481" s="46"/>
      <c r="C481" s="47"/>
      <c r="D481" s="47"/>
      <c r="E481" s="46"/>
      <c r="F481" s="46"/>
      <c r="G481" s="47"/>
      <c r="H481" s="47"/>
      <c r="I481" s="47"/>
      <c r="J481" s="45" t="str">
        <f aca="false">IF($A481="","",IF(COUNTIF(Accounts!$C$2:$C$201,$A481)+COUNTIF('Service Principals'!$C$2:$C$201,$A481)+COUNTIF('Managed Identities'!$C$2:$C$201,$A481)&gt;0,"Yes","NOT IN INVENTORY"))</f>
        <v/>
      </c>
    </row>
    <row r="482" customFormat="false" ht="15" hidden="false" customHeight="false" outlineLevel="0" collapsed="false">
      <c r="A482" s="46"/>
      <c r="B482" s="46"/>
      <c r="C482" s="47"/>
      <c r="D482" s="47"/>
      <c r="E482" s="46"/>
      <c r="F482" s="46"/>
      <c r="G482" s="47"/>
      <c r="H482" s="47"/>
      <c r="I482" s="47"/>
      <c r="J482" s="45" t="str">
        <f aca="false">IF($A482="","",IF(COUNTIF(Accounts!$C$2:$C$201,$A482)+COUNTIF('Service Principals'!$C$2:$C$201,$A482)+COUNTIF('Managed Identities'!$C$2:$C$201,$A482)&gt;0,"Yes","NOT IN INVENTORY"))</f>
        <v/>
      </c>
    </row>
    <row r="483" customFormat="false" ht="15" hidden="false" customHeight="false" outlineLevel="0" collapsed="false">
      <c r="A483" s="46"/>
      <c r="B483" s="46"/>
      <c r="C483" s="47"/>
      <c r="D483" s="47"/>
      <c r="E483" s="46"/>
      <c r="F483" s="46"/>
      <c r="G483" s="47"/>
      <c r="H483" s="47"/>
      <c r="I483" s="47"/>
      <c r="J483" s="45" t="str">
        <f aca="false">IF($A483="","",IF(COUNTIF(Accounts!$C$2:$C$201,$A483)+COUNTIF('Service Principals'!$C$2:$C$201,$A483)+COUNTIF('Managed Identities'!$C$2:$C$201,$A483)&gt;0,"Yes","NOT IN INVENTORY"))</f>
        <v/>
      </c>
    </row>
    <row r="484" customFormat="false" ht="15" hidden="false" customHeight="false" outlineLevel="0" collapsed="false">
      <c r="A484" s="46"/>
      <c r="B484" s="46"/>
      <c r="C484" s="47"/>
      <c r="D484" s="47"/>
      <c r="E484" s="46"/>
      <c r="F484" s="46"/>
      <c r="G484" s="47"/>
      <c r="H484" s="47"/>
      <c r="I484" s="47"/>
      <c r="J484" s="45" t="str">
        <f aca="false">IF($A484="","",IF(COUNTIF(Accounts!$C$2:$C$201,$A484)+COUNTIF('Service Principals'!$C$2:$C$201,$A484)+COUNTIF('Managed Identities'!$C$2:$C$201,$A484)&gt;0,"Yes","NOT IN INVENTORY"))</f>
        <v/>
      </c>
    </row>
    <row r="485" customFormat="false" ht="15" hidden="false" customHeight="false" outlineLevel="0" collapsed="false">
      <c r="A485" s="46"/>
      <c r="B485" s="46"/>
      <c r="C485" s="47"/>
      <c r="D485" s="47"/>
      <c r="E485" s="46"/>
      <c r="F485" s="46"/>
      <c r="G485" s="47"/>
      <c r="H485" s="47"/>
      <c r="I485" s="47"/>
      <c r="J485" s="45" t="str">
        <f aca="false">IF($A485="","",IF(COUNTIF(Accounts!$C$2:$C$201,$A485)+COUNTIF('Service Principals'!$C$2:$C$201,$A485)+COUNTIF('Managed Identities'!$C$2:$C$201,$A485)&gt;0,"Yes","NOT IN INVENTORY"))</f>
        <v/>
      </c>
    </row>
    <row r="486" customFormat="false" ht="15" hidden="false" customHeight="false" outlineLevel="0" collapsed="false">
      <c r="A486" s="46"/>
      <c r="B486" s="46"/>
      <c r="C486" s="47"/>
      <c r="D486" s="47"/>
      <c r="E486" s="46"/>
      <c r="F486" s="46"/>
      <c r="G486" s="47"/>
      <c r="H486" s="47"/>
      <c r="I486" s="47"/>
      <c r="J486" s="45" t="str">
        <f aca="false">IF($A486="","",IF(COUNTIF(Accounts!$C$2:$C$201,$A486)+COUNTIF('Service Principals'!$C$2:$C$201,$A486)+COUNTIF('Managed Identities'!$C$2:$C$201,$A486)&gt;0,"Yes","NOT IN INVENTORY"))</f>
        <v/>
      </c>
    </row>
    <row r="487" customFormat="false" ht="15" hidden="false" customHeight="false" outlineLevel="0" collapsed="false">
      <c r="A487" s="46"/>
      <c r="B487" s="46"/>
      <c r="C487" s="47"/>
      <c r="D487" s="47"/>
      <c r="E487" s="46"/>
      <c r="F487" s="46"/>
      <c r="G487" s="47"/>
      <c r="H487" s="47"/>
      <c r="I487" s="47"/>
      <c r="J487" s="45" t="str">
        <f aca="false">IF($A487="","",IF(COUNTIF(Accounts!$C$2:$C$201,$A487)+COUNTIF('Service Principals'!$C$2:$C$201,$A487)+COUNTIF('Managed Identities'!$C$2:$C$201,$A487)&gt;0,"Yes","NOT IN INVENTORY"))</f>
        <v/>
      </c>
    </row>
    <row r="488" customFormat="false" ht="15" hidden="false" customHeight="false" outlineLevel="0" collapsed="false">
      <c r="A488" s="46"/>
      <c r="B488" s="46"/>
      <c r="C488" s="47"/>
      <c r="D488" s="47"/>
      <c r="E488" s="46"/>
      <c r="F488" s="46"/>
      <c r="G488" s="47"/>
      <c r="H488" s="47"/>
      <c r="I488" s="47"/>
      <c r="J488" s="45" t="str">
        <f aca="false">IF($A488="","",IF(COUNTIF(Accounts!$C$2:$C$201,$A488)+COUNTIF('Service Principals'!$C$2:$C$201,$A488)+COUNTIF('Managed Identities'!$C$2:$C$201,$A488)&gt;0,"Yes","NOT IN INVENTORY"))</f>
        <v/>
      </c>
    </row>
    <row r="489" customFormat="false" ht="15" hidden="false" customHeight="false" outlineLevel="0" collapsed="false">
      <c r="A489" s="46"/>
      <c r="B489" s="46"/>
      <c r="C489" s="47"/>
      <c r="D489" s="47"/>
      <c r="E489" s="46"/>
      <c r="F489" s="46"/>
      <c r="G489" s="47"/>
      <c r="H489" s="47"/>
      <c r="I489" s="47"/>
      <c r="J489" s="45" t="str">
        <f aca="false">IF($A489="","",IF(COUNTIF(Accounts!$C$2:$C$201,$A489)+COUNTIF('Service Principals'!$C$2:$C$201,$A489)+COUNTIF('Managed Identities'!$C$2:$C$201,$A489)&gt;0,"Yes","NOT IN INVENTORY"))</f>
        <v/>
      </c>
    </row>
    <row r="490" customFormat="false" ht="15" hidden="false" customHeight="false" outlineLevel="0" collapsed="false">
      <c r="A490" s="46"/>
      <c r="B490" s="46"/>
      <c r="C490" s="47"/>
      <c r="D490" s="47"/>
      <c r="E490" s="46"/>
      <c r="F490" s="46"/>
      <c r="G490" s="47"/>
      <c r="H490" s="47"/>
      <c r="I490" s="47"/>
      <c r="J490" s="45" t="str">
        <f aca="false">IF($A490="","",IF(COUNTIF(Accounts!$C$2:$C$201,$A490)+COUNTIF('Service Principals'!$C$2:$C$201,$A490)+COUNTIF('Managed Identities'!$C$2:$C$201,$A490)&gt;0,"Yes","NOT IN INVENTORY"))</f>
        <v/>
      </c>
    </row>
    <row r="491" customFormat="false" ht="15" hidden="false" customHeight="false" outlineLevel="0" collapsed="false">
      <c r="A491" s="46"/>
      <c r="B491" s="46"/>
      <c r="C491" s="47"/>
      <c r="D491" s="47"/>
      <c r="E491" s="46"/>
      <c r="F491" s="46"/>
      <c r="G491" s="47"/>
      <c r="H491" s="47"/>
      <c r="I491" s="47"/>
      <c r="J491" s="45" t="str">
        <f aca="false">IF($A491="","",IF(COUNTIF(Accounts!$C$2:$C$201,$A491)+COUNTIF('Service Principals'!$C$2:$C$201,$A491)+COUNTIF('Managed Identities'!$C$2:$C$201,$A491)&gt;0,"Yes","NOT IN INVENTORY"))</f>
        <v/>
      </c>
    </row>
    <row r="492" customFormat="false" ht="15" hidden="false" customHeight="false" outlineLevel="0" collapsed="false">
      <c r="A492" s="46"/>
      <c r="B492" s="46"/>
      <c r="C492" s="47"/>
      <c r="D492" s="47"/>
      <c r="E492" s="46"/>
      <c r="F492" s="46"/>
      <c r="G492" s="47"/>
      <c r="H492" s="47"/>
      <c r="I492" s="47"/>
      <c r="J492" s="45" t="str">
        <f aca="false">IF($A492="","",IF(COUNTIF(Accounts!$C$2:$C$201,$A492)+COUNTIF('Service Principals'!$C$2:$C$201,$A492)+COUNTIF('Managed Identities'!$C$2:$C$201,$A492)&gt;0,"Yes","NOT IN INVENTORY"))</f>
        <v/>
      </c>
    </row>
    <row r="493" customFormat="false" ht="15" hidden="false" customHeight="false" outlineLevel="0" collapsed="false">
      <c r="A493" s="46"/>
      <c r="B493" s="46"/>
      <c r="C493" s="47"/>
      <c r="D493" s="47"/>
      <c r="E493" s="46"/>
      <c r="F493" s="46"/>
      <c r="G493" s="47"/>
      <c r="H493" s="47"/>
      <c r="I493" s="47"/>
      <c r="J493" s="45" t="str">
        <f aca="false">IF($A493="","",IF(COUNTIF(Accounts!$C$2:$C$201,$A493)+COUNTIF('Service Principals'!$C$2:$C$201,$A493)+COUNTIF('Managed Identities'!$C$2:$C$201,$A493)&gt;0,"Yes","NOT IN INVENTORY"))</f>
        <v/>
      </c>
    </row>
    <row r="494" customFormat="false" ht="15" hidden="false" customHeight="false" outlineLevel="0" collapsed="false">
      <c r="A494" s="46"/>
      <c r="B494" s="46"/>
      <c r="C494" s="47"/>
      <c r="D494" s="47"/>
      <c r="E494" s="46"/>
      <c r="F494" s="46"/>
      <c r="G494" s="47"/>
      <c r="H494" s="47"/>
      <c r="I494" s="47"/>
      <c r="J494" s="45" t="str">
        <f aca="false">IF($A494="","",IF(COUNTIF(Accounts!$C$2:$C$201,$A494)+COUNTIF('Service Principals'!$C$2:$C$201,$A494)+COUNTIF('Managed Identities'!$C$2:$C$201,$A494)&gt;0,"Yes","NOT IN INVENTORY"))</f>
        <v/>
      </c>
    </row>
    <row r="495" customFormat="false" ht="15" hidden="false" customHeight="false" outlineLevel="0" collapsed="false">
      <c r="A495" s="46"/>
      <c r="B495" s="46"/>
      <c r="C495" s="47"/>
      <c r="D495" s="47"/>
      <c r="E495" s="46"/>
      <c r="F495" s="46"/>
      <c r="G495" s="47"/>
      <c r="H495" s="47"/>
      <c r="I495" s="47"/>
      <c r="J495" s="45" t="str">
        <f aca="false">IF($A495="","",IF(COUNTIF(Accounts!$C$2:$C$201,$A495)+COUNTIF('Service Principals'!$C$2:$C$201,$A495)+COUNTIF('Managed Identities'!$C$2:$C$201,$A495)&gt;0,"Yes","NOT IN INVENTORY"))</f>
        <v/>
      </c>
    </row>
    <row r="496" customFormat="false" ht="15" hidden="false" customHeight="false" outlineLevel="0" collapsed="false">
      <c r="A496" s="46"/>
      <c r="B496" s="46"/>
      <c r="C496" s="47"/>
      <c r="D496" s="47"/>
      <c r="E496" s="46"/>
      <c r="F496" s="46"/>
      <c r="G496" s="47"/>
      <c r="H496" s="47"/>
      <c r="I496" s="47"/>
      <c r="J496" s="45" t="str">
        <f aca="false">IF($A496="","",IF(COUNTIF(Accounts!$C$2:$C$201,$A496)+COUNTIF('Service Principals'!$C$2:$C$201,$A496)+COUNTIF('Managed Identities'!$C$2:$C$201,$A496)&gt;0,"Yes","NOT IN INVENTORY"))</f>
        <v/>
      </c>
    </row>
    <row r="497" customFormat="false" ht="15" hidden="false" customHeight="false" outlineLevel="0" collapsed="false">
      <c r="A497" s="46"/>
      <c r="B497" s="46"/>
      <c r="C497" s="47"/>
      <c r="D497" s="47"/>
      <c r="E497" s="46"/>
      <c r="F497" s="46"/>
      <c r="G497" s="47"/>
      <c r="H497" s="47"/>
      <c r="I497" s="47"/>
      <c r="J497" s="45" t="str">
        <f aca="false">IF($A497="","",IF(COUNTIF(Accounts!$C$2:$C$201,$A497)+COUNTIF('Service Principals'!$C$2:$C$201,$A497)+COUNTIF('Managed Identities'!$C$2:$C$201,$A497)&gt;0,"Yes","NOT IN INVENTORY"))</f>
        <v/>
      </c>
    </row>
    <row r="498" customFormat="false" ht="15" hidden="false" customHeight="false" outlineLevel="0" collapsed="false">
      <c r="A498" s="46"/>
      <c r="B498" s="46"/>
      <c r="C498" s="47"/>
      <c r="D498" s="47"/>
      <c r="E498" s="46"/>
      <c r="F498" s="46"/>
      <c r="G498" s="47"/>
      <c r="H498" s="47"/>
      <c r="I498" s="47"/>
      <c r="J498" s="45" t="str">
        <f aca="false">IF($A498="","",IF(COUNTIF(Accounts!$C$2:$C$201,$A498)+COUNTIF('Service Principals'!$C$2:$C$201,$A498)+COUNTIF('Managed Identities'!$C$2:$C$201,$A498)&gt;0,"Yes","NOT IN INVENTORY"))</f>
        <v/>
      </c>
    </row>
    <row r="499" customFormat="false" ht="15" hidden="false" customHeight="false" outlineLevel="0" collapsed="false">
      <c r="A499" s="46"/>
      <c r="B499" s="46"/>
      <c r="C499" s="47"/>
      <c r="D499" s="47"/>
      <c r="E499" s="46"/>
      <c r="F499" s="46"/>
      <c r="G499" s="47"/>
      <c r="H499" s="47"/>
      <c r="I499" s="47"/>
      <c r="J499" s="45" t="str">
        <f aca="false">IF($A499="","",IF(COUNTIF(Accounts!$C$2:$C$201,$A499)+COUNTIF('Service Principals'!$C$2:$C$201,$A499)+COUNTIF('Managed Identities'!$C$2:$C$201,$A499)&gt;0,"Yes","NOT IN INVENTORY"))</f>
        <v/>
      </c>
    </row>
    <row r="500" customFormat="false" ht="15" hidden="false" customHeight="false" outlineLevel="0" collapsed="false">
      <c r="A500" s="46"/>
      <c r="B500" s="46"/>
      <c r="C500" s="47"/>
      <c r="D500" s="47"/>
      <c r="E500" s="46"/>
      <c r="F500" s="46"/>
      <c r="G500" s="47"/>
      <c r="H500" s="47"/>
      <c r="I500" s="47"/>
      <c r="J500" s="45" t="str">
        <f aca="false">IF($A500="","",IF(COUNTIF(Accounts!$C$2:$C$201,$A500)+COUNTIF('Service Principals'!$C$2:$C$201,$A500)+COUNTIF('Managed Identities'!$C$2:$C$201,$A500)&gt;0,"Yes","NOT IN INVENTORY"))</f>
        <v/>
      </c>
    </row>
    <row r="501" customFormat="false" ht="15" hidden="false" customHeight="false" outlineLevel="0" collapsed="false">
      <c r="A501" s="46"/>
      <c r="B501" s="46"/>
      <c r="C501" s="47"/>
      <c r="D501" s="47"/>
      <c r="E501" s="46"/>
      <c r="F501" s="46"/>
      <c r="G501" s="47"/>
      <c r="H501" s="47"/>
      <c r="I501" s="47"/>
      <c r="J501" s="45" t="str">
        <f aca="false">IF($A501="","",IF(COUNTIF(Accounts!$C$2:$C$201,$A501)+COUNTIF('Service Principals'!$C$2:$C$201,$A501)+COUNTIF('Managed Identities'!$C$2:$C$201,$A501)&gt;0,"Yes","NOT IN INVENTORY"))</f>
        <v/>
      </c>
    </row>
    <row r="502" customFormat="false" ht="15" hidden="false" customHeight="false" outlineLevel="0" collapsed="false">
      <c r="A502" s="46"/>
      <c r="B502" s="46"/>
      <c r="C502" s="47"/>
      <c r="D502" s="47"/>
      <c r="E502" s="46"/>
      <c r="F502" s="46"/>
      <c r="G502" s="47"/>
      <c r="H502" s="47"/>
      <c r="I502" s="47"/>
      <c r="J502" s="45" t="str">
        <f aca="false">IF($A502="","",IF(COUNTIF(Accounts!$C$2:$C$201,$A502)+COUNTIF('Service Principals'!$C$2:$C$201,$A502)+COUNTIF('Managed Identities'!$C$2:$C$201,$A502)&gt;0,"Yes","NOT IN INVENTORY"))</f>
        <v/>
      </c>
    </row>
    <row r="503" customFormat="false" ht="15" hidden="false" customHeight="false" outlineLevel="0" collapsed="false">
      <c r="A503" s="46"/>
      <c r="B503" s="46"/>
      <c r="C503" s="47"/>
      <c r="D503" s="47"/>
      <c r="E503" s="46"/>
      <c r="F503" s="46"/>
      <c r="G503" s="47"/>
      <c r="H503" s="47"/>
      <c r="I503" s="47"/>
      <c r="J503" s="45" t="str">
        <f aca="false">IF($A503="","",IF(COUNTIF(Accounts!$C$2:$C$201,$A503)+COUNTIF('Service Principals'!$C$2:$C$201,$A503)+COUNTIF('Managed Identities'!$C$2:$C$201,$A503)&gt;0,"Yes","NOT IN INVENTORY"))</f>
        <v/>
      </c>
    </row>
    <row r="504" customFormat="false" ht="15" hidden="false" customHeight="false" outlineLevel="0" collapsed="false">
      <c r="A504" s="46"/>
      <c r="B504" s="46"/>
      <c r="C504" s="47"/>
      <c r="D504" s="47"/>
      <c r="E504" s="46"/>
      <c r="F504" s="46"/>
      <c r="G504" s="47"/>
      <c r="H504" s="47"/>
      <c r="I504" s="47"/>
      <c r="J504" s="45" t="str">
        <f aca="false">IF($A504="","",IF(COUNTIF(Accounts!$C$2:$C$201,$A504)+COUNTIF('Service Principals'!$C$2:$C$201,$A504)+COUNTIF('Managed Identities'!$C$2:$C$201,$A504)&gt;0,"Yes","NOT IN INVENTORY"))</f>
        <v/>
      </c>
    </row>
    <row r="505" customFormat="false" ht="15" hidden="false" customHeight="false" outlineLevel="0" collapsed="false">
      <c r="A505" s="46"/>
      <c r="B505" s="46"/>
      <c r="C505" s="47"/>
      <c r="D505" s="47"/>
      <c r="E505" s="46"/>
      <c r="F505" s="46"/>
      <c r="G505" s="47"/>
      <c r="H505" s="47"/>
      <c r="I505" s="47"/>
      <c r="J505" s="45" t="str">
        <f aca="false">IF($A505="","",IF(COUNTIF(Accounts!$C$2:$C$201,$A505)+COUNTIF('Service Principals'!$C$2:$C$201,$A505)+COUNTIF('Managed Identities'!$C$2:$C$201,$A505)&gt;0,"Yes","NOT IN INVENTORY"))</f>
        <v/>
      </c>
    </row>
    <row r="506" customFormat="false" ht="15" hidden="false" customHeight="false" outlineLevel="0" collapsed="false">
      <c r="A506" s="46"/>
      <c r="B506" s="46"/>
      <c r="C506" s="47"/>
      <c r="D506" s="47"/>
      <c r="E506" s="46"/>
      <c r="F506" s="46"/>
      <c r="G506" s="47"/>
      <c r="H506" s="47"/>
      <c r="I506" s="47"/>
      <c r="J506" s="45" t="str">
        <f aca="false">IF($A506="","",IF(COUNTIF(Accounts!$C$2:$C$201,$A506)+COUNTIF('Service Principals'!$C$2:$C$201,$A506)+COUNTIF('Managed Identities'!$C$2:$C$201,$A506)&gt;0,"Yes","NOT IN INVENTORY"))</f>
        <v/>
      </c>
    </row>
    <row r="507" customFormat="false" ht="15" hidden="false" customHeight="false" outlineLevel="0" collapsed="false">
      <c r="A507" s="46"/>
      <c r="B507" s="46"/>
      <c r="C507" s="47"/>
      <c r="D507" s="47"/>
      <c r="E507" s="46"/>
      <c r="F507" s="46"/>
      <c r="G507" s="47"/>
      <c r="H507" s="47"/>
      <c r="I507" s="47"/>
      <c r="J507" s="45" t="str">
        <f aca="false">IF($A507="","",IF(COUNTIF(Accounts!$C$2:$C$201,$A507)+COUNTIF('Service Principals'!$C$2:$C$201,$A507)+COUNTIF('Managed Identities'!$C$2:$C$201,$A507)&gt;0,"Yes","NOT IN INVENTORY"))</f>
        <v/>
      </c>
    </row>
    <row r="508" customFormat="false" ht="15" hidden="false" customHeight="false" outlineLevel="0" collapsed="false">
      <c r="A508" s="46"/>
      <c r="B508" s="46"/>
      <c r="C508" s="47"/>
      <c r="D508" s="47"/>
      <c r="E508" s="46"/>
      <c r="F508" s="46"/>
      <c r="G508" s="47"/>
      <c r="H508" s="47"/>
      <c r="I508" s="47"/>
      <c r="J508" s="45" t="str">
        <f aca="false">IF($A508="","",IF(COUNTIF(Accounts!$C$2:$C$201,$A508)+COUNTIF('Service Principals'!$C$2:$C$201,$A508)+COUNTIF('Managed Identities'!$C$2:$C$201,$A508)&gt;0,"Yes","NOT IN INVENTORY"))</f>
        <v/>
      </c>
    </row>
    <row r="509" customFormat="false" ht="15" hidden="false" customHeight="false" outlineLevel="0" collapsed="false">
      <c r="A509" s="46"/>
      <c r="B509" s="46"/>
      <c r="C509" s="47"/>
      <c r="D509" s="47"/>
      <c r="E509" s="46"/>
      <c r="F509" s="46"/>
      <c r="G509" s="47"/>
      <c r="H509" s="47"/>
      <c r="I509" s="47"/>
      <c r="J509" s="45" t="str">
        <f aca="false">IF($A509="","",IF(COUNTIF(Accounts!$C$2:$C$201,$A509)+COUNTIF('Service Principals'!$C$2:$C$201,$A509)+COUNTIF('Managed Identities'!$C$2:$C$201,$A509)&gt;0,"Yes","NOT IN INVENTORY"))</f>
        <v/>
      </c>
    </row>
    <row r="510" customFormat="false" ht="15" hidden="false" customHeight="false" outlineLevel="0" collapsed="false">
      <c r="A510" s="46"/>
      <c r="B510" s="46"/>
      <c r="C510" s="47"/>
      <c r="D510" s="47"/>
      <c r="E510" s="46"/>
      <c r="F510" s="46"/>
      <c r="G510" s="47"/>
      <c r="H510" s="47"/>
      <c r="I510" s="47"/>
      <c r="J510" s="45" t="str">
        <f aca="false">IF($A510="","",IF(COUNTIF(Accounts!$C$2:$C$201,$A510)+COUNTIF('Service Principals'!$C$2:$C$201,$A510)+COUNTIF('Managed Identities'!$C$2:$C$201,$A510)&gt;0,"Yes","NOT IN INVENTORY"))</f>
        <v/>
      </c>
    </row>
    <row r="511" customFormat="false" ht="15" hidden="false" customHeight="false" outlineLevel="0" collapsed="false">
      <c r="A511" s="46"/>
      <c r="B511" s="46"/>
      <c r="C511" s="47"/>
      <c r="D511" s="47"/>
      <c r="E511" s="46"/>
      <c r="F511" s="46"/>
      <c r="G511" s="47"/>
      <c r="H511" s="47"/>
      <c r="I511" s="47"/>
      <c r="J511" s="45" t="str">
        <f aca="false">IF($A511="","",IF(COUNTIF(Accounts!$C$2:$C$201,$A511)+COUNTIF('Service Principals'!$C$2:$C$201,$A511)+COUNTIF('Managed Identities'!$C$2:$C$201,$A511)&gt;0,"Yes","NOT IN INVENTORY"))</f>
        <v/>
      </c>
    </row>
    <row r="512" customFormat="false" ht="15" hidden="false" customHeight="false" outlineLevel="0" collapsed="false">
      <c r="A512" s="46"/>
      <c r="B512" s="46"/>
      <c r="C512" s="47"/>
      <c r="D512" s="47"/>
      <c r="E512" s="46"/>
      <c r="F512" s="46"/>
      <c r="G512" s="47"/>
      <c r="H512" s="47"/>
      <c r="I512" s="47"/>
      <c r="J512" s="45" t="str">
        <f aca="false">IF($A512="","",IF(COUNTIF(Accounts!$C$2:$C$201,$A512)+COUNTIF('Service Principals'!$C$2:$C$201,$A512)+COUNTIF('Managed Identities'!$C$2:$C$201,$A512)&gt;0,"Yes","NOT IN INVENTORY"))</f>
        <v/>
      </c>
    </row>
    <row r="513" customFormat="false" ht="15" hidden="false" customHeight="false" outlineLevel="0" collapsed="false">
      <c r="A513" s="46"/>
      <c r="B513" s="46"/>
      <c r="C513" s="47"/>
      <c r="D513" s="47"/>
      <c r="E513" s="46"/>
      <c r="F513" s="46"/>
      <c r="G513" s="47"/>
      <c r="H513" s="47"/>
      <c r="I513" s="47"/>
      <c r="J513" s="45" t="str">
        <f aca="false">IF($A513="","",IF(COUNTIF(Accounts!$C$2:$C$201,$A513)+COUNTIF('Service Principals'!$C$2:$C$201,$A513)+COUNTIF('Managed Identities'!$C$2:$C$201,$A513)&gt;0,"Yes","NOT IN INVENTORY"))</f>
        <v/>
      </c>
    </row>
    <row r="514" customFormat="false" ht="15" hidden="false" customHeight="false" outlineLevel="0" collapsed="false">
      <c r="A514" s="46"/>
      <c r="B514" s="46"/>
      <c r="C514" s="47"/>
      <c r="D514" s="47"/>
      <c r="E514" s="46"/>
      <c r="F514" s="46"/>
      <c r="G514" s="47"/>
      <c r="H514" s="47"/>
      <c r="I514" s="47"/>
      <c r="J514" s="45" t="str">
        <f aca="false">IF($A514="","",IF(COUNTIF(Accounts!$C$2:$C$201,$A514)+COUNTIF('Service Principals'!$C$2:$C$201,$A514)+COUNTIF('Managed Identities'!$C$2:$C$201,$A514)&gt;0,"Yes","NOT IN INVENTORY"))</f>
        <v/>
      </c>
    </row>
    <row r="515" customFormat="false" ht="15" hidden="false" customHeight="false" outlineLevel="0" collapsed="false">
      <c r="A515" s="46"/>
      <c r="B515" s="46"/>
      <c r="C515" s="47"/>
      <c r="D515" s="47"/>
      <c r="E515" s="46"/>
      <c r="F515" s="46"/>
      <c r="G515" s="47"/>
      <c r="H515" s="47"/>
      <c r="I515" s="47"/>
      <c r="J515" s="45" t="str">
        <f aca="false">IF($A515="","",IF(COUNTIF(Accounts!$C$2:$C$201,$A515)+COUNTIF('Service Principals'!$C$2:$C$201,$A515)+COUNTIF('Managed Identities'!$C$2:$C$201,$A515)&gt;0,"Yes","NOT IN INVENTORY"))</f>
        <v/>
      </c>
    </row>
    <row r="516" customFormat="false" ht="15" hidden="false" customHeight="false" outlineLevel="0" collapsed="false">
      <c r="A516" s="46"/>
      <c r="B516" s="46"/>
      <c r="C516" s="47"/>
      <c r="D516" s="47"/>
      <c r="E516" s="46"/>
      <c r="F516" s="46"/>
      <c r="G516" s="47"/>
      <c r="H516" s="47"/>
      <c r="I516" s="47"/>
      <c r="J516" s="45" t="str">
        <f aca="false">IF($A516="","",IF(COUNTIF(Accounts!$C$2:$C$201,$A516)+COUNTIF('Service Principals'!$C$2:$C$201,$A516)+COUNTIF('Managed Identities'!$C$2:$C$201,$A516)&gt;0,"Yes","NOT IN INVENTORY"))</f>
        <v/>
      </c>
    </row>
    <row r="517" customFormat="false" ht="15" hidden="false" customHeight="false" outlineLevel="0" collapsed="false">
      <c r="A517" s="46"/>
      <c r="B517" s="46"/>
      <c r="C517" s="47"/>
      <c r="D517" s="47"/>
      <c r="E517" s="46"/>
      <c r="F517" s="46"/>
      <c r="G517" s="47"/>
      <c r="H517" s="47"/>
      <c r="I517" s="47"/>
      <c r="J517" s="45" t="str">
        <f aca="false">IF($A517="","",IF(COUNTIF(Accounts!$C$2:$C$201,$A517)+COUNTIF('Service Principals'!$C$2:$C$201,$A517)+COUNTIF('Managed Identities'!$C$2:$C$201,$A517)&gt;0,"Yes","NOT IN INVENTORY"))</f>
        <v/>
      </c>
    </row>
    <row r="518" customFormat="false" ht="15" hidden="false" customHeight="false" outlineLevel="0" collapsed="false">
      <c r="A518" s="46"/>
      <c r="B518" s="46"/>
      <c r="C518" s="47"/>
      <c r="D518" s="47"/>
      <c r="E518" s="46"/>
      <c r="F518" s="46"/>
      <c r="G518" s="47"/>
      <c r="H518" s="47"/>
      <c r="I518" s="47"/>
      <c r="J518" s="45" t="str">
        <f aca="false">IF($A518="","",IF(COUNTIF(Accounts!$C$2:$C$201,$A518)+COUNTIF('Service Principals'!$C$2:$C$201,$A518)+COUNTIF('Managed Identities'!$C$2:$C$201,$A518)&gt;0,"Yes","NOT IN INVENTORY"))</f>
        <v/>
      </c>
    </row>
    <row r="519" customFormat="false" ht="15" hidden="false" customHeight="false" outlineLevel="0" collapsed="false">
      <c r="A519" s="46"/>
      <c r="B519" s="46"/>
      <c r="C519" s="47"/>
      <c r="D519" s="47"/>
      <c r="E519" s="46"/>
      <c r="F519" s="46"/>
      <c r="G519" s="47"/>
      <c r="H519" s="47"/>
      <c r="I519" s="47"/>
      <c r="J519" s="45" t="str">
        <f aca="false">IF($A519="","",IF(COUNTIF(Accounts!$C$2:$C$201,$A519)+COUNTIF('Service Principals'!$C$2:$C$201,$A519)+COUNTIF('Managed Identities'!$C$2:$C$201,$A519)&gt;0,"Yes","NOT IN INVENTORY"))</f>
        <v/>
      </c>
    </row>
    <row r="520" customFormat="false" ht="15" hidden="false" customHeight="false" outlineLevel="0" collapsed="false">
      <c r="A520" s="46"/>
      <c r="B520" s="46"/>
      <c r="C520" s="47"/>
      <c r="D520" s="47"/>
      <c r="E520" s="46"/>
      <c r="F520" s="46"/>
      <c r="G520" s="47"/>
      <c r="H520" s="47"/>
      <c r="I520" s="47"/>
      <c r="J520" s="45" t="str">
        <f aca="false">IF($A520="","",IF(COUNTIF(Accounts!$C$2:$C$201,$A520)+COUNTIF('Service Principals'!$C$2:$C$201,$A520)+COUNTIF('Managed Identities'!$C$2:$C$201,$A520)&gt;0,"Yes","NOT IN INVENTORY"))</f>
        <v/>
      </c>
    </row>
    <row r="521" customFormat="false" ht="15" hidden="false" customHeight="false" outlineLevel="0" collapsed="false">
      <c r="A521" s="46"/>
      <c r="B521" s="46"/>
      <c r="C521" s="47"/>
      <c r="D521" s="47"/>
      <c r="E521" s="46"/>
      <c r="F521" s="46"/>
      <c r="G521" s="47"/>
      <c r="H521" s="47"/>
      <c r="I521" s="47"/>
      <c r="J521" s="45" t="str">
        <f aca="false">IF($A521="","",IF(COUNTIF(Accounts!$C$2:$C$201,$A521)+COUNTIF('Service Principals'!$C$2:$C$201,$A521)+COUNTIF('Managed Identities'!$C$2:$C$201,$A521)&gt;0,"Yes","NOT IN INVENTORY"))</f>
        <v/>
      </c>
    </row>
    <row r="522" customFormat="false" ht="15" hidden="false" customHeight="false" outlineLevel="0" collapsed="false">
      <c r="A522" s="46"/>
      <c r="B522" s="46"/>
      <c r="C522" s="47"/>
      <c r="D522" s="47"/>
      <c r="E522" s="46"/>
      <c r="F522" s="46"/>
      <c r="G522" s="47"/>
      <c r="H522" s="47"/>
      <c r="I522" s="47"/>
      <c r="J522" s="45" t="str">
        <f aca="false">IF($A522="","",IF(COUNTIF(Accounts!$C$2:$C$201,$A522)+COUNTIF('Service Principals'!$C$2:$C$201,$A522)+COUNTIF('Managed Identities'!$C$2:$C$201,$A522)&gt;0,"Yes","NOT IN INVENTORY"))</f>
        <v/>
      </c>
    </row>
    <row r="523" customFormat="false" ht="15" hidden="false" customHeight="false" outlineLevel="0" collapsed="false">
      <c r="A523" s="46"/>
      <c r="B523" s="46"/>
      <c r="C523" s="47"/>
      <c r="D523" s="47"/>
      <c r="E523" s="46"/>
      <c r="F523" s="46"/>
      <c r="G523" s="47"/>
      <c r="H523" s="47"/>
      <c r="I523" s="47"/>
      <c r="J523" s="45" t="str">
        <f aca="false">IF($A523="","",IF(COUNTIF(Accounts!$C$2:$C$201,$A523)+COUNTIF('Service Principals'!$C$2:$C$201,$A523)+COUNTIF('Managed Identities'!$C$2:$C$201,$A523)&gt;0,"Yes","NOT IN INVENTORY"))</f>
        <v/>
      </c>
    </row>
    <row r="524" customFormat="false" ht="15" hidden="false" customHeight="false" outlineLevel="0" collapsed="false">
      <c r="A524" s="46"/>
      <c r="B524" s="46"/>
      <c r="C524" s="47"/>
      <c r="D524" s="47"/>
      <c r="E524" s="46"/>
      <c r="F524" s="46"/>
      <c r="G524" s="47"/>
      <c r="H524" s="47"/>
      <c r="I524" s="47"/>
      <c r="J524" s="45" t="str">
        <f aca="false">IF($A524="","",IF(COUNTIF(Accounts!$C$2:$C$201,$A524)+COUNTIF('Service Principals'!$C$2:$C$201,$A524)+COUNTIF('Managed Identities'!$C$2:$C$201,$A524)&gt;0,"Yes","NOT IN INVENTORY"))</f>
        <v/>
      </c>
    </row>
    <row r="525" customFormat="false" ht="15" hidden="false" customHeight="false" outlineLevel="0" collapsed="false">
      <c r="A525" s="46"/>
      <c r="B525" s="46"/>
      <c r="C525" s="47"/>
      <c r="D525" s="47"/>
      <c r="E525" s="46"/>
      <c r="F525" s="46"/>
      <c r="G525" s="47"/>
      <c r="H525" s="47"/>
      <c r="I525" s="47"/>
      <c r="J525" s="45" t="str">
        <f aca="false">IF($A525="","",IF(COUNTIF(Accounts!$C$2:$C$201,$A525)+COUNTIF('Service Principals'!$C$2:$C$201,$A525)+COUNTIF('Managed Identities'!$C$2:$C$201,$A525)&gt;0,"Yes","NOT IN INVENTORY"))</f>
        <v/>
      </c>
    </row>
    <row r="526" customFormat="false" ht="15" hidden="false" customHeight="false" outlineLevel="0" collapsed="false">
      <c r="A526" s="46"/>
      <c r="B526" s="46"/>
      <c r="C526" s="47"/>
      <c r="D526" s="47"/>
      <c r="E526" s="46"/>
      <c r="F526" s="46"/>
      <c r="G526" s="47"/>
      <c r="H526" s="47"/>
      <c r="I526" s="47"/>
      <c r="J526" s="45" t="str">
        <f aca="false">IF($A526="","",IF(COUNTIF(Accounts!$C$2:$C$201,$A526)+COUNTIF('Service Principals'!$C$2:$C$201,$A526)+COUNTIF('Managed Identities'!$C$2:$C$201,$A526)&gt;0,"Yes","NOT IN INVENTORY"))</f>
        <v/>
      </c>
    </row>
    <row r="527" customFormat="false" ht="15" hidden="false" customHeight="false" outlineLevel="0" collapsed="false">
      <c r="A527" s="46"/>
      <c r="B527" s="46"/>
      <c r="C527" s="47"/>
      <c r="D527" s="47"/>
      <c r="E527" s="46"/>
      <c r="F527" s="46"/>
      <c r="G527" s="47"/>
      <c r="H527" s="47"/>
      <c r="I527" s="47"/>
      <c r="J527" s="45" t="str">
        <f aca="false">IF($A527="","",IF(COUNTIF(Accounts!$C$2:$C$201,$A527)+COUNTIF('Service Principals'!$C$2:$C$201,$A527)+COUNTIF('Managed Identities'!$C$2:$C$201,$A527)&gt;0,"Yes","NOT IN INVENTORY"))</f>
        <v/>
      </c>
    </row>
    <row r="528" customFormat="false" ht="15" hidden="false" customHeight="false" outlineLevel="0" collapsed="false">
      <c r="A528" s="46"/>
      <c r="B528" s="46"/>
      <c r="C528" s="47"/>
      <c r="D528" s="47"/>
      <c r="E528" s="46"/>
      <c r="F528" s="46"/>
      <c r="G528" s="47"/>
      <c r="H528" s="47"/>
      <c r="I528" s="47"/>
      <c r="J528" s="45" t="str">
        <f aca="false">IF($A528="","",IF(COUNTIF(Accounts!$C$2:$C$201,$A528)+COUNTIF('Service Principals'!$C$2:$C$201,$A528)+COUNTIF('Managed Identities'!$C$2:$C$201,$A528)&gt;0,"Yes","NOT IN INVENTORY"))</f>
        <v/>
      </c>
    </row>
    <row r="529" customFormat="false" ht="15" hidden="false" customHeight="false" outlineLevel="0" collapsed="false">
      <c r="A529" s="46"/>
      <c r="B529" s="46"/>
      <c r="C529" s="47"/>
      <c r="D529" s="47"/>
      <c r="E529" s="46"/>
      <c r="F529" s="46"/>
      <c r="G529" s="47"/>
      <c r="H529" s="47"/>
      <c r="I529" s="47"/>
      <c r="J529" s="45" t="str">
        <f aca="false">IF($A529="","",IF(COUNTIF(Accounts!$C$2:$C$201,$A529)+COUNTIF('Service Principals'!$C$2:$C$201,$A529)+COUNTIF('Managed Identities'!$C$2:$C$201,$A529)&gt;0,"Yes","NOT IN INVENTORY"))</f>
        <v/>
      </c>
    </row>
    <row r="530" customFormat="false" ht="15" hidden="false" customHeight="false" outlineLevel="0" collapsed="false">
      <c r="A530" s="46"/>
      <c r="B530" s="46"/>
      <c r="C530" s="47"/>
      <c r="D530" s="47"/>
      <c r="E530" s="46"/>
      <c r="F530" s="46"/>
      <c r="G530" s="47"/>
      <c r="H530" s="47"/>
      <c r="I530" s="47"/>
      <c r="J530" s="45" t="str">
        <f aca="false">IF($A530="","",IF(COUNTIF(Accounts!$C$2:$C$201,$A530)+COUNTIF('Service Principals'!$C$2:$C$201,$A530)+COUNTIF('Managed Identities'!$C$2:$C$201,$A530)&gt;0,"Yes","NOT IN INVENTORY"))</f>
        <v/>
      </c>
    </row>
    <row r="531" customFormat="false" ht="15" hidden="false" customHeight="false" outlineLevel="0" collapsed="false">
      <c r="A531" s="46"/>
      <c r="B531" s="46"/>
      <c r="C531" s="47"/>
      <c r="D531" s="47"/>
      <c r="E531" s="46"/>
      <c r="F531" s="46"/>
      <c r="G531" s="47"/>
      <c r="H531" s="47"/>
      <c r="I531" s="47"/>
      <c r="J531" s="45" t="str">
        <f aca="false">IF($A531="","",IF(COUNTIF(Accounts!$C$2:$C$201,$A531)+COUNTIF('Service Principals'!$C$2:$C$201,$A531)+COUNTIF('Managed Identities'!$C$2:$C$201,$A531)&gt;0,"Yes","NOT IN INVENTORY"))</f>
        <v/>
      </c>
    </row>
    <row r="532" customFormat="false" ht="15" hidden="false" customHeight="false" outlineLevel="0" collapsed="false">
      <c r="A532" s="46"/>
      <c r="B532" s="46"/>
      <c r="C532" s="47"/>
      <c r="D532" s="47"/>
      <c r="E532" s="46"/>
      <c r="F532" s="46"/>
      <c r="G532" s="47"/>
      <c r="H532" s="47"/>
      <c r="I532" s="47"/>
      <c r="J532" s="45" t="str">
        <f aca="false">IF($A532="","",IF(COUNTIF(Accounts!$C$2:$C$201,$A532)+COUNTIF('Service Principals'!$C$2:$C$201,$A532)+COUNTIF('Managed Identities'!$C$2:$C$201,$A532)&gt;0,"Yes","NOT IN INVENTORY"))</f>
        <v/>
      </c>
    </row>
    <row r="533" customFormat="false" ht="15" hidden="false" customHeight="false" outlineLevel="0" collapsed="false">
      <c r="A533" s="46"/>
      <c r="B533" s="46"/>
      <c r="C533" s="47"/>
      <c r="D533" s="47"/>
      <c r="E533" s="46"/>
      <c r="F533" s="46"/>
      <c r="G533" s="47"/>
      <c r="H533" s="47"/>
      <c r="I533" s="47"/>
      <c r="J533" s="45" t="str">
        <f aca="false">IF($A533="","",IF(COUNTIF(Accounts!$C$2:$C$201,$A533)+COUNTIF('Service Principals'!$C$2:$C$201,$A533)+COUNTIF('Managed Identities'!$C$2:$C$201,$A533)&gt;0,"Yes","NOT IN INVENTORY"))</f>
        <v/>
      </c>
    </row>
    <row r="534" customFormat="false" ht="15" hidden="false" customHeight="false" outlineLevel="0" collapsed="false">
      <c r="A534" s="46"/>
      <c r="B534" s="46"/>
      <c r="C534" s="47"/>
      <c r="D534" s="47"/>
      <c r="E534" s="46"/>
      <c r="F534" s="46"/>
      <c r="G534" s="47"/>
      <c r="H534" s="47"/>
      <c r="I534" s="47"/>
      <c r="J534" s="45" t="str">
        <f aca="false">IF($A534="","",IF(COUNTIF(Accounts!$C$2:$C$201,$A534)+COUNTIF('Service Principals'!$C$2:$C$201,$A534)+COUNTIF('Managed Identities'!$C$2:$C$201,$A534)&gt;0,"Yes","NOT IN INVENTORY"))</f>
        <v/>
      </c>
    </row>
    <row r="535" customFormat="false" ht="15" hidden="false" customHeight="false" outlineLevel="0" collapsed="false">
      <c r="A535" s="46"/>
      <c r="B535" s="46"/>
      <c r="C535" s="47"/>
      <c r="D535" s="47"/>
      <c r="E535" s="46"/>
      <c r="F535" s="46"/>
      <c r="G535" s="47"/>
      <c r="H535" s="47"/>
      <c r="I535" s="47"/>
      <c r="J535" s="45" t="str">
        <f aca="false">IF($A535="","",IF(COUNTIF(Accounts!$C$2:$C$201,$A535)+COUNTIF('Service Principals'!$C$2:$C$201,$A535)+COUNTIF('Managed Identities'!$C$2:$C$201,$A535)&gt;0,"Yes","NOT IN INVENTORY"))</f>
        <v/>
      </c>
    </row>
    <row r="536" customFormat="false" ht="15" hidden="false" customHeight="false" outlineLevel="0" collapsed="false">
      <c r="A536" s="46"/>
      <c r="B536" s="46"/>
      <c r="C536" s="47"/>
      <c r="D536" s="47"/>
      <c r="E536" s="46"/>
      <c r="F536" s="46"/>
      <c r="G536" s="47"/>
      <c r="H536" s="47"/>
      <c r="I536" s="47"/>
      <c r="J536" s="45" t="str">
        <f aca="false">IF($A536="","",IF(COUNTIF(Accounts!$C$2:$C$201,$A536)+COUNTIF('Service Principals'!$C$2:$C$201,$A536)+COUNTIF('Managed Identities'!$C$2:$C$201,$A536)&gt;0,"Yes","NOT IN INVENTORY"))</f>
        <v/>
      </c>
    </row>
    <row r="537" customFormat="false" ht="15" hidden="false" customHeight="false" outlineLevel="0" collapsed="false">
      <c r="A537" s="46"/>
      <c r="B537" s="46"/>
      <c r="C537" s="47"/>
      <c r="D537" s="47"/>
      <c r="E537" s="46"/>
      <c r="F537" s="46"/>
      <c r="G537" s="47"/>
      <c r="H537" s="47"/>
      <c r="I537" s="47"/>
      <c r="J537" s="45" t="str">
        <f aca="false">IF($A537="","",IF(COUNTIF(Accounts!$C$2:$C$201,$A537)+COUNTIF('Service Principals'!$C$2:$C$201,$A537)+COUNTIF('Managed Identities'!$C$2:$C$201,$A537)&gt;0,"Yes","NOT IN INVENTORY"))</f>
        <v/>
      </c>
    </row>
    <row r="538" customFormat="false" ht="15" hidden="false" customHeight="false" outlineLevel="0" collapsed="false">
      <c r="A538" s="46"/>
      <c r="B538" s="46"/>
      <c r="C538" s="47"/>
      <c r="D538" s="47"/>
      <c r="E538" s="46"/>
      <c r="F538" s="46"/>
      <c r="G538" s="47"/>
      <c r="H538" s="47"/>
      <c r="I538" s="47"/>
      <c r="J538" s="45" t="str">
        <f aca="false">IF($A538="","",IF(COUNTIF(Accounts!$C$2:$C$201,$A538)+COUNTIF('Service Principals'!$C$2:$C$201,$A538)+COUNTIF('Managed Identities'!$C$2:$C$201,$A538)&gt;0,"Yes","NOT IN INVENTORY"))</f>
        <v/>
      </c>
    </row>
    <row r="539" customFormat="false" ht="15" hidden="false" customHeight="false" outlineLevel="0" collapsed="false">
      <c r="A539" s="46"/>
      <c r="B539" s="46"/>
      <c r="C539" s="47"/>
      <c r="D539" s="47"/>
      <c r="E539" s="46"/>
      <c r="F539" s="46"/>
      <c r="G539" s="47"/>
      <c r="H539" s="47"/>
      <c r="I539" s="47"/>
      <c r="J539" s="45" t="str">
        <f aca="false">IF($A539="","",IF(COUNTIF(Accounts!$C$2:$C$201,$A539)+COUNTIF('Service Principals'!$C$2:$C$201,$A539)+COUNTIF('Managed Identities'!$C$2:$C$201,$A539)&gt;0,"Yes","NOT IN INVENTORY"))</f>
        <v/>
      </c>
    </row>
    <row r="540" customFormat="false" ht="15" hidden="false" customHeight="false" outlineLevel="0" collapsed="false">
      <c r="A540" s="46"/>
      <c r="B540" s="46"/>
      <c r="C540" s="47"/>
      <c r="D540" s="47"/>
      <c r="E540" s="46"/>
      <c r="F540" s="46"/>
      <c r="G540" s="47"/>
      <c r="H540" s="47"/>
      <c r="I540" s="47"/>
      <c r="J540" s="45" t="str">
        <f aca="false">IF($A540="","",IF(COUNTIF(Accounts!$C$2:$C$201,$A540)+COUNTIF('Service Principals'!$C$2:$C$201,$A540)+COUNTIF('Managed Identities'!$C$2:$C$201,$A540)&gt;0,"Yes","NOT IN INVENTORY"))</f>
        <v/>
      </c>
    </row>
    <row r="541" customFormat="false" ht="15" hidden="false" customHeight="false" outlineLevel="0" collapsed="false">
      <c r="A541" s="46"/>
      <c r="B541" s="46"/>
      <c r="C541" s="47"/>
      <c r="D541" s="47"/>
      <c r="E541" s="46"/>
      <c r="F541" s="46"/>
      <c r="G541" s="47"/>
      <c r="H541" s="47"/>
      <c r="I541" s="47"/>
      <c r="J541" s="45" t="str">
        <f aca="false">IF($A541="","",IF(COUNTIF(Accounts!$C$2:$C$201,$A541)+COUNTIF('Service Principals'!$C$2:$C$201,$A541)+COUNTIF('Managed Identities'!$C$2:$C$201,$A541)&gt;0,"Yes","NOT IN INVENTORY"))</f>
        <v/>
      </c>
    </row>
    <row r="542" customFormat="false" ht="15" hidden="false" customHeight="false" outlineLevel="0" collapsed="false">
      <c r="A542" s="46"/>
      <c r="B542" s="46"/>
      <c r="C542" s="47"/>
      <c r="D542" s="47"/>
      <c r="E542" s="46"/>
      <c r="F542" s="46"/>
      <c r="G542" s="47"/>
      <c r="H542" s="47"/>
      <c r="I542" s="47"/>
      <c r="J542" s="45" t="str">
        <f aca="false">IF($A542="","",IF(COUNTIF(Accounts!$C$2:$C$201,$A542)+COUNTIF('Service Principals'!$C$2:$C$201,$A542)+COUNTIF('Managed Identities'!$C$2:$C$201,$A542)&gt;0,"Yes","NOT IN INVENTORY"))</f>
        <v/>
      </c>
    </row>
    <row r="543" customFormat="false" ht="15" hidden="false" customHeight="false" outlineLevel="0" collapsed="false">
      <c r="A543" s="46"/>
      <c r="B543" s="46"/>
      <c r="C543" s="47"/>
      <c r="D543" s="47"/>
      <c r="E543" s="46"/>
      <c r="F543" s="46"/>
      <c r="G543" s="47"/>
      <c r="H543" s="47"/>
      <c r="I543" s="47"/>
      <c r="J543" s="45" t="str">
        <f aca="false">IF($A543="","",IF(COUNTIF(Accounts!$C$2:$C$201,$A543)+COUNTIF('Service Principals'!$C$2:$C$201,$A543)+COUNTIF('Managed Identities'!$C$2:$C$201,$A543)&gt;0,"Yes","NOT IN INVENTORY"))</f>
        <v/>
      </c>
    </row>
    <row r="544" customFormat="false" ht="15" hidden="false" customHeight="false" outlineLevel="0" collapsed="false">
      <c r="A544" s="46"/>
      <c r="B544" s="46"/>
      <c r="C544" s="47"/>
      <c r="D544" s="47"/>
      <c r="E544" s="46"/>
      <c r="F544" s="46"/>
      <c r="G544" s="47"/>
      <c r="H544" s="47"/>
      <c r="I544" s="47"/>
      <c r="J544" s="45" t="str">
        <f aca="false">IF($A544="","",IF(COUNTIF(Accounts!$C$2:$C$201,$A544)+COUNTIF('Service Principals'!$C$2:$C$201,$A544)+COUNTIF('Managed Identities'!$C$2:$C$201,$A544)&gt;0,"Yes","NOT IN INVENTORY"))</f>
        <v/>
      </c>
    </row>
    <row r="545" customFormat="false" ht="15" hidden="false" customHeight="false" outlineLevel="0" collapsed="false">
      <c r="A545" s="46"/>
      <c r="B545" s="46"/>
      <c r="C545" s="47"/>
      <c r="D545" s="47"/>
      <c r="E545" s="46"/>
      <c r="F545" s="46"/>
      <c r="G545" s="47"/>
      <c r="H545" s="47"/>
      <c r="I545" s="47"/>
      <c r="J545" s="45" t="str">
        <f aca="false">IF($A545="","",IF(COUNTIF(Accounts!$C$2:$C$201,$A545)+COUNTIF('Service Principals'!$C$2:$C$201,$A545)+COUNTIF('Managed Identities'!$C$2:$C$201,$A545)&gt;0,"Yes","NOT IN INVENTORY"))</f>
        <v/>
      </c>
    </row>
    <row r="546" customFormat="false" ht="15" hidden="false" customHeight="false" outlineLevel="0" collapsed="false">
      <c r="A546" s="46"/>
      <c r="B546" s="46"/>
      <c r="C546" s="47"/>
      <c r="D546" s="47"/>
      <c r="E546" s="46"/>
      <c r="F546" s="46"/>
      <c r="G546" s="47"/>
      <c r="H546" s="47"/>
      <c r="I546" s="47"/>
      <c r="J546" s="45" t="str">
        <f aca="false">IF($A546="","",IF(COUNTIF(Accounts!$C$2:$C$201,$A546)+COUNTIF('Service Principals'!$C$2:$C$201,$A546)+COUNTIF('Managed Identities'!$C$2:$C$201,$A546)&gt;0,"Yes","NOT IN INVENTORY"))</f>
        <v/>
      </c>
    </row>
    <row r="547" customFormat="false" ht="15" hidden="false" customHeight="false" outlineLevel="0" collapsed="false">
      <c r="A547" s="46"/>
      <c r="B547" s="46"/>
      <c r="C547" s="47"/>
      <c r="D547" s="47"/>
      <c r="E547" s="46"/>
      <c r="F547" s="46"/>
      <c r="G547" s="47"/>
      <c r="H547" s="47"/>
      <c r="I547" s="47"/>
      <c r="J547" s="45" t="str">
        <f aca="false">IF($A547="","",IF(COUNTIF(Accounts!$C$2:$C$201,$A547)+COUNTIF('Service Principals'!$C$2:$C$201,$A547)+COUNTIF('Managed Identities'!$C$2:$C$201,$A547)&gt;0,"Yes","NOT IN INVENTORY"))</f>
        <v/>
      </c>
    </row>
    <row r="548" customFormat="false" ht="15" hidden="false" customHeight="false" outlineLevel="0" collapsed="false">
      <c r="A548" s="46"/>
      <c r="B548" s="46"/>
      <c r="C548" s="47"/>
      <c r="D548" s="47"/>
      <c r="E548" s="46"/>
      <c r="F548" s="46"/>
      <c r="G548" s="47"/>
      <c r="H548" s="47"/>
      <c r="I548" s="47"/>
      <c r="J548" s="45" t="str">
        <f aca="false">IF($A548="","",IF(COUNTIF(Accounts!$C$2:$C$201,$A548)+COUNTIF('Service Principals'!$C$2:$C$201,$A548)+COUNTIF('Managed Identities'!$C$2:$C$201,$A548)&gt;0,"Yes","NOT IN INVENTORY"))</f>
        <v/>
      </c>
    </row>
    <row r="549" customFormat="false" ht="15" hidden="false" customHeight="false" outlineLevel="0" collapsed="false">
      <c r="A549" s="46"/>
      <c r="B549" s="46"/>
      <c r="C549" s="47"/>
      <c r="D549" s="47"/>
      <c r="E549" s="46"/>
      <c r="F549" s="46"/>
      <c r="G549" s="47"/>
      <c r="H549" s="47"/>
      <c r="I549" s="47"/>
      <c r="J549" s="45" t="str">
        <f aca="false">IF($A549="","",IF(COUNTIF(Accounts!$C$2:$C$201,$A549)+COUNTIF('Service Principals'!$C$2:$C$201,$A549)+COUNTIF('Managed Identities'!$C$2:$C$201,$A549)&gt;0,"Yes","NOT IN INVENTORY"))</f>
        <v/>
      </c>
    </row>
    <row r="550" customFormat="false" ht="15" hidden="false" customHeight="false" outlineLevel="0" collapsed="false">
      <c r="A550" s="46"/>
      <c r="B550" s="46"/>
      <c r="C550" s="47"/>
      <c r="D550" s="47"/>
      <c r="E550" s="46"/>
      <c r="F550" s="46"/>
      <c r="G550" s="47"/>
      <c r="H550" s="47"/>
      <c r="I550" s="47"/>
      <c r="J550" s="45" t="str">
        <f aca="false">IF($A550="","",IF(COUNTIF(Accounts!$C$2:$C$201,$A550)+COUNTIF('Service Principals'!$C$2:$C$201,$A550)+COUNTIF('Managed Identities'!$C$2:$C$201,$A550)&gt;0,"Yes","NOT IN INVENTORY"))</f>
        <v/>
      </c>
    </row>
    <row r="551" customFormat="false" ht="15" hidden="false" customHeight="false" outlineLevel="0" collapsed="false">
      <c r="A551" s="46"/>
      <c r="B551" s="46"/>
      <c r="C551" s="47"/>
      <c r="D551" s="47"/>
      <c r="E551" s="46"/>
      <c r="F551" s="46"/>
      <c r="G551" s="47"/>
      <c r="H551" s="47"/>
      <c r="I551" s="47"/>
      <c r="J551" s="45" t="str">
        <f aca="false">IF($A551="","",IF(COUNTIF(Accounts!$C$2:$C$201,$A551)+COUNTIF('Service Principals'!$C$2:$C$201,$A551)+COUNTIF('Managed Identities'!$C$2:$C$201,$A551)&gt;0,"Yes","NOT IN INVENTORY"))</f>
        <v/>
      </c>
    </row>
    <row r="552" customFormat="false" ht="15" hidden="false" customHeight="false" outlineLevel="0" collapsed="false">
      <c r="A552" s="46"/>
      <c r="B552" s="46"/>
      <c r="C552" s="47"/>
      <c r="D552" s="47"/>
      <c r="E552" s="46"/>
      <c r="F552" s="46"/>
      <c r="G552" s="47"/>
      <c r="H552" s="47"/>
      <c r="I552" s="47"/>
      <c r="J552" s="45" t="str">
        <f aca="false">IF($A552="","",IF(COUNTIF(Accounts!$C$2:$C$201,$A552)+COUNTIF('Service Principals'!$C$2:$C$201,$A552)+COUNTIF('Managed Identities'!$C$2:$C$201,$A552)&gt;0,"Yes","NOT IN INVENTORY"))</f>
        <v/>
      </c>
    </row>
    <row r="553" customFormat="false" ht="15" hidden="false" customHeight="false" outlineLevel="0" collapsed="false">
      <c r="A553" s="46"/>
      <c r="B553" s="46"/>
      <c r="C553" s="47"/>
      <c r="D553" s="47"/>
      <c r="E553" s="46"/>
      <c r="F553" s="46"/>
      <c r="G553" s="47"/>
      <c r="H553" s="47"/>
      <c r="I553" s="47"/>
      <c r="J553" s="45" t="str">
        <f aca="false">IF($A553="","",IF(COUNTIF(Accounts!$C$2:$C$201,$A553)+COUNTIF('Service Principals'!$C$2:$C$201,$A553)+COUNTIF('Managed Identities'!$C$2:$C$201,$A553)&gt;0,"Yes","NOT IN INVENTORY"))</f>
        <v/>
      </c>
    </row>
    <row r="554" customFormat="false" ht="15" hidden="false" customHeight="false" outlineLevel="0" collapsed="false">
      <c r="A554" s="46"/>
      <c r="B554" s="46"/>
      <c r="C554" s="47"/>
      <c r="D554" s="47"/>
      <c r="E554" s="46"/>
      <c r="F554" s="46"/>
      <c r="G554" s="47"/>
      <c r="H554" s="47"/>
      <c r="I554" s="47"/>
      <c r="J554" s="45" t="str">
        <f aca="false">IF($A554="","",IF(COUNTIF(Accounts!$C$2:$C$201,$A554)+COUNTIF('Service Principals'!$C$2:$C$201,$A554)+COUNTIF('Managed Identities'!$C$2:$C$201,$A554)&gt;0,"Yes","NOT IN INVENTORY"))</f>
        <v/>
      </c>
    </row>
    <row r="555" customFormat="false" ht="15" hidden="false" customHeight="false" outlineLevel="0" collapsed="false">
      <c r="A555" s="46"/>
      <c r="B555" s="46"/>
      <c r="C555" s="47"/>
      <c r="D555" s="47"/>
      <c r="E555" s="46"/>
      <c r="F555" s="46"/>
      <c r="G555" s="47"/>
      <c r="H555" s="47"/>
      <c r="I555" s="47"/>
      <c r="J555" s="45" t="str">
        <f aca="false">IF($A555="","",IF(COUNTIF(Accounts!$C$2:$C$201,$A555)+COUNTIF('Service Principals'!$C$2:$C$201,$A555)+COUNTIF('Managed Identities'!$C$2:$C$201,$A555)&gt;0,"Yes","NOT IN INVENTORY"))</f>
        <v/>
      </c>
    </row>
    <row r="556" customFormat="false" ht="15" hidden="false" customHeight="false" outlineLevel="0" collapsed="false">
      <c r="A556" s="46"/>
      <c r="B556" s="46"/>
      <c r="C556" s="47"/>
      <c r="D556" s="47"/>
      <c r="E556" s="46"/>
      <c r="F556" s="46"/>
      <c r="G556" s="47"/>
      <c r="H556" s="47"/>
      <c r="I556" s="47"/>
      <c r="J556" s="45" t="str">
        <f aca="false">IF($A556="","",IF(COUNTIF(Accounts!$C$2:$C$201,$A556)+COUNTIF('Service Principals'!$C$2:$C$201,$A556)+COUNTIF('Managed Identities'!$C$2:$C$201,$A556)&gt;0,"Yes","NOT IN INVENTORY"))</f>
        <v/>
      </c>
    </row>
    <row r="557" customFormat="false" ht="15" hidden="false" customHeight="false" outlineLevel="0" collapsed="false">
      <c r="A557" s="46"/>
      <c r="B557" s="46"/>
      <c r="C557" s="47"/>
      <c r="D557" s="47"/>
      <c r="E557" s="46"/>
      <c r="F557" s="46"/>
      <c r="G557" s="47"/>
      <c r="H557" s="47"/>
      <c r="I557" s="47"/>
      <c r="J557" s="45" t="str">
        <f aca="false">IF($A557="","",IF(COUNTIF(Accounts!$C$2:$C$201,$A557)+COUNTIF('Service Principals'!$C$2:$C$201,$A557)+COUNTIF('Managed Identities'!$C$2:$C$201,$A557)&gt;0,"Yes","NOT IN INVENTORY"))</f>
        <v/>
      </c>
    </row>
    <row r="558" customFormat="false" ht="15" hidden="false" customHeight="false" outlineLevel="0" collapsed="false">
      <c r="A558" s="46"/>
      <c r="B558" s="46"/>
      <c r="C558" s="47"/>
      <c r="D558" s="47"/>
      <c r="E558" s="46"/>
      <c r="F558" s="46"/>
      <c r="G558" s="47"/>
      <c r="H558" s="47"/>
      <c r="I558" s="47"/>
      <c r="J558" s="45" t="str">
        <f aca="false">IF($A558="","",IF(COUNTIF(Accounts!$C$2:$C$201,$A558)+COUNTIF('Service Principals'!$C$2:$C$201,$A558)+COUNTIF('Managed Identities'!$C$2:$C$201,$A558)&gt;0,"Yes","NOT IN INVENTORY"))</f>
        <v/>
      </c>
    </row>
    <row r="559" customFormat="false" ht="15" hidden="false" customHeight="false" outlineLevel="0" collapsed="false">
      <c r="A559" s="46"/>
      <c r="B559" s="46"/>
      <c r="C559" s="47"/>
      <c r="D559" s="47"/>
      <c r="E559" s="46"/>
      <c r="F559" s="46"/>
      <c r="G559" s="47"/>
      <c r="H559" s="47"/>
      <c r="I559" s="47"/>
      <c r="J559" s="45" t="str">
        <f aca="false">IF($A559="","",IF(COUNTIF(Accounts!$C$2:$C$201,$A559)+COUNTIF('Service Principals'!$C$2:$C$201,$A559)+COUNTIF('Managed Identities'!$C$2:$C$201,$A559)&gt;0,"Yes","NOT IN INVENTORY"))</f>
        <v/>
      </c>
    </row>
    <row r="560" customFormat="false" ht="15" hidden="false" customHeight="false" outlineLevel="0" collapsed="false">
      <c r="A560" s="46"/>
      <c r="B560" s="46"/>
      <c r="C560" s="47"/>
      <c r="D560" s="47"/>
      <c r="E560" s="46"/>
      <c r="F560" s="46"/>
      <c r="G560" s="47"/>
      <c r="H560" s="47"/>
      <c r="I560" s="47"/>
      <c r="J560" s="45" t="str">
        <f aca="false">IF($A560="","",IF(COUNTIF(Accounts!$C$2:$C$201,$A560)+COUNTIF('Service Principals'!$C$2:$C$201,$A560)+COUNTIF('Managed Identities'!$C$2:$C$201,$A560)&gt;0,"Yes","NOT IN INVENTORY"))</f>
        <v/>
      </c>
    </row>
    <row r="561" customFormat="false" ht="15" hidden="false" customHeight="false" outlineLevel="0" collapsed="false">
      <c r="A561" s="46"/>
      <c r="B561" s="46"/>
      <c r="C561" s="47"/>
      <c r="D561" s="47"/>
      <c r="E561" s="46"/>
      <c r="F561" s="46"/>
      <c r="G561" s="47"/>
      <c r="H561" s="47"/>
      <c r="I561" s="47"/>
      <c r="J561" s="45" t="str">
        <f aca="false">IF($A561="","",IF(COUNTIF(Accounts!$C$2:$C$201,$A561)+COUNTIF('Service Principals'!$C$2:$C$201,$A561)+COUNTIF('Managed Identities'!$C$2:$C$201,$A561)&gt;0,"Yes","NOT IN INVENTORY"))</f>
        <v/>
      </c>
    </row>
    <row r="562" customFormat="false" ht="15" hidden="false" customHeight="false" outlineLevel="0" collapsed="false">
      <c r="A562" s="46"/>
      <c r="B562" s="46"/>
      <c r="C562" s="47"/>
      <c r="D562" s="47"/>
      <c r="E562" s="46"/>
      <c r="F562" s="46"/>
      <c r="G562" s="47"/>
      <c r="H562" s="47"/>
      <c r="I562" s="47"/>
      <c r="J562" s="45" t="str">
        <f aca="false">IF($A562="","",IF(COUNTIF(Accounts!$C$2:$C$201,$A562)+COUNTIF('Service Principals'!$C$2:$C$201,$A562)+COUNTIF('Managed Identities'!$C$2:$C$201,$A562)&gt;0,"Yes","NOT IN INVENTORY"))</f>
        <v/>
      </c>
    </row>
    <row r="563" customFormat="false" ht="15" hidden="false" customHeight="false" outlineLevel="0" collapsed="false">
      <c r="A563" s="46"/>
      <c r="B563" s="46"/>
      <c r="C563" s="47"/>
      <c r="D563" s="47"/>
      <c r="E563" s="46"/>
      <c r="F563" s="46"/>
      <c r="G563" s="47"/>
      <c r="H563" s="47"/>
      <c r="I563" s="47"/>
      <c r="J563" s="45" t="str">
        <f aca="false">IF($A563="","",IF(COUNTIF(Accounts!$C$2:$C$201,$A563)+COUNTIF('Service Principals'!$C$2:$C$201,$A563)+COUNTIF('Managed Identities'!$C$2:$C$201,$A563)&gt;0,"Yes","NOT IN INVENTORY"))</f>
        <v/>
      </c>
    </row>
    <row r="564" customFormat="false" ht="15" hidden="false" customHeight="false" outlineLevel="0" collapsed="false">
      <c r="A564" s="46"/>
      <c r="B564" s="46"/>
      <c r="C564" s="47"/>
      <c r="D564" s="47"/>
      <c r="E564" s="46"/>
      <c r="F564" s="46"/>
      <c r="G564" s="47"/>
      <c r="H564" s="47"/>
      <c r="I564" s="47"/>
      <c r="J564" s="45" t="str">
        <f aca="false">IF($A564="","",IF(COUNTIF(Accounts!$C$2:$C$201,$A564)+COUNTIF('Service Principals'!$C$2:$C$201,$A564)+COUNTIF('Managed Identities'!$C$2:$C$201,$A564)&gt;0,"Yes","NOT IN INVENTORY"))</f>
        <v/>
      </c>
    </row>
    <row r="565" customFormat="false" ht="15" hidden="false" customHeight="false" outlineLevel="0" collapsed="false">
      <c r="A565" s="46"/>
      <c r="B565" s="46"/>
      <c r="C565" s="47"/>
      <c r="D565" s="47"/>
      <c r="E565" s="46"/>
      <c r="F565" s="46"/>
      <c r="G565" s="47"/>
      <c r="H565" s="47"/>
      <c r="I565" s="47"/>
      <c r="J565" s="45" t="str">
        <f aca="false">IF($A565="","",IF(COUNTIF(Accounts!$C$2:$C$201,$A565)+COUNTIF('Service Principals'!$C$2:$C$201,$A565)+COUNTIF('Managed Identities'!$C$2:$C$201,$A565)&gt;0,"Yes","NOT IN INVENTORY"))</f>
        <v/>
      </c>
    </row>
    <row r="566" customFormat="false" ht="15" hidden="false" customHeight="false" outlineLevel="0" collapsed="false">
      <c r="A566" s="46"/>
      <c r="B566" s="46"/>
      <c r="C566" s="47"/>
      <c r="D566" s="47"/>
      <c r="E566" s="46"/>
      <c r="F566" s="46"/>
      <c r="G566" s="47"/>
      <c r="H566" s="47"/>
      <c r="I566" s="47"/>
      <c r="J566" s="45" t="str">
        <f aca="false">IF($A566="","",IF(COUNTIF(Accounts!$C$2:$C$201,$A566)+COUNTIF('Service Principals'!$C$2:$C$201,$A566)+COUNTIF('Managed Identities'!$C$2:$C$201,$A566)&gt;0,"Yes","NOT IN INVENTORY"))</f>
        <v/>
      </c>
    </row>
    <row r="567" customFormat="false" ht="15" hidden="false" customHeight="false" outlineLevel="0" collapsed="false">
      <c r="A567" s="46"/>
      <c r="B567" s="46"/>
      <c r="C567" s="47"/>
      <c r="D567" s="47"/>
      <c r="E567" s="46"/>
      <c r="F567" s="46"/>
      <c r="G567" s="47"/>
      <c r="H567" s="47"/>
      <c r="I567" s="47"/>
      <c r="J567" s="45" t="str">
        <f aca="false">IF($A567="","",IF(COUNTIF(Accounts!$C$2:$C$201,$A567)+COUNTIF('Service Principals'!$C$2:$C$201,$A567)+COUNTIF('Managed Identities'!$C$2:$C$201,$A567)&gt;0,"Yes","NOT IN INVENTORY"))</f>
        <v/>
      </c>
    </row>
    <row r="568" customFormat="false" ht="15" hidden="false" customHeight="false" outlineLevel="0" collapsed="false">
      <c r="A568" s="46"/>
      <c r="B568" s="46"/>
      <c r="C568" s="47"/>
      <c r="D568" s="47"/>
      <c r="E568" s="46"/>
      <c r="F568" s="46"/>
      <c r="G568" s="47"/>
      <c r="H568" s="47"/>
      <c r="I568" s="47"/>
      <c r="J568" s="45" t="str">
        <f aca="false">IF($A568="","",IF(COUNTIF(Accounts!$C$2:$C$201,$A568)+COUNTIF('Service Principals'!$C$2:$C$201,$A568)+COUNTIF('Managed Identities'!$C$2:$C$201,$A568)&gt;0,"Yes","NOT IN INVENTORY"))</f>
        <v/>
      </c>
    </row>
    <row r="569" customFormat="false" ht="15" hidden="false" customHeight="false" outlineLevel="0" collapsed="false">
      <c r="A569" s="46"/>
      <c r="B569" s="46"/>
      <c r="C569" s="47"/>
      <c r="D569" s="47"/>
      <c r="E569" s="46"/>
      <c r="F569" s="46"/>
      <c r="G569" s="47"/>
      <c r="H569" s="47"/>
      <c r="I569" s="47"/>
      <c r="J569" s="45" t="str">
        <f aca="false">IF($A569="","",IF(COUNTIF(Accounts!$C$2:$C$201,$A569)+COUNTIF('Service Principals'!$C$2:$C$201,$A569)+COUNTIF('Managed Identities'!$C$2:$C$201,$A569)&gt;0,"Yes","NOT IN INVENTORY"))</f>
        <v/>
      </c>
    </row>
    <row r="570" customFormat="false" ht="15" hidden="false" customHeight="false" outlineLevel="0" collapsed="false">
      <c r="A570" s="46"/>
      <c r="B570" s="46"/>
      <c r="C570" s="47"/>
      <c r="D570" s="47"/>
      <c r="E570" s="46"/>
      <c r="F570" s="46"/>
      <c r="G570" s="47"/>
      <c r="H570" s="47"/>
      <c r="I570" s="47"/>
      <c r="J570" s="45" t="str">
        <f aca="false">IF($A570="","",IF(COUNTIF(Accounts!$C$2:$C$201,$A570)+COUNTIF('Service Principals'!$C$2:$C$201,$A570)+COUNTIF('Managed Identities'!$C$2:$C$201,$A570)&gt;0,"Yes","NOT IN INVENTORY"))</f>
        <v/>
      </c>
    </row>
    <row r="571" customFormat="false" ht="15" hidden="false" customHeight="false" outlineLevel="0" collapsed="false">
      <c r="A571" s="46"/>
      <c r="B571" s="46"/>
      <c r="C571" s="47"/>
      <c r="D571" s="47"/>
      <c r="E571" s="46"/>
      <c r="F571" s="46"/>
      <c r="G571" s="47"/>
      <c r="H571" s="47"/>
      <c r="I571" s="47"/>
      <c r="J571" s="45" t="str">
        <f aca="false">IF($A571="","",IF(COUNTIF(Accounts!$C$2:$C$201,$A571)+COUNTIF('Service Principals'!$C$2:$C$201,$A571)+COUNTIF('Managed Identities'!$C$2:$C$201,$A571)&gt;0,"Yes","NOT IN INVENTORY"))</f>
        <v/>
      </c>
    </row>
    <row r="572" customFormat="false" ht="15" hidden="false" customHeight="false" outlineLevel="0" collapsed="false">
      <c r="A572" s="46"/>
      <c r="B572" s="46"/>
      <c r="C572" s="47"/>
      <c r="D572" s="47"/>
      <c r="E572" s="46"/>
      <c r="F572" s="46"/>
      <c r="G572" s="47"/>
      <c r="H572" s="47"/>
      <c r="I572" s="47"/>
      <c r="J572" s="45" t="str">
        <f aca="false">IF($A572="","",IF(COUNTIF(Accounts!$C$2:$C$201,$A572)+COUNTIF('Service Principals'!$C$2:$C$201,$A572)+COUNTIF('Managed Identities'!$C$2:$C$201,$A572)&gt;0,"Yes","NOT IN INVENTORY"))</f>
        <v/>
      </c>
    </row>
    <row r="573" customFormat="false" ht="15" hidden="false" customHeight="false" outlineLevel="0" collapsed="false">
      <c r="A573" s="46"/>
      <c r="B573" s="46"/>
      <c r="C573" s="47"/>
      <c r="D573" s="47"/>
      <c r="E573" s="46"/>
      <c r="F573" s="46"/>
      <c r="G573" s="47"/>
      <c r="H573" s="47"/>
      <c r="I573" s="47"/>
      <c r="J573" s="45" t="str">
        <f aca="false">IF($A573="","",IF(COUNTIF(Accounts!$C$2:$C$201,$A573)+COUNTIF('Service Principals'!$C$2:$C$201,$A573)+COUNTIF('Managed Identities'!$C$2:$C$201,$A573)&gt;0,"Yes","NOT IN INVENTORY"))</f>
        <v/>
      </c>
    </row>
    <row r="574" customFormat="false" ht="15" hidden="false" customHeight="false" outlineLevel="0" collapsed="false">
      <c r="A574" s="46"/>
      <c r="B574" s="46"/>
      <c r="C574" s="47"/>
      <c r="D574" s="47"/>
      <c r="E574" s="46"/>
      <c r="F574" s="46"/>
      <c r="G574" s="47"/>
      <c r="H574" s="47"/>
      <c r="I574" s="47"/>
      <c r="J574" s="45" t="str">
        <f aca="false">IF($A574="","",IF(COUNTIF(Accounts!$C$2:$C$201,$A574)+COUNTIF('Service Principals'!$C$2:$C$201,$A574)+COUNTIF('Managed Identities'!$C$2:$C$201,$A574)&gt;0,"Yes","NOT IN INVENTORY"))</f>
        <v/>
      </c>
    </row>
    <row r="575" customFormat="false" ht="15" hidden="false" customHeight="false" outlineLevel="0" collapsed="false">
      <c r="A575" s="46"/>
      <c r="B575" s="46"/>
      <c r="C575" s="47"/>
      <c r="D575" s="47"/>
      <c r="E575" s="46"/>
      <c r="F575" s="46"/>
      <c r="G575" s="47"/>
      <c r="H575" s="47"/>
      <c r="I575" s="47"/>
      <c r="J575" s="45" t="str">
        <f aca="false">IF($A575="","",IF(COUNTIF(Accounts!$C$2:$C$201,$A575)+COUNTIF('Service Principals'!$C$2:$C$201,$A575)+COUNTIF('Managed Identities'!$C$2:$C$201,$A575)&gt;0,"Yes","NOT IN INVENTORY"))</f>
        <v/>
      </c>
    </row>
    <row r="576" customFormat="false" ht="15" hidden="false" customHeight="false" outlineLevel="0" collapsed="false">
      <c r="A576" s="46"/>
      <c r="B576" s="46"/>
      <c r="C576" s="47"/>
      <c r="D576" s="47"/>
      <c r="E576" s="46"/>
      <c r="F576" s="46"/>
      <c r="G576" s="47"/>
      <c r="H576" s="47"/>
      <c r="I576" s="47"/>
      <c r="J576" s="45" t="str">
        <f aca="false">IF($A576="","",IF(COUNTIF(Accounts!$C$2:$C$201,$A576)+COUNTIF('Service Principals'!$C$2:$C$201,$A576)+COUNTIF('Managed Identities'!$C$2:$C$201,$A576)&gt;0,"Yes","NOT IN INVENTORY"))</f>
        <v/>
      </c>
    </row>
    <row r="577" customFormat="false" ht="15" hidden="false" customHeight="false" outlineLevel="0" collapsed="false">
      <c r="A577" s="46"/>
      <c r="B577" s="46"/>
      <c r="C577" s="47"/>
      <c r="D577" s="47"/>
      <c r="E577" s="46"/>
      <c r="F577" s="46"/>
      <c r="G577" s="47"/>
      <c r="H577" s="47"/>
      <c r="I577" s="47"/>
      <c r="J577" s="45" t="str">
        <f aca="false">IF($A577="","",IF(COUNTIF(Accounts!$C$2:$C$201,$A577)+COUNTIF('Service Principals'!$C$2:$C$201,$A577)+COUNTIF('Managed Identities'!$C$2:$C$201,$A577)&gt;0,"Yes","NOT IN INVENTORY"))</f>
        <v/>
      </c>
    </row>
    <row r="578" customFormat="false" ht="15" hidden="false" customHeight="false" outlineLevel="0" collapsed="false">
      <c r="A578" s="46"/>
      <c r="B578" s="46"/>
      <c r="C578" s="47"/>
      <c r="D578" s="47"/>
      <c r="E578" s="46"/>
      <c r="F578" s="46"/>
      <c r="G578" s="47"/>
      <c r="H578" s="47"/>
      <c r="I578" s="47"/>
      <c r="J578" s="45" t="str">
        <f aca="false">IF($A578="","",IF(COUNTIF(Accounts!$C$2:$C$201,$A578)+COUNTIF('Service Principals'!$C$2:$C$201,$A578)+COUNTIF('Managed Identities'!$C$2:$C$201,$A578)&gt;0,"Yes","NOT IN INVENTORY"))</f>
        <v/>
      </c>
    </row>
    <row r="579" customFormat="false" ht="15" hidden="false" customHeight="false" outlineLevel="0" collapsed="false">
      <c r="A579" s="46"/>
      <c r="B579" s="46"/>
      <c r="C579" s="47"/>
      <c r="D579" s="47"/>
      <c r="E579" s="46"/>
      <c r="F579" s="46"/>
      <c r="G579" s="47"/>
      <c r="H579" s="47"/>
      <c r="I579" s="47"/>
      <c r="J579" s="45" t="str">
        <f aca="false">IF($A579="","",IF(COUNTIF(Accounts!$C$2:$C$201,$A579)+COUNTIF('Service Principals'!$C$2:$C$201,$A579)+COUNTIF('Managed Identities'!$C$2:$C$201,$A579)&gt;0,"Yes","NOT IN INVENTORY"))</f>
        <v/>
      </c>
    </row>
    <row r="580" customFormat="false" ht="15" hidden="false" customHeight="false" outlineLevel="0" collapsed="false">
      <c r="A580" s="46"/>
      <c r="B580" s="46"/>
      <c r="C580" s="47"/>
      <c r="D580" s="47"/>
      <c r="E580" s="46"/>
      <c r="F580" s="46"/>
      <c r="G580" s="47"/>
      <c r="H580" s="47"/>
      <c r="I580" s="47"/>
      <c r="J580" s="45" t="str">
        <f aca="false">IF($A580="","",IF(COUNTIF(Accounts!$C$2:$C$201,$A580)+COUNTIF('Service Principals'!$C$2:$C$201,$A580)+COUNTIF('Managed Identities'!$C$2:$C$201,$A580)&gt;0,"Yes","NOT IN INVENTORY"))</f>
        <v/>
      </c>
    </row>
    <row r="581" customFormat="false" ht="15" hidden="false" customHeight="false" outlineLevel="0" collapsed="false">
      <c r="A581" s="46"/>
      <c r="B581" s="46"/>
      <c r="C581" s="47"/>
      <c r="D581" s="47"/>
      <c r="E581" s="46"/>
      <c r="F581" s="46"/>
      <c r="G581" s="47"/>
      <c r="H581" s="47"/>
      <c r="I581" s="47"/>
      <c r="J581" s="45" t="str">
        <f aca="false">IF($A581="","",IF(COUNTIF(Accounts!$C$2:$C$201,$A581)+COUNTIF('Service Principals'!$C$2:$C$201,$A581)+COUNTIF('Managed Identities'!$C$2:$C$201,$A581)&gt;0,"Yes","NOT IN INVENTORY"))</f>
        <v/>
      </c>
    </row>
    <row r="582" customFormat="false" ht="15" hidden="false" customHeight="false" outlineLevel="0" collapsed="false">
      <c r="A582" s="46"/>
      <c r="B582" s="46"/>
      <c r="C582" s="47"/>
      <c r="D582" s="47"/>
      <c r="E582" s="46"/>
      <c r="F582" s="46"/>
      <c r="G582" s="47"/>
      <c r="H582" s="47"/>
      <c r="I582" s="47"/>
      <c r="J582" s="45" t="str">
        <f aca="false">IF($A582="","",IF(COUNTIF(Accounts!$C$2:$C$201,$A582)+COUNTIF('Service Principals'!$C$2:$C$201,$A582)+COUNTIF('Managed Identities'!$C$2:$C$201,$A582)&gt;0,"Yes","NOT IN INVENTORY"))</f>
        <v/>
      </c>
    </row>
    <row r="583" customFormat="false" ht="15" hidden="false" customHeight="false" outlineLevel="0" collapsed="false">
      <c r="A583" s="46"/>
      <c r="B583" s="46"/>
      <c r="C583" s="47"/>
      <c r="D583" s="47"/>
      <c r="E583" s="46"/>
      <c r="F583" s="46"/>
      <c r="G583" s="47"/>
      <c r="H583" s="47"/>
      <c r="I583" s="47"/>
      <c r="J583" s="45" t="str">
        <f aca="false">IF($A583="","",IF(COUNTIF(Accounts!$C$2:$C$201,$A583)+COUNTIF('Service Principals'!$C$2:$C$201,$A583)+COUNTIF('Managed Identities'!$C$2:$C$201,$A583)&gt;0,"Yes","NOT IN INVENTORY"))</f>
        <v/>
      </c>
    </row>
    <row r="584" customFormat="false" ht="15" hidden="false" customHeight="false" outlineLevel="0" collapsed="false">
      <c r="A584" s="46"/>
      <c r="B584" s="46"/>
      <c r="C584" s="47"/>
      <c r="D584" s="47"/>
      <c r="E584" s="46"/>
      <c r="F584" s="46"/>
      <c r="G584" s="47"/>
      <c r="H584" s="47"/>
      <c r="I584" s="47"/>
      <c r="J584" s="45" t="str">
        <f aca="false">IF($A584="","",IF(COUNTIF(Accounts!$C$2:$C$201,$A584)+COUNTIF('Service Principals'!$C$2:$C$201,$A584)+COUNTIF('Managed Identities'!$C$2:$C$201,$A584)&gt;0,"Yes","NOT IN INVENTORY"))</f>
        <v/>
      </c>
    </row>
    <row r="585" customFormat="false" ht="15" hidden="false" customHeight="false" outlineLevel="0" collapsed="false">
      <c r="A585" s="46"/>
      <c r="B585" s="46"/>
      <c r="C585" s="47"/>
      <c r="D585" s="47"/>
      <c r="E585" s="46"/>
      <c r="F585" s="46"/>
      <c r="G585" s="47"/>
      <c r="H585" s="47"/>
      <c r="I585" s="47"/>
      <c r="J585" s="45" t="str">
        <f aca="false">IF($A585="","",IF(COUNTIF(Accounts!$C$2:$C$201,$A585)+COUNTIF('Service Principals'!$C$2:$C$201,$A585)+COUNTIF('Managed Identities'!$C$2:$C$201,$A585)&gt;0,"Yes","NOT IN INVENTORY"))</f>
        <v/>
      </c>
    </row>
    <row r="586" customFormat="false" ht="15" hidden="false" customHeight="false" outlineLevel="0" collapsed="false">
      <c r="A586" s="46"/>
      <c r="B586" s="46"/>
      <c r="C586" s="47"/>
      <c r="D586" s="47"/>
      <c r="E586" s="46"/>
      <c r="F586" s="46"/>
      <c r="G586" s="47"/>
      <c r="H586" s="47"/>
      <c r="I586" s="47"/>
      <c r="J586" s="45" t="str">
        <f aca="false">IF($A586="","",IF(COUNTIF(Accounts!$C$2:$C$201,$A586)+COUNTIF('Service Principals'!$C$2:$C$201,$A586)+COUNTIF('Managed Identities'!$C$2:$C$201,$A586)&gt;0,"Yes","NOT IN INVENTORY"))</f>
        <v/>
      </c>
    </row>
    <row r="587" customFormat="false" ht="15" hidden="false" customHeight="false" outlineLevel="0" collapsed="false">
      <c r="A587" s="46"/>
      <c r="B587" s="46"/>
      <c r="C587" s="47"/>
      <c r="D587" s="47"/>
      <c r="E587" s="46"/>
      <c r="F587" s="46"/>
      <c r="G587" s="47"/>
      <c r="H587" s="47"/>
      <c r="I587" s="47"/>
      <c r="J587" s="45" t="str">
        <f aca="false">IF($A587="","",IF(COUNTIF(Accounts!$C$2:$C$201,$A587)+COUNTIF('Service Principals'!$C$2:$C$201,$A587)+COUNTIF('Managed Identities'!$C$2:$C$201,$A587)&gt;0,"Yes","NOT IN INVENTORY"))</f>
        <v/>
      </c>
    </row>
    <row r="588" customFormat="false" ht="15" hidden="false" customHeight="false" outlineLevel="0" collapsed="false">
      <c r="A588" s="46"/>
      <c r="B588" s="46"/>
      <c r="C588" s="47"/>
      <c r="D588" s="47"/>
      <c r="E588" s="46"/>
      <c r="F588" s="46"/>
      <c r="G588" s="47"/>
      <c r="H588" s="47"/>
      <c r="I588" s="47"/>
      <c r="J588" s="45" t="str">
        <f aca="false">IF($A588="","",IF(COUNTIF(Accounts!$C$2:$C$201,$A588)+COUNTIF('Service Principals'!$C$2:$C$201,$A588)+COUNTIF('Managed Identities'!$C$2:$C$201,$A588)&gt;0,"Yes","NOT IN INVENTORY"))</f>
        <v/>
      </c>
    </row>
    <row r="589" customFormat="false" ht="15" hidden="false" customHeight="false" outlineLevel="0" collapsed="false">
      <c r="A589" s="46"/>
      <c r="B589" s="46"/>
      <c r="C589" s="47"/>
      <c r="D589" s="47"/>
      <c r="E589" s="46"/>
      <c r="F589" s="46"/>
      <c r="G589" s="47"/>
      <c r="H589" s="47"/>
      <c r="I589" s="47"/>
      <c r="J589" s="45" t="str">
        <f aca="false">IF($A589="","",IF(COUNTIF(Accounts!$C$2:$C$201,$A589)+COUNTIF('Service Principals'!$C$2:$C$201,$A589)+COUNTIF('Managed Identities'!$C$2:$C$201,$A589)&gt;0,"Yes","NOT IN INVENTORY"))</f>
        <v/>
      </c>
    </row>
    <row r="590" customFormat="false" ht="15" hidden="false" customHeight="false" outlineLevel="0" collapsed="false">
      <c r="A590" s="46"/>
      <c r="B590" s="46"/>
      <c r="C590" s="47"/>
      <c r="D590" s="47"/>
      <c r="E590" s="46"/>
      <c r="F590" s="46"/>
      <c r="G590" s="47"/>
      <c r="H590" s="47"/>
      <c r="I590" s="47"/>
      <c r="J590" s="45" t="str">
        <f aca="false">IF($A590="","",IF(COUNTIF(Accounts!$C$2:$C$201,$A590)+COUNTIF('Service Principals'!$C$2:$C$201,$A590)+COUNTIF('Managed Identities'!$C$2:$C$201,$A590)&gt;0,"Yes","NOT IN INVENTORY"))</f>
        <v/>
      </c>
    </row>
    <row r="591" customFormat="false" ht="15" hidden="false" customHeight="false" outlineLevel="0" collapsed="false">
      <c r="A591" s="46"/>
      <c r="B591" s="46"/>
      <c r="C591" s="47"/>
      <c r="D591" s="47"/>
      <c r="E591" s="46"/>
      <c r="F591" s="46"/>
      <c r="G591" s="47"/>
      <c r="H591" s="47"/>
      <c r="I591" s="47"/>
      <c r="J591" s="45" t="str">
        <f aca="false">IF($A591="","",IF(COUNTIF(Accounts!$C$2:$C$201,$A591)+COUNTIF('Service Principals'!$C$2:$C$201,$A591)+COUNTIF('Managed Identities'!$C$2:$C$201,$A591)&gt;0,"Yes","NOT IN INVENTORY"))</f>
        <v/>
      </c>
    </row>
    <row r="592" customFormat="false" ht="15" hidden="false" customHeight="false" outlineLevel="0" collapsed="false">
      <c r="A592" s="46"/>
      <c r="B592" s="46"/>
      <c r="C592" s="47"/>
      <c r="D592" s="47"/>
      <c r="E592" s="46"/>
      <c r="F592" s="46"/>
      <c r="G592" s="47"/>
      <c r="H592" s="47"/>
      <c r="I592" s="47"/>
      <c r="J592" s="45" t="str">
        <f aca="false">IF($A592="","",IF(COUNTIF(Accounts!$C$2:$C$201,$A592)+COUNTIF('Service Principals'!$C$2:$C$201,$A592)+COUNTIF('Managed Identities'!$C$2:$C$201,$A592)&gt;0,"Yes","NOT IN INVENTORY"))</f>
        <v/>
      </c>
    </row>
    <row r="593" customFormat="false" ht="15" hidden="false" customHeight="false" outlineLevel="0" collapsed="false">
      <c r="A593" s="46"/>
      <c r="B593" s="46"/>
      <c r="C593" s="47"/>
      <c r="D593" s="47"/>
      <c r="E593" s="46"/>
      <c r="F593" s="46"/>
      <c r="G593" s="47"/>
      <c r="H593" s="47"/>
      <c r="I593" s="47"/>
      <c r="J593" s="45" t="str">
        <f aca="false">IF($A593="","",IF(COUNTIF(Accounts!$C$2:$C$201,$A593)+COUNTIF('Service Principals'!$C$2:$C$201,$A593)+COUNTIF('Managed Identities'!$C$2:$C$201,$A593)&gt;0,"Yes","NOT IN INVENTORY"))</f>
        <v/>
      </c>
    </row>
    <row r="594" customFormat="false" ht="15" hidden="false" customHeight="false" outlineLevel="0" collapsed="false">
      <c r="A594" s="46"/>
      <c r="B594" s="46"/>
      <c r="C594" s="47"/>
      <c r="D594" s="47"/>
      <c r="E594" s="46"/>
      <c r="F594" s="46"/>
      <c r="G594" s="47"/>
      <c r="H594" s="47"/>
      <c r="I594" s="47"/>
      <c r="J594" s="45" t="str">
        <f aca="false">IF($A594="","",IF(COUNTIF(Accounts!$C$2:$C$201,$A594)+COUNTIF('Service Principals'!$C$2:$C$201,$A594)+COUNTIF('Managed Identities'!$C$2:$C$201,$A594)&gt;0,"Yes","NOT IN INVENTORY"))</f>
        <v/>
      </c>
    </row>
    <row r="595" customFormat="false" ht="15" hidden="false" customHeight="false" outlineLevel="0" collapsed="false">
      <c r="A595" s="46"/>
      <c r="B595" s="46"/>
      <c r="C595" s="47"/>
      <c r="D595" s="47"/>
      <c r="E595" s="46"/>
      <c r="F595" s="46"/>
      <c r="G595" s="47"/>
      <c r="H595" s="47"/>
      <c r="I595" s="47"/>
      <c r="J595" s="45" t="str">
        <f aca="false">IF($A595="","",IF(COUNTIF(Accounts!$C$2:$C$201,$A595)+COUNTIF('Service Principals'!$C$2:$C$201,$A595)+COUNTIF('Managed Identities'!$C$2:$C$201,$A595)&gt;0,"Yes","NOT IN INVENTORY"))</f>
        <v/>
      </c>
    </row>
    <row r="596" customFormat="false" ht="15" hidden="false" customHeight="false" outlineLevel="0" collapsed="false">
      <c r="A596" s="46"/>
      <c r="B596" s="46"/>
      <c r="C596" s="47"/>
      <c r="D596" s="47"/>
      <c r="E596" s="46"/>
      <c r="F596" s="46"/>
      <c r="G596" s="47"/>
      <c r="H596" s="47"/>
      <c r="I596" s="47"/>
      <c r="J596" s="45" t="str">
        <f aca="false">IF($A596="","",IF(COUNTIF(Accounts!$C$2:$C$201,$A596)+COUNTIF('Service Principals'!$C$2:$C$201,$A596)+COUNTIF('Managed Identities'!$C$2:$C$201,$A596)&gt;0,"Yes","NOT IN INVENTORY"))</f>
        <v/>
      </c>
    </row>
    <row r="597" customFormat="false" ht="15" hidden="false" customHeight="false" outlineLevel="0" collapsed="false">
      <c r="A597" s="46"/>
      <c r="B597" s="46"/>
      <c r="C597" s="47"/>
      <c r="D597" s="47"/>
      <c r="E597" s="46"/>
      <c r="F597" s="46"/>
      <c r="G597" s="47"/>
      <c r="H597" s="47"/>
      <c r="I597" s="47"/>
      <c r="J597" s="45" t="str">
        <f aca="false">IF($A597="","",IF(COUNTIF(Accounts!$C$2:$C$201,$A597)+COUNTIF('Service Principals'!$C$2:$C$201,$A597)+COUNTIF('Managed Identities'!$C$2:$C$201,$A597)&gt;0,"Yes","NOT IN INVENTORY"))</f>
        <v/>
      </c>
    </row>
    <row r="598" customFormat="false" ht="15" hidden="false" customHeight="false" outlineLevel="0" collapsed="false">
      <c r="A598" s="46"/>
      <c r="B598" s="46"/>
      <c r="C598" s="47"/>
      <c r="D598" s="47"/>
      <c r="E598" s="46"/>
      <c r="F598" s="46"/>
      <c r="G598" s="47"/>
      <c r="H598" s="47"/>
      <c r="I598" s="47"/>
      <c r="J598" s="45" t="str">
        <f aca="false">IF($A598="","",IF(COUNTIF(Accounts!$C$2:$C$201,$A598)+COUNTIF('Service Principals'!$C$2:$C$201,$A598)+COUNTIF('Managed Identities'!$C$2:$C$201,$A598)&gt;0,"Yes","NOT IN INVENTORY"))</f>
        <v/>
      </c>
    </row>
    <row r="599" customFormat="false" ht="15" hidden="false" customHeight="false" outlineLevel="0" collapsed="false">
      <c r="A599" s="46"/>
      <c r="B599" s="46"/>
      <c r="C599" s="47"/>
      <c r="D599" s="47"/>
      <c r="E599" s="46"/>
      <c r="F599" s="46"/>
      <c r="G599" s="47"/>
      <c r="H599" s="47"/>
      <c r="I599" s="47"/>
      <c r="J599" s="45" t="str">
        <f aca="false">IF($A599="","",IF(COUNTIF(Accounts!$C$2:$C$201,$A599)+COUNTIF('Service Principals'!$C$2:$C$201,$A599)+COUNTIF('Managed Identities'!$C$2:$C$201,$A599)&gt;0,"Yes","NOT IN INVENTORY"))</f>
        <v/>
      </c>
    </row>
    <row r="600" customFormat="false" ht="15" hidden="false" customHeight="false" outlineLevel="0" collapsed="false">
      <c r="A600" s="46"/>
      <c r="B600" s="46"/>
      <c r="C600" s="47"/>
      <c r="D600" s="47"/>
      <c r="E600" s="46"/>
      <c r="F600" s="46"/>
      <c r="G600" s="47"/>
      <c r="H600" s="47"/>
      <c r="I600" s="47"/>
      <c r="J600" s="45" t="str">
        <f aca="false">IF($A600="","",IF(COUNTIF(Accounts!$C$2:$C$201,$A600)+COUNTIF('Service Principals'!$C$2:$C$201,$A600)+COUNTIF('Managed Identities'!$C$2:$C$201,$A600)&gt;0,"Yes","NOT IN INVENTORY"))</f>
        <v/>
      </c>
    </row>
    <row r="601" customFormat="false" ht="15" hidden="false" customHeight="false" outlineLevel="0" collapsed="false">
      <c r="A601" s="46"/>
      <c r="B601" s="46"/>
      <c r="C601" s="47"/>
      <c r="D601" s="47"/>
      <c r="E601" s="46"/>
      <c r="F601" s="46"/>
      <c r="G601" s="47"/>
      <c r="H601" s="47"/>
      <c r="I601" s="47"/>
      <c r="J601" s="45" t="str">
        <f aca="false">IF($A601="","",IF(COUNTIF(Accounts!$C$2:$C$201,$A601)+COUNTIF('Service Principals'!$C$2:$C$201,$A601)+COUNTIF('Managed Identities'!$C$2:$C$201,$A601)&gt;0,"Yes","NOT IN INVENTORY"))</f>
        <v/>
      </c>
    </row>
    <row r="602" customFormat="false" ht="15" hidden="false" customHeight="false" outlineLevel="0" collapsed="false">
      <c r="A602" s="46"/>
      <c r="B602" s="46"/>
      <c r="C602" s="47"/>
      <c r="D602" s="47"/>
      <c r="E602" s="46"/>
      <c r="F602" s="46"/>
      <c r="G602" s="47"/>
      <c r="H602" s="47"/>
      <c r="I602" s="47"/>
      <c r="J602" s="45" t="str">
        <f aca="false">IF($A602="","",IF(COUNTIF(Accounts!$C$2:$C$201,$A602)+COUNTIF('Service Principals'!$C$2:$C$201,$A602)+COUNTIF('Managed Identities'!$C$2:$C$201,$A602)&gt;0,"Yes","NOT IN INVENTORY"))</f>
        <v/>
      </c>
    </row>
    <row r="603" customFormat="false" ht="15" hidden="false" customHeight="false" outlineLevel="0" collapsed="false">
      <c r="A603" s="46"/>
      <c r="B603" s="46"/>
      <c r="C603" s="47"/>
      <c r="D603" s="47"/>
      <c r="E603" s="46"/>
      <c r="F603" s="46"/>
      <c r="G603" s="47"/>
      <c r="H603" s="47"/>
      <c r="I603" s="47"/>
      <c r="J603" s="45" t="str">
        <f aca="false">IF($A603="","",IF(COUNTIF(Accounts!$C$2:$C$201,$A603)+COUNTIF('Service Principals'!$C$2:$C$201,$A603)+COUNTIF('Managed Identities'!$C$2:$C$201,$A603)&gt;0,"Yes","NOT IN INVENTORY"))</f>
        <v/>
      </c>
    </row>
    <row r="604" customFormat="false" ht="15" hidden="false" customHeight="false" outlineLevel="0" collapsed="false">
      <c r="A604" s="46"/>
      <c r="B604" s="46"/>
      <c r="C604" s="47"/>
      <c r="D604" s="47"/>
      <c r="E604" s="46"/>
      <c r="F604" s="46"/>
      <c r="G604" s="47"/>
      <c r="H604" s="47"/>
      <c r="I604" s="47"/>
      <c r="J604" s="45" t="str">
        <f aca="false">IF($A604="","",IF(COUNTIF(Accounts!$C$2:$C$201,$A604)+COUNTIF('Service Principals'!$C$2:$C$201,$A604)+COUNTIF('Managed Identities'!$C$2:$C$201,$A604)&gt;0,"Yes","NOT IN INVENTORY"))</f>
        <v/>
      </c>
    </row>
    <row r="605" customFormat="false" ht="15" hidden="false" customHeight="false" outlineLevel="0" collapsed="false">
      <c r="A605" s="46"/>
      <c r="B605" s="46"/>
      <c r="C605" s="47"/>
      <c r="D605" s="47"/>
      <c r="E605" s="46"/>
      <c r="F605" s="46"/>
      <c r="G605" s="47"/>
      <c r="H605" s="47"/>
      <c r="I605" s="47"/>
      <c r="J605" s="45" t="str">
        <f aca="false">IF($A605="","",IF(COUNTIF(Accounts!$C$2:$C$201,$A605)+COUNTIF('Service Principals'!$C$2:$C$201,$A605)+COUNTIF('Managed Identities'!$C$2:$C$201,$A605)&gt;0,"Yes","NOT IN INVENTORY"))</f>
        <v/>
      </c>
    </row>
    <row r="606" customFormat="false" ht="15" hidden="false" customHeight="false" outlineLevel="0" collapsed="false">
      <c r="A606" s="46"/>
      <c r="B606" s="46"/>
      <c r="C606" s="47"/>
      <c r="D606" s="47"/>
      <c r="E606" s="46"/>
      <c r="F606" s="46"/>
      <c r="G606" s="47"/>
      <c r="H606" s="47"/>
      <c r="I606" s="47"/>
      <c r="J606" s="45" t="str">
        <f aca="false">IF($A606="","",IF(COUNTIF(Accounts!$C$2:$C$201,$A606)+COUNTIF('Service Principals'!$C$2:$C$201,$A606)+COUNTIF('Managed Identities'!$C$2:$C$201,$A606)&gt;0,"Yes","NOT IN INVENTORY"))</f>
        <v/>
      </c>
    </row>
    <row r="607" customFormat="false" ht="15" hidden="false" customHeight="false" outlineLevel="0" collapsed="false">
      <c r="A607" s="46"/>
      <c r="B607" s="46"/>
      <c r="C607" s="47"/>
      <c r="D607" s="47"/>
      <c r="E607" s="46"/>
      <c r="F607" s="46"/>
      <c r="G607" s="47"/>
      <c r="H607" s="47"/>
      <c r="I607" s="47"/>
      <c r="J607" s="45" t="str">
        <f aca="false">IF($A607="","",IF(COUNTIF(Accounts!$C$2:$C$201,$A607)+COUNTIF('Service Principals'!$C$2:$C$201,$A607)+COUNTIF('Managed Identities'!$C$2:$C$201,$A607)&gt;0,"Yes","NOT IN INVENTORY"))</f>
        <v/>
      </c>
    </row>
    <row r="608" customFormat="false" ht="15" hidden="false" customHeight="false" outlineLevel="0" collapsed="false">
      <c r="A608" s="46"/>
      <c r="B608" s="46"/>
      <c r="C608" s="47"/>
      <c r="D608" s="47"/>
      <c r="E608" s="46"/>
      <c r="F608" s="46"/>
      <c r="G608" s="47"/>
      <c r="H608" s="47"/>
      <c r="I608" s="47"/>
      <c r="J608" s="45" t="str">
        <f aca="false">IF($A608="","",IF(COUNTIF(Accounts!$C$2:$C$201,$A608)+COUNTIF('Service Principals'!$C$2:$C$201,$A608)+COUNTIF('Managed Identities'!$C$2:$C$201,$A608)&gt;0,"Yes","NOT IN INVENTORY"))</f>
        <v/>
      </c>
    </row>
    <row r="609" customFormat="false" ht="15" hidden="false" customHeight="false" outlineLevel="0" collapsed="false">
      <c r="A609" s="46"/>
      <c r="B609" s="46"/>
      <c r="C609" s="47"/>
      <c r="D609" s="47"/>
      <c r="E609" s="46"/>
      <c r="F609" s="46"/>
      <c r="G609" s="47"/>
      <c r="H609" s="47"/>
      <c r="I609" s="47"/>
      <c r="J609" s="45" t="str">
        <f aca="false">IF($A609="","",IF(COUNTIF(Accounts!$C$2:$C$201,$A609)+COUNTIF('Service Principals'!$C$2:$C$201,$A609)+COUNTIF('Managed Identities'!$C$2:$C$201,$A609)&gt;0,"Yes","NOT IN INVENTORY"))</f>
        <v/>
      </c>
    </row>
    <row r="610" customFormat="false" ht="15" hidden="false" customHeight="false" outlineLevel="0" collapsed="false">
      <c r="A610" s="46"/>
      <c r="B610" s="46"/>
      <c r="C610" s="47"/>
      <c r="D610" s="47"/>
      <c r="E610" s="46"/>
      <c r="F610" s="46"/>
      <c r="G610" s="47"/>
      <c r="H610" s="47"/>
      <c r="I610" s="47"/>
      <c r="J610" s="45" t="str">
        <f aca="false">IF($A610="","",IF(COUNTIF(Accounts!$C$2:$C$201,$A610)+COUNTIF('Service Principals'!$C$2:$C$201,$A610)+COUNTIF('Managed Identities'!$C$2:$C$201,$A610)&gt;0,"Yes","NOT IN INVENTORY"))</f>
        <v/>
      </c>
    </row>
    <row r="611" customFormat="false" ht="15" hidden="false" customHeight="false" outlineLevel="0" collapsed="false">
      <c r="A611" s="46"/>
      <c r="B611" s="46"/>
      <c r="C611" s="47"/>
      <c r="D611" s="47"/>
      <c r="E611" s="46"/>
      <c r="F611" s="46"/>
      <c r="G611" s="47"/>
      <c r="H611" s="47"/>
      <c r="I611" s="47"/>
      <c r="J611" s="45" t="str">
        <f aca="false">IF($A611="","",IF(COUNTIF(Accounts!$C$2:$C$201,$A611)+COUNTIF('Service Principals'!$C$2:$C$201,$A611)+COUNTIF('Managed Identities'!$C$2:$C$201,$A611)&gt;0,"Yes","NOT IN INVENTORY"))</f>
        <v/>
      </c>
    </row>
    <row r="612" customFormat="false" ht="15" hidden="false" customHeight="false" outlineLevel="0" collapsed="false">
      <c r="A612" s="46"/>
      <c r="B612" s="46"/>
      <c r="C612" s="47"/>
      <c r="D612" s="47"/>
      <c r="E612" s="46"/>
      <c r="F612" s="46"/>
      <c r="G612" s="47"/>
      <c r="H612" s="47"/>
      <c r="I612" s="47"/>
      <c r="J612" s="45" t="str">
        <f aca="false">IF($A612="","",IF(COUNTIF(Accounts!$C$2:$C$201,$A612)+COUNTIF('Service Principals'!$C$2:$C$201,$A612)+COUNTIF('Managed Identities'!$C$2:$C$201,$A612)&gt;0,"Yes","NOT IN INVENTORY"))</f>
        <v/>
      </c>
    </row>
    <row r="613" customFormat="false" ht="15" hidden="false" customHeight="false" outlineLevel="0" collapsed="false">
      <c r="A613" s="46"/>
      <c r="B613" s="46"/>
      <c r="C613" s="47"/>
      <c r="D613" s="47"/>
      <c r="E613" s="46"/>
      <c r="F613" s="46"/>
      <c r="G613" s="47"/>
      <c r="H613" s="47"/>
      <c r="I613" s="47"/>
      <c r="J613" s="45" t="str">
        <f aca="false">IF($A613="","",IF(COUNTIF(Accounts!$C$2:$C$201,$A613)+COUNTIF('Service Principals'!$C$2:$C$201,$A613)+COUNTIF('Managed Identities'!$C$2:$C$201,$A613)&gt;0,"Yes","NOT IN INVENTORY"))</f>
        <v/>
      </c>
    </row>
    <row r="614" customFormat="false" ht="15" hidden="false" customHeight="false" outlineLevel="0" collapsed="false">
      <c r="A614" s="46"/>
      <c r="B614" s="46"/>
      <c r="C614" s="47"/>
      <c r="D614" s="47"/>
      <c r="E614" s="46"/>
      <c r="F614" s="46"/>
      <c r="G614" s="47"/>
      <c r="H614" s="47"/>
      <c r="I614" s="47"/>
      <c r="J614" s="45" t="str">
        <f aca="false">IF($A614="","",IF(COUNTIF(Accounts!$C$2:$C$201,$A614)+COUNTIF('Service Principals'!$C$2:$C$201,$A614)+COUNTIF('Managed Identities'!$C$2:$C$201,$A614)&gt;0,"Yes","NOT IN INVENTORY"))</f>
        <v/>
      </c>
    </row>
    <row r="615" customFormat="false" ht="15" hidden="false" customHeight="false" outlineLevel="0" collapsed="false">
      <c r="A615" s="46"/>
      <c r="B615" s="46"/>
      <c r="C615" s="47"/>
      <c r="D615" s="47"/>
      <c r="E615" s="46"/>
      <c r="F615" s="46"/>
      <c r="G615" s="47"/>
      <c r="H615" s="47"/>
      <c r="I615" s="47"/>
      <c r="J615" s="45" t="str">
        <f aca="false">IF($A615="","",IF(COUNTIF(Accounts!$C$2:$C$201,$A615)+COUNTIF('Service Principals'!$C$2:$C$201,$A615)+COUNTIF('Managed Identities'!$C$2:$C$201,$A615)&gt;0,"Yes","NOT IN INVENTORY"))</f>
        <v/>
      </c>
    </row>
    <row r="616" customFormat="false" ht="15" hidden="false" customHeight="false" outlineLevel="0" collapsed="false">
      <c r="A616" s="46"/>
      <c r="B616" s="46"/>
      <c r="C616" s="47"/>
      <c r="D616" s="47"/>
      <c r="E616" s="46"/>
      <c r="F616" s="46"/>
      <c r="G616" s="47"/>
      <c r="H616" s="47"/>
      <c r="I616" s="47"/>
      <c r="J616" s="45" t="str">
        <f aca="false">IF($A616="","",IF(COUNTIF(Accounts!$C$2:$C$201,$A616)+COUNTIF('Service Principals'!$C$2:$C$201,$A616)+COUNTIF('Managed Identities'!$C$2:$C$201,$A616)&gt;0,"Yes","NOT IN INVENTORY"))</f>
        <v/>
      </c>
    </row>
    <row r="617" customFormat="false" ht="15" hidden="false" customHeight="false" outlineLevel="0" collapsed="false">
      <c r="A617" s="46"/>
      <c r="B617" s="46"/>
      <c r="C617" s="47"/>
      <c r="D617" s="47"/>
      <c r="E617" s="46"/>
      <c r="F617" s="46"/>
      <c r="G617" s="47"/>
      <c r="H617" s="47"/>
      <c r="I617" s="47"/>
      <c r="J617" s="45" t="str">
        <f aca="false">IF($A617="","",IF(COUNTIF(Accounts!$C$2:$C$201,$A617)+COUNTIF('Service Principals'!$C$2:$C$201,$A617)+COUNTIF('Managed Identities'!$C$2:$C$201,$A617)&gt;0,"Yes","NOT IN INVENTORY"))</f>
        <v/>
      </c>
    </row>
    <row r="618" customFormat="false" ht="15" hidden="false" customHeight="false" outlineLevel="0" collapsed="false">
      <c r="A618" s="46"/>
      <c r="B618" s="46"/>
      <c r="C618" s="47"/>
      <c r="D618" s="47"/>
      <c r="E618" s="46"/>
      <c r="F618" s="46"/>
      <c r="G618" s="47"/>
      <c r="H618" s="47"/>
      <c r="I618" s="47"/>
      <c r="J618" s="45" t="str">
        <f aca="false">IF($A618="","",IF(COUNTIF(Accounts!$C$2:$C$201,$A618)+COUNTIF('Service Principals'!$C$2:$C$201,$A618)+COUNTIF('Managed Identities'!$C$2:$C$201,$A618)&gt;0,"Yes","NOT IN INVENTORY"))</f>
        <v/>
      </c>
    </row>
    <row r="619" customFormat="false" ht="15" hidden="false" customHeight="false" outlineLevel="0" collapsed="false">
      <c r="A619" s="46"/>
      <c r="B619" s="46"/>
      <c r="C619" s="47"/>
      <c r="D619" s="47"/>
      <c r="E619" s="46"/>
      <c r="F619" s="46"/>
      <c r="G619" s="47"/>
      <c r="H619" s="47"/>
      <c r="I619" s="47"/>
      <c r="J619" s="45" t="str">
        <f aca="false">IF($A619="","",IF(COUNTIF(Accounts!$C$2:$C$201,$A619)+COUNTIF('Service Principals'!$C$2:$C$201,$A619)+COUNTIF('Managed Identities'!$C$2:$C$201,$A619)&gt;0,"Yes","NOT IN INVENTORY"))</f>
        <v/>
      </c>
    </row>
    <row r="620" customFormat="false" ht="15" hidden="false" customHeight="false" outlineLevel="0" collapsed="false">
      <c r="A620" s="46"/>
      <c r="B620" s="46"/>
      <c r="C620" s="47"/>
      <c r="D620" s="47"/>
      <c r="E620" s="46"/>
      <c r="F620" s="46"/>
      <c r="G620" s="47"/>
      <c r="H620" s="47"/>
      <c r="I620" s="47"/>
      <c r="J620" s="45" t="str">
        <f aca="false">IF($A620="","",IF(COUNTIF(Accounts!$C$2:$C$201,$A620)+COUNTIF('Service Principals'!$C$2:$C$201,$A620)+COUNTIF('Managed Identities'!$C$2:$C$201,$A620)&gt;0,"Yes","NOT IN INVENTORY"))</f>
        <v/>
      </c>
    </row>
    <row r="621" customFormat="false" ht="15" hidden="false" customHeight="false" outlineLevel="0" collapsed="false">
      <c r="A621" s="46"/>
      <c r="B621" s="46"/>
      <c r="C621" s="47"/>
      <c r="D621" s="47"/>
      <c r="E621" s="46"/>
      <c r="F621" s="46"/>
      <c r="G621" s="47"/>
      <c r="H621" s="47"/>
      <c r="I621" s="47"/>
      <c r="J621" s="45" t="str">
        <f aca="false">IF($A621="","",IF(COUNTIF(Accounts!$C$2:$C$201,$A621)+COUNTIF('Service Principals'!$C$2:$C$201,$A621)+COUNTIF('Managed Identities'!$C$2:$C$201,$A621)&gt;0,"Yes","NOT IN INVENTORY"))</f>
        <v/>
      </c>
    </row>
    <row r="622" customFormat="false" ht="15" hidden="false" customHeight="false" outlineLevel="0" collapsed="false">
      <c r="A622" s="46"/>
      <c r="B622" s="46"/>
      <c r="C622" s="47"/>
      <c r="D622" s="47"/>
      <c r="E622" s="46"/>
      <c r="F622" s="46"/>
      <c r="G622" s="47"/>
      <c r="H622" s="47"/>
      <c r="I622" s="47"/>
      <c r="J622" s="45" t="str">
        <f aca="false">IF($A622="","",IF(COUNTIF(Accounts!$C$2:$C$201,$A622)+COUNTIF('Service Principals'!$C$2:$C$201,$A622)+COUNTIF('Managed Identities'!$C$2:$C$201,$A622)&gt;0,"Yes","NOT IN INVENTORY"))</f>
        <v/>
      </c>
    </row>
    <row r="623" customFormat="false" ht="15" hidden="false" customHeight="false" outlineLevel="0" collapsed="false">
      <c r="A623" s="46"/>
      <c r="B623" s="46"/>
      <c r="C623" s="47"/>
      <c r="D623" s="47"/>
      <c r="E623" s="46"/>
      <c r="F623" s="46"/>
      <c r="G623" s="47"/>
      <c r="H623" s="47"/>
      <c r="I623" s="47"/>
      <c r="J623" s="45" t="str">
        <f aca="false">IF($A623="","",IF(COUNTIF(Accounts!$C$2:$C$201,$A623)+COUNTIF('Service Principals'!$C$2:$C$201,$A623)+COUNTIF('Managed Identities'!$C$2:$C$201,$A623)&gt;0,"Yes","NOT IN INVENTORY"))</f>
        <v/>
      </c>
    </row>
    <row r="624" customFormat="false" ht="15" hidden="false" customHeight="false" outlineLevel="0" collapsed="false">
      <c r="A624" s="46"/>
      <c r="B624" s="46"/>
      <c r="C624" s="47"/>
      <c r="D624" s="47"/>
      <c r="E624" s="46"/>
      <c r="F624" s="46"/>
      <c r="G624" s="47"/>
      <c r="H624" s="47"/>
      <c r="I624" s="47"/>
      <c r="J624" s="45" t="str">
        <f aca="false">IF($A624="","",IF(COUNTIF(Accounts!$C$2:$C$201,$A624)+COUNTIF('Service Principals'!$C$2:$C$201,$A624)+COUNTIF('Managed Identities'!$C$2:$C$201,$A624)&gt;0,"Yes","NOT IN INVENTORY"))</f>
        <v/>
      </c>
    </row>
    <row r="625" customFormat="false" ht="15" hidden="false" customHeight="false" outlineLevel="0" collapsed="false">
      <c r="A625" s="46"/>
      <c r="B625" s="46"/>
      <c r="C625" s="47"/>
      <c r="D625" s="47"/>
      <c r="E625" s="46"/>
      <c r="F625" s="46"/>
      <c r="G625" s="47"/>
      <c r="H625" s="47"/>
      <c r="I625" s="47"/>
      <c r="J625" s="45" t="str">
        <f aca="false">IF($A625="","",IF(COUNTIF(Accounts!$C$2:$C$201,$A625)+COUNTIF('Service Principals'!$C$2:$C$201,$A625)+COUNTIF('Managed Identities'!$C$2:$C$201,$A625)&gt;0,"Yes","NOT IN INVENTORY"))</f>
        <v/>
      </c>
    </row>
    <row r="626" customFormat="false" ht="15" hidden="false" customHeight="false" outlineLevel="0" collapsed="false">
      <c r="A626" s="46"/>
      <c r="B626" s="46"/>
      <c r="C626" s="47"/>
      <c r="D626" s="47"/>
      <c r="E626" s="46"/>
      <c r="F626" s="46"/>
      <c r="G626" s="47"/>
      <c r="H626" s="47"/>
      <c r="I626" s="47"/>
      <c r="J626" s="45" t="str">
        <f aca="false">IF($A626="","",IF(COUNTIF(Accounts!$C$2:$C$201,$A626)+COUNTIF('Service Principals'!$C$2:$C$201,$A626)+COUNTIF('Managed Identities'!$C$2:$C$201,$A626)&gt;0,"Yes","NOT IN INVENTORY"))</f>
        <v/>
      </c>
    </row>
    <row r="627" customFormat="false" ht="15" hidden="false" customHeight="false" outlineLevel="0" collapsed="false">
      <c r="A627" s="46"/>
      <c r="B627" s="46"/>
      <c r="C627" s="47"/>
      <c r="D627" s="47"/>
      <c r="E627" s="46"/>
      <c r="F627" s="46"/>
      <c r="G627" s="47"/>
      <c r="H627" s="47"/>
      <c r="I627" s="47"/>
      <c r="J627" s="45" t="str">
        <f aca="false">IF($A627="","",IF(COUNTIF(Accounts!$C$2:$C$201,$A627)+COUNTIF('Service Principals'!$C$2:$C$201,$A627)+COUNTIF('Managed Identities'!$C$2:$C$201,$A627)&gt;0,"Yes","NOT IN INVENTORY"))</f>
        <v/>
      </c>
    </row>
    <row r="628" customFormat="false" ht="15" hidden="false" customHeight="false" outlineLevel="0" collapsed="false">
      <c r="A628" s="46"/>
      <c r="B628" s="46"/>
      <c r="C628" s="47"/>
      <c r="D628" s="47"/>
      <c r="E628" s="46"/>
      <c r="F628" s="46"/>
      <c r="G628" s="47"/>
      <c r="H628" s="47"/>
      <c r="I628" s="47"/>
      <c r="J628" s="45" t="str">
        <f aca="false">IF($A628="","",IF(COUNTIF(Accounts!$C$2:$C$201,$A628)+COUNTIF('Service Principals'!$C$2:$C$201,$A628)+COUNTIF('Managed Identities'!$C$2:$C$201,$A628)&gt;0,"Yes","NOT IN INVENTORY"))</f>
        <v/>
      </c>
    </row>
    <row r="629" customFormat="false" ht="15" hidden="false" customHeight="false" outlineLevel="0" collapsed="false">
      <c r="A629" s="46"/>
      <c r="B629" s="46"/>
      <c r="C629" s="47"/>
      <c r="D629" s="47"/>
      <c r="E629" s="46"/>
      <c r="F629" s="46"/>
      <c r="G629" s="47"/>
      <c r="H629" s="47"/>
      <c r="I629" s="47"/>
      <c r="J629" s="45" t="str">
        <f aca="false">IF($A629="","",IF(COUNTIF(Accounts!$C$2:$C$201,$A629)+COUNTIF('Service Principals'!$C$2:$C$201,$A629)+COUNTIF('Managed Identities'!$C$2:$C$201,$A629)&gt;0,"Yes","NOT IN INVENTORY"))</f>
        <v/>
      </c>
    </row>
    <row r="630" customFormat="false" ht="15" hidden="false" customHeight="false" outlineLevel="0" collapsed="false">
      <c r="A630" s="46"/>
      <c r="B630" s="46"/>
      <c r="C630" s="47"/>
      <c r="D630" s="47"/>
      <c r="E630" s="46"/>
      <c r="F630" s="46"/>
      <c r="G630" s="47"/>
      <c r="H630" s="47"/>
      <c r="I630" s="47"/>
      <c r="J630" s="45" t="str">
        <f aca="false">IF($A630="","",IF(COUNTIF(Accounts!$C$2:$C$201,$A630)+COUNTIF('Service Principals'!$C$2:$C$201,$A630)+COUNTIF('Managed Identities'!$C$2:$C$201,$A630)&gt;0,"Yes","NOT IN INVENTORY"))</f>
        <v/>
      </c>
    </row>
    <row r="631" customFormat="false" ht="15" hidden="false" customHeight="false" outlineLevel="0" collapsed="false">
      <c r="A631" s="46"/>
      <c r="B631" s="46"/>
      <c r="C631" s="47"/>
      <c r="D631" s="47"/>
      <c r="E631" s="46"/>
      <c r="F631" s="46"/>
      <c r="G631" s="47"/>
      <c r="H631" s="47"/>
      <c r="I631" s="47"/>
      <c r="J631" s="45" t="str">
        <f aca="false">IF($A631="","",IF(COUNTIF(Accounts!$C$2:$C$201,$A631)+COUNTIF('Service Principals'!$C$2:$C$201,$A631)+COUNTIF('Managed Identities'!$C$2:$C$201,$A631)&gt;0,"Yes","NOT IN INVENTORY"))</f>
        <v/>
      </c>
    </row>
    <row r="632" customFormat="false" ht="15" hidden="false" customHeight="false" outlineLevel="0" collapsed="false">
      <c r="A632" s="46"/>
      <c r="B632" s="46"/>
      <c r="C632" s="47"/>
      <c r="D632" s="47"/>
      <c r="E632" s="46"/>
      <c r="F632" s="46"/>
      <c r="G632" s="47"/>
      <c r="H632" s="47"/>
      <c r="I632" s="47"/>
      <c r="J632" s="45" t="str">
        <f aca="false">IF($A632="","",IF(COUNTIF(Accounts!$C$2:$C$201,$A632)+COUNTIF('Service Principals'!$C$2:$C$201,$A632)+COUNTIF('Managed Identities'!$C$2:$C$201,$A632)&gt;0,"Yes","NOT IN INVENTORY"))</f>
        <v/>
      </c>
    </row>
    <row r="633" customFormat="false" ht="15" hidden="false" customHeight="false" outlineLevel="0" collapsed="false">
      <c r="A633" s="46"/>
      <c r="B633" s="46"/>
      <c r="C633" s="47"/>
      <c r="D633" s="47"/>
      <c r="E633" s="46"/>
      <c r="F633" s="46"/>
      <c r="G633" s="47"/>
      <c r="H633" s="47"/>
      <c r="I633" s="47"/>
      <c r="J633" s="45" t="str">
        <f aca="false">IF($A633="","",IF(COUNTIF(Accounts!$C$2:$C$201,$A633)+COUNTIF('Service Principals'!$C$2:$C$201,$A633)+COUNTIF('Managed Identities'!$C$2:$C$201,$A633)&gt;0,"Yes","NOT IN INVENTORY"))</f>
        <v/>
      </c>
    </row>
    <row r="634" customFormat="false" ht="15" hidden="false" customHeight="false" outlineLevel="0" collapsed="false">
      <c r="A634" s="46"/>
      <c r="B634" s="46"/>
      <c r="C634" s="47"/>
      <c r="D634" s="47"/>
      <c r="E634" s="46"/>
      <c r="F634" s="46"/>
      <c r="G634" s="47"/>
      <c r="H634" s="47"/>
      <c r="I634" s="47"/>
      <c r="J634" s="45" t="str">
        <f aca="false">IF($A634="","",IF(COUNTIF(Accounts!$C$2:$C$201,$A634)+COUNTIF('Service Principals'!$C$2:$C$201,$A634)+COUNTIF('Managed Identities'!$C$2:$C$201,$A634)&gt;0,"Yes","NOT IN INVENTORY"))</f>
        <v/>
      </c>
    </row>
    <row r="635" customFormat="false" ht="15" hidden="false" customHeight="false" outlineLevel="0" collapsed="false">
      <c r="A635" s="46"/>
      <c r="B635" s="46"/>
      <c r="C635" s="47"/>
      <c r="D635" s="47"/>
      <c r="E635" s="46"/>
      <c r="F635" s="46"/>
      <c r="G635" s="47"/>
      <c r="H635" s="47"/>
      <c r="I635" s="47"/>
      <c r="J635" s="45" t="str">
        <f aca="false">IF($A635="","",IF(COUNTIF(Accounts!$C$2:$C$201,$A635)+COUNTIF('Service Principals'!$C$2:$C$201,$A635)+COUNTIF('Managed Identities'!$C$2:$C$201,$A635)&gt;0,"Yes","NOT IN INVENTORY"))</f>
        <v/>
      </c>
    </row>
    <row r="636" customFormat="false" ht="15" hidden="false" customHeight="false" outlineLevel="0" collapsed="false">
      <c r="A636" s="46"/>
      <c r="B636" s="46"/>
      <c r="C636" s="47"/>
      <c r="D636" s="47"/>
      <c r="E636" s="46"/>
      <c r="F636" s="46"/>
      <c r="G636" s="47"/>
      <c r="H636" s="47"/>
      <c r="I636" s="47"/>
      <c r="J636" s="45" t="str">
        <f aca="false">IF($A636="","",IF(COUNTIF(Accounts!$C$2:$C$201,$A636)+COUNTIF('Service Principals'!$C$2:$C$201,$A636)+COUNTIF('Managed Identities'!$C$2:$C$201,$A636)&gt;0,"Yes","NOT IN INVENTORY"))</f>
        <v/>
      </c>
    </row>
    <row r="637" customFormat="false" ht="15" hidden="false" customHeight="false" outlineLevel="0" collapsed="false">
      <c r="A637" s="46"/>
      <c r="B637" s="46"/>
      <c r="C637" s="47"/>
      <c r="D637" s="47"/>
      <c r="E637" s="46"/>
      <c r="F637" s="46"/>
      <c r="G637" s="47"/>
      <c r="H637" s="47"/>
      <c r="I637" s="47"/>
      <c r="J637" s="45" t="str">
        <f aca="false">IF($A637="","",IF(COUNTIF(Accounts!$C$2:$C$201,$A637)+COUNTIF('Service Principals'!$C$2:$C$201,$A637)+COUNTIF('Managed Identities'!$C$2:$C$201,$A637)&gt;0,"Yes","NOT IN INVENTORY"))</f>
        <v/>
      </c>
    </row>
    <row r="638" customFormat="false" ht="15" hidden="false" customHeight="false" outlineLevel="0" collapsed="false">
      <c r="A638" s="46"/>
      <c r="B638" s="46"/>
      <c r="C638" s="47"/>
      <c r="D638" s="47"/>
      <c r="E638" s="46"/>
      <c r="F638" s="46"/>
      <c r="G638" s="47"/>
      <c r="H638" s="47"/>
      <c r="I638" s="47"/>
      <c r="J638" s="45" t="str">
        <f aca="false">IF($A638="","",IF(COUNTIF(Accounts!$C$2:$C$201,$A638)+COUNTIF('Service Principals'!$C$2:$C$201,$A638)+COUNTIF('Managed Identities'!$C$2:$C$201,$A638)&gt;0,"Yes","NOT IN INVENTORY"))</f>
        <v/>
      </c>
    </row>
    <row r="639" customFormat="false" ht="15" hidden="false" customHeight="false" outlineLevel="0" collapsed="false">
      <c r="A639" s="46"/>
      <c r="B639" s="46"/>
      <c r="C639" s="47"/>
      <c r="D639" s="47"/>
      <c r="E639" s="46"/>
      <c r="F639" s="46"/>
      <c r="G639" s="47"/>
      <c r="H639" s="47"/>
      <c r="I639" s="47"/>
      <c r="J639" s="45" t="str">
        <f aca="false">IF($A639="","",IF(COUNTIF(Accounts!$C$2:$C$201,$A639)+COUNTIF('Service Principals'!$C$2:$C$201,$A639)+COUNTIF('Managed Identities'!$C$2:$C$201,$A639)&gt;0,"Yes","NOT IN INVENTORY"))</f>
        <v/>
      </c>
    </row>
    <row r="640" customFormat="false" ht="15" hidden="false" customHeight="false" outlineLevel="0" collapsed="false">
      <c r="A640" s="46"/>
      <c r="B640" s="46"/>
      <c r="C640" s="47"/>
      <c r="D640" s="47"/>
      <c r="E640" s="46"/>
      <c r="F640" s="46"/>
      <c r="G640" s="47"/>
      <c r="H640" s="47"/>
      <c r="I640" s="47"/>
      <c r="J640" s="45" t="str">
        <f aca="false">IF($A640="","",IF(COUNTIF(Accounts!$C$2:$C$201,$A640)+COUNTIF('Service Principals'!$C$2:$C$201,$A640)+COUNTIF('Managed Identities'!$C$2:$C$201,$A640)&gt;0,"Yes","NOT IN INVENTORY"))</f>
        <v/>
      </c>
    </row>
    <row r="641" customFormat="false" ht="15" hidden="false" customHeight="false" outlineLevel="0" collapsed="false">
      <c r="A641" s="46"/>
      <c r="B641" s="46"/>
      <c r="C641" s="47"/>
      <c r="D641" s="47"/>
      <c r="E641" s="46"/>
      <c r="F641" s="46"/>
      <c r="G641" s="47"/>
      <c r="H641" s="47"/>
      <c r="I641" s="47"/>
      <c r="J641" s="45" t="str">
        <f aca="false">IF($A641="","",IF(COUNTIF(Accounts!$C$2:$C$201,$A641)+COUNTIF('Service Principals'!$C$2:$C$201,$A641)+COUNTIF('Managed Identities'!$C$2:$C$201,$A641)&gt;0,"Yes","NOT IN INVENTORY"))</f>
        <v/>
      </c>
    </row>
    <row r="642" customFormat="false" ht="15" hidden="false" customHeight="false" outlineLevel="0" collapsed="false">
      <c r="A642" s="46"/>
      <c r="B642" s="46"/>
      <c r="C642" s="47"/>
      <c r="D642" s="47"/>
      <c r="E642" s="46"/>
      <c r="F642" s="46"/>
      <c r="G642" s="47"/>
      <c r="H642" s="47"/>
      <c r="I642" s="47"/>
      <c r="J642" s="45" t="str">
        <f aca="false">IF($A642="","",IF(COUNTIF(Accounts!$C$2:$C$201,$A642)+COUNTIF('Service Principals'!$C$2:$C$201,$A642)+COUNTIF('Managed Identities'!$C$2:$C$201,$A642)&gt;0,"Yes","NOT IN INVENTORY"))</f>
        <v/>
      </c>
    </row>
    <row r="643" customFormat="false" ht="15" hidden="false" customHeight="false" outlineLevel="0" collapsed="false">
      <c r="A643" s="46"/>
      <c r="B643" s="46"/>
      <c r="C643" s="47"/>
      <c r="D643" s="47"/>
      <c r="E643" s="46"/>
      <c r="F643" s="46"/>
      <c r="G643" s="47"/>
      <c r="H643" s="47"/>
      <c r="I643" s="47"/>
      <c r="J643" s="45" t="str">
        <f aca="false">IF($A643="","",IF(COUNTIF(Accounts!$C$2:$C$201,$A643)+COUNTIF('Service Principals'!$C$2:$C$201,$A643)+COUNTIF('Managed Identities'!$C$2:$C$201,$A643)&gt;0,"Yes","NOT IN INVENTORY"))</f>
        <v/>
      </c>
    </row>
    <row r="644" customFormat="false" ht="15" hidden="false" customHeight="false" outlineLevel="0" collapsed="false">
      <c r="A644" s="46"/>
      <c r="B644" s="46"/>
      <c r="C644" s="47"/>
      <c r="D644" s="47"/>
      <c r="E644" s="46"/>
      <c r="F644" s="46"/>
      <c r="G644" s="47"/>
      <c r="H644" s="47"/>
      <c r="I644" s="47"/>
      <c r="J644" s="45" t="str">
        <f aca="false">IF($A644="","",IF(COUNTIF(Accounts!$C$2:$C$201,$A644)+COUNTIF('Service Principals'!$C$2:$C$201,$A644)+COUNTIF('Managed Identities'!$C$2:$C$201,$A644)&gt;0,"Yes","NOT IN INVENTORY"))</f>
        <v/>
      </c>
    </row>
    <row r="645" customFormat="false" ht="15" hidden="false" customHeight="false" outlineLevel="0" collapsed="false">
      <c r="A645" s="46"/>
      <c r="B645" s="46"/>
      <c r="C645" s="47"/>
      <c r="D645" s="47"/>
      <c r="E645" s="46"/>
      <c r="F645" s="46"/>
      <c r="G645" s="47"/>
      <c r="H645" s="47"/>
      <c r="I645" s="47"/>
      <c r="J645" s="45" t="str">
        <f aca="false">IF($A645="","",IF(COUNTIF(Accounts!$C$2:$C$201,$A645)+COUNTIF('Service Principals'!$C$2:$C$201,$A645)+COUNTIF('Managed Identities'!$C$2:$C$201,$A645)&gt;0,"Yes","NOT IN INVENTORY"))</f>
        <v/>
      </c>
    </row>
    <row r="646" customFormat="false" ht="15" hidden="false" customHeight="false" outlineLevel="0" collapsed="false">
      <c r="A646" s="46"/>
      <c r="B646" s="46"/>
      <c r="C646" s="47"/>
      <c r="D646" s="47"/>
      <c r="E646" s="46"/>
      <c r="F646" s="46"/>
      <c r="G646" s="47"/>
      <c r="H646" s="47"/>
      <c r="I646" s="47"/>
      <c r="J646" s="45" t="str">
        <f aca="false">IF($A646="","",IF(COUNTIF(Accounts!$C$2:$C$201,$A646)+COUNTIF('Service Principals'!$C$2:$C$201,$A646)+COUNTIF('Managed Identities'!$C$2:$C$201,$A646)&gt;0,"Yes","NOT IN INVENTORY"))</f>
        <v/>
      </c>
    </row>
    <row r="647" customFormat="false" ht="15" hidden="false" customHeight="false" outlineLevel="0" collapsed="false">
      <c r="A647" s="46"/>
      <c r="B647" s="46"/>
      <c r="C647" s="47"/>
      <c r="D647" s="47"/>
      <c r="E647" s="46"/>
      <c r="F647" s="46"/>
      <c r="G647" s="47"/>
      <c r="H647" s="47"/>
      <c r="I647" s="47"/>
      <c r="J647" s="45" t="str">
        <f aca="false">IF($A647="","",IF(COUNTIF(Accounts!$C$2:$C$201,$A647)+COUNTIF('Service Principals'!$C$2:$C$201,$A647)+COUNTIF('Managed Identities'!$C$2:$C$201,$A647)&gt;0,"Yes","NOT IN INVENTORY"))</f>
        <v/>
      </c>
    </row>
    <row r="648" customFormat="false" ht="15" hidden="false" customHeight="false" outlineLevel="0" collapsed="false">
      <c r="A648" s="46"/>
      <c r="B648" s="46"/>
      <c r="C648" s="47"/>
      <c r="D648" s="47"/>
      <c r="E648" s="46"/>
      <c r="F648" s="46"/>
      <c r="G648" s="47"/>
      <c r="H648" s="47"/>
      <c r="I648" s="47"/>
      <c r="J648" s="45" t="str">
        <f aca="false">IF($A648="","",IF(COUNTIF(Accounts!$C$2:$C$201,$A648)+COUNTIF('Service Principals'!$C$2:$C$201,$A648)+COUNTIF('Managed Identities'!$C$2:$C$201,$A648)&gt;0,"Yes","NOT IN INVENTORY"))</f>
        <v/>
      </c>
    </row>
    <row r="649" customFormat="false" ht="15" hidden="false" customHeight="false" outlineLevel="0" collapsed="false">
      <c r="A649" s="46"/>
      <c r="B649" s="46"/>
      <c r="C649" s="47"/>
      <c r="D649" s="47"/>
      <c r="E649" s="46"/>
      <c r="F649" s="46"/>
      <c r="G649" s="47"/>
      <c r="H649" s="47"/>
      <c r="I649" s="47"/>
      <c r="J649" s="45" t="str">
        <f aca="false">IF($A649="","",IF(COUNTIF(Accounts!$C$2:$C$201,$A649)+COUNTIF('Service Principals'!$C$2:$C$201,$A649)+COUNTIF('Managed Identities'!$C$2:$C$201,$A649)&gt;0,"Yes","NOT IN INVENTORY"))</f>
        <v/>
      </c>
    </row>
    <row r="650" customFormat="false" ht="15" hidden="false" customHeight="false" outlineLevel="0" collapsed="false">
      <c r="A650" s="46"/>
      <c r="B650" s="46"/>
      <c r="C650" s="47"/>
      <c r="D650" s="47"/>
      <c r="E650" s="46"/>
      <c r="F650" s="46"/>
      <c r="G650" s="47"/>
      <c r="H650" s="47"/>
      <c r="I650" s="47"/>
      <c r="J650" s="45" t="str">
        <f aca="false">IF($A650="","",IF(COUNTIF(Accounts!$C$2:$C$201,$A650)+COUNTIF('Service Principals'!$C$2:$C$201,$A650)+COUNTIF('Managed Identities'!$C$2:$C$201,$A650)&gt;0,"Yes","NOT IN INVENTORY"))</f>
        <v/>
      </c>
    </row>
    <row r="651" customFormat="false" ht="15" hidden="false" customHeight="false" outlineLevel="0" collapsed="false">
      <c r="A651" s="46"/>
      <c r="B651" s="46"/>
      <c r="C651" s="47"/>
      <c r="D651" s="47"/>
      <c r="E651" s="46"/>
      <c r="F651" s="46"/>
      <c r="G651" s="47"/>
      <c r="H651" s="47"/>
      <c r="I651" s="47"/>
      <c r="J651" s="45" t="str">
        <f aca="false">IF($A651="","",IF(COUNTIF(Accounts!$C$2:$C$201,$A651)+COUNTIF('Service Principals'!$C$2:$C$201,$A651)+COUNTIF('Managed Identities'!$C$2:$C$201,$A651)&gt;0,"Yes","NOT IN INVENTORY"))</f>
        <v/>
      </c>
    </row>
    <row r="652" customFormat="false" ht="15" hidden="false" customHeight="false" outlineLevel="0" collapsed="false">
      <c r="A652" s="46"/>
      <c r="B652" s="46"/>
      <c r="C652" s="47"/>
      <c r="D652" s="47"/>
      <c r="E652" s="46"/>
      <c r="F652" s="46"/>
      <c r="G652" s="47"/>
      <c r="H652" s="47"/>
      <c r="I652" s="47"/>
      <c r="J652" s="45" t="str">
        <f aca="false">IF($A652="","",IF(COUNTIF(Accounts!$C$2:$C$201,$A652)+COUNTIF('Service Principals'!$C$2:$C$201,$A652)+COUNTIF('Managed Identities'!$C$2:$C$201,$A652)&gt;0,"Yes","NOT IN INVENTORY"))</f>
        <v/>
      </c>
    </row>
    <row r="653" customFormat="false" ht="15" hidden="false" customHeight="false" outlineLevel="0" collapsed="false">
      <c r="A653" s="46"/>
      <c r="B653" s="46"/>
      <c r="C653" s="47"/>
      <c r="D653" s="47"/>
      <c r="E653" s="46"/>
      <c r="F653" s="46"/>
      <c r="G653" s="47"/>
      <c r="H653" s="47"/>
      <c r="I653" s="47"/>
      <c r="J653" s="45" t="str">
        <f aca="false">IF($A653="","",IF(COUNTIF(Accounts!$C$2:$C$201,$A653)+COUNTIF('Service Principals'!$C$2:$C$201,$A653)+COUNTIF('Managed Identities'!$C$2:$C$201,$A653)&gt;0,"Yes","NOT IN INVENTORY"))</f>
        <v/>
      </c>
    </row>
    <row r="654" customFormat="false" ht="15" hidden="false" customHeight="false" outlineLevel="0" collapsed="false">
      <c r="A654" s="46"/>
      <c r="B654" s="46"/>
      <c r="C654" s="47"/>
      <c r="D654" s="47"/>
      <c r="E654" s="46"/>
      <c r="F654" s="46"/>
      <c r="G654" s="47"/>
      <c r="H654" s="47"/>
      <c r="I654" s="47"/>
      <c r="J654" s="45" t="str">
        <f aca="false">IF($A654="","",IF(COUNTIF(Accounts!$C$2:$C$201,$A654)+COUNTIF('Service Principals'!$C$2:$C$201,$A654)+COUNTIF('Managed Identities'!$C$2:$C$201,$A654)&gt;0,"Yes","NOT IN INVENTORY"))</f>
        <v/>
      </c>
    </row>
    <row r="655" customFormat="false" ht="15" hidden="false" customHeight="false" outlineLevel="0" collapsed="false">
      <c r="A655" s="46"/>
      <c r="B655" s="46"/>
      <c r="C655" s="47"/>
      <c r="D655" s="47"/>
      <c r="E655" s="46"/>
      <c r="F655" s="46"/>
      <c r="G655" s="47"/>
      <c r="H655" s="47"/>
      <c r="I655" s="47"/>
      <c r="J655" s="45" t="str">
        <f aca="false">IF($A655="","",IF(COUNTIF(Accounts!$C$2:$C$201,$A655)+COUNTIF('Service Principals'!$C$2:$C$201,$A655)+COUNTIF('Managed Identities'!$C$2:$C$201,$A655)&gt;0,"Yes","NOT IN INVENTORY"))</f>
        <v/>
      </c>
    </row>
    <row r="656" customFormat="false" ht="15" hidden="false" customHeight="false" outlineLevel="0" collapsed="false">
      <c r="A656" s="46"/>
      <c r="B656" s="46"/>
      <c r="C656" s="47"/>
      <c r="D656" s="47"/>
      <c r="E656" s="46"/>
      <c r="F656" s="46"/>
      <c r="G656" s="47"/>
      <c r="H656" s="47"/>
      <c r="I656" s="47"/>
      <c r="J656" s="45" t="str">
        <f aca="false">IF($A656="","",IF(COUNTIF(Accounts!$C$2:$C$201,$A656)+COUNTIF('Service Principals'!$C$2:$C$201,$A656)+COUNTIF('Managed Identities'!$C$2:$C$201,$A656)&gt;0,"Yes","NOT IN INVENTORY"))</f>
        <v/>
      </c>
    </row>
    <row r="657" customFormat="false" ht="15" hidden="false" customHeight="false" outlineLevel="0" collapsed="false">
      <c r="A657" s="46"/>
      <c r="B657" s="46"/>
      <c r="C657" s="47"/>
      <c r="D657" s="47"/>
      <c r="E657" s="46"/>
      <c r="F657" s="46"/>
      <c r="G657" s="47"/>
      <c r="H657" s="47"/>
      <c r="I657" s="47"/>
      <c r="J657" s="45" t="str">
        <f aca="false">IF($A657="","",IF(COUNTIF(Accounts!$C$2:$C$201,$A657)+COUNTIF('Service Principals'!$C$2:$C$201,$A657)+COUNTIF('Managed Identities'!$C$2:$C$201,$A657)&gt;0,"Yes","NOT IN INVENTORY"))</f>
        <v/>
      </c>
    </row>
    <row r="658" customFormat="false" ht="15" hidden="false" customHeight="false" outlineLevel="0" collapsed="false">
      <c r="A658" s="46"/>
      <c r="B658" s="46"/>
      <c r="C658" s="47"/>
      <c r="D658" s="47"/>
      <c r="E658" s="46"/>
      <c r="F658" s="46"/>
      <c r="G658" s="47"/>
      <c r="H658" s="47"/>
      <c r="I658" s="47"/>
      <c r="J658" s="45" t="str">
        <f aca="false">IF($A658="","",IF(COUNTIF(Accounts!$C$2:$C$201,$A658)+COUNTIF('Service Principals'!$C$2:$C$201,$A658)+COUNTIF('Managed Identities'!$C$2:$C$201,$A658)&gt;0,"Yes","NOT IN INVENTORY"))</f>
        <v/>
      </c>
    </row>
    <row r="659" customFormat="false" ht="15" hidden="false" customHeight="false" outlineLevel="0" collapsed="false">
      <c r="A659" s="46"/>
      <c r="B659" s="46"/>
      <c r="C659" s="47"/>
      <c r="D659" s="47"/>
      <c r="E659" s="46"/>
      <c r="F659" s="46"/>
      <c r="G659" s="47"/>
      <c r="H659" s="47"/>
      <c r="I659" s="47"/>
      <c r="J659" s="45" t="str">
        <f aca="false">IF($A659="","",IF(COUNTIF(Accounts!$C$2:$C$201,$A659)+COUNTIF('Service Principals'!$C$2:$C$201,$A659)+COUNTIF('Managed Identities'!$C$2:$C$201,$A659)&gt;0,"Yes","NOT IN INVENTORY"))</f>
        <v/>
      </c>
    </row>
    <row r="660" customFormat="false" ht="15" hidden="false" customHeight="false" outlineLevel="0" collapsed="false">
      <c r="A660" s="46"/>
      <c r="B660" s="46"/>
      <c r="C660" s="47"/>
      <c r="D660" s="47"/>
      <c r="E660" s="46"/>
      <c r="F660" s="46"/>
      <c r="G660" s="47"/>
      <c r="H660" s="47"/>
      <c r="I660" s="47"/>
      <c r="J660" s="45" t="str">
        <f aca="false">IF($A660="","",IF(COUNTIF(Accounts!$C$2:$C$201,$A660)+COUNTIF('Service Principals'!$C$2:$C$201,$A660)+COUNTIF('Managed Identities'!$C$2:$C$201,$A660)&gt;0,"Yes","NOT IN INVENTORY"))</f>
        <v/>
      </c>
    </row>
    <row r="661" customFormat="false" ht="15" hidden="false" customHeight="false" outlineLevel="0" collapsed="false">
      <c r="A661" s="46"/>
      <c r="B661" s="46"/>
      <c r="C661" s="47"/>
      <c r="D661" s="47"/>
      <c r="E661" s="46"/>
      <c r="F661" s="46"/>
      <c r="G661" s="47"/>
      <c r="H661" s="47"/>
      <c r="I661" s="47"/>
      <c r="J661" s="45" t="str">
        <f aca="false">IF($A661="","",IF(COUNTIF(Accounts!$C$2:$C$201,$A661)+COUNTIF('Service Principals'!$C$2:$C$201,$A661)+COUNTIF('Managed Identities'!$C$2:$C$201,$A661)&gt;0,"Yes","NOT IN INVENTORY"))</f>
        <v/>
      </c>
    </row>
    <row r="662" customFormat="false" ht="15" hidden="false" customHeight="false" outlineLevel="0" collapsed="false">
      <c r="A662" s="46"/>
      <c r="B662" s="46"/>
      <c r="C662" s="47"/>
      <c r="D662" s="47"/>
      <c r="E662" s="46"/>
      <c r="F662" s="46"/>
      <c r="G662" s="47"/>
      <c r="H662" s="47"/>
      <c r="I662" s="47"/>
      <c r="J662" s="45" t="str">
        <f aca="false">IF($A662="","",IF(COUNTIF(Accounts!$C$2:$C$201,$A662)+COUNTIF('Service Principals'!$C$2:$C$201,$A662)+COUNTIF('Managed Identities'!$C$2:$C$201,$A662)&gt;0,"Yes","NOT IN INVENTORY"))</f>
        <v/>
      </c>
    </row>
    <row r="663" customFormat="false" ht="15" hidden="false" customHeight="false" outlineLevel="0" collapsed="false">
      <c r="A663" s="46"/>
      <c r="B663" s="46"/>
      <c r="C663" s="47"/>
      <c r="D663" s="47"/>
      <c r="E663" s="46"/>
      <c r="F663" s="46"/>
      <c r="G663" s="47"/>
      <c r="H663" s="47"/>
      <c r="I663" s="47"/>
      <c r="J663" s="45" t="str">
        <f aca="false">IF($A663="","",IF(COUNTIF(Accounts!$C$2:$C$201,$A663)+COUNTIF('Service Principals'!$C$2:$C$201,$A663)+COUNTIF('Managed Identities'!$C$2:$C$201,$A663)&gt;0,"Yes","NOT IN INVENTORY"))</f>
        <v/>
      </c>
    </row>
    <row r="664" customFormat="false" ht="15" hidden="false" customHeight="false" outlineLevel="0" collapsed="false">
      <c r="A664" s="46"/>
      <c r="B664" s="46"/>
      <c r="C664" s="47"/>
      <c r="D664" s="47"/>
      <c r="E664" s="46"/>
      <c r="F664" s="46"/>
      <c r="G664" s="47"/>
      <c r="H664" s="47"/>
      <c r="I664" s="47"/>
      <c r="J664" s="45" t="str">
        <f aca="false">IF($A664="","",IF(COUNTIF(Accounts!$C$2:$C$201,$A664)+COUNTIF('Service Principals'!$C$2:$C$201,$A664)+COUNTIF('Managed Identities'!$C$2:$C$201,$A664)&gt;0,"Yes","NOT IN INVENTORY"))</f>
        <v/>
      </c>
    </row>
    <row r="665" customFormat="false" ht="15" hidden="false" customHeight="false" outlineLevel="0" collapsed="false">
      <c r="A665" s="46"/>
      <c r="B665" s="46"/>
      <c r="C665" s="47"/>
      <c r="D665" s="47"/>
      <c r="E665" s="46"/>
      <c r="F665" s="46"/>
      <c r="G665" s="47"/>
      <c r="H665" s="47"/>
      <c r="I665" s="47"/>
      <c r="J665" s="45" t="str">
        <f aca="false">IF($A665="","",IF(COUNTIF(Accounts!$C$2:$C$201,$A665)+COUNTIF('Service Principals'!$C$2:$C$201,$A665)+COUNTIF('Managed Identities'!$C$2:$C$201,$A665)&gt;0,"Yes","NOT IN INVENTORY"))</f>
        <v/>
      </c>
    </row>
    <row r="666" customFormat="false" ht="15" hidden="false" customHeight="false" outlineLevel="0" collapsed="false">
      <c r="A666" s="46"/>
      <c r="B666" s="46"/>
      <c r="C666" s="47"/>
      <c r="D666" s="47"/>
      <c r="E666" s="46"/>
      <c r="F666" s="46"/>
      <c r="G666" s="47"/>
      <c r="H666" s="47"/>
      <c r="I666" s="47"/>
      <c r="J666" s="45" t="str">
        <f aca="false">IF($A666="","",IF(COUNTIF(Accounts!$C$2:$C$201,$A666)+COUNTIF('Service Principals'!$C$2:$C$201,$A666)+COUNTIF('Managed Identities'!$C$2:$C$201,$A666)&gt;0,"Yes","NOT IN INVENTORY"))</f>
        <v/>
      </c>
    </row>
    <row r="667" customFormat="false" ht="15" hidden="false" customHeight="false" outlineLevel="0" collapsed="false">
      <c r="A667" s="46"/>
      <c r="B667" s="46"/>
      <c r="C667" s="47"/>
      <c r="D667" s="47"/>
      <c r="E667" s="46"/>
      <c r="F667" s="46"/>
      <c r="G667" s="47"/>
      <c r="H667" s="47"/>
      <c r="I667" s="47"/>
      <c r="J667" s="45" t="str">
        <f aca="false">IF($A667="","",IF(COUNTIF(Accounts!$C$2:$C$201,$A667)+COUNTIF('Service Principals'!$C$2:$C$201,$A667)+COUNTIF('Managed Identities'!$C$2:$C$201,$A667)&gt;0,"Yes","NOT IN INVENTORY"))</f>
        <v/>
      </c>
    </row>
    <row r="668" customFormat="false" ht="15" hidden="false" customHeight="false" outlineLevel="0" collapsed="false">
      <c r="A668" s="46"/>
      <c r="B668" s="46"/>
      <c r="C668" s="47"/>
      <c r="D668" s="47"/>
      <c r="E668" s="46"/>
      <c r="F668" s="46"/>
      <c r="G668" s="47"/>
      <c r="H668" s="47"/>
      <c r="I668" s="47"/>
      <c r="J668" s="45" t="str">
        <f aca="false">IF($A668="","",IF(COUNTIF(Accounts!$C$2:$C$201,$A668)+COUNTIF('Service Principals'!$C$2:$C$201,$A668)+COUNTIF('Managed Identities'!$C$2:$C$201,$A668)&gt;0,"Yes","NOT IN INVENTORY"))</f>
        <v/>
      </c>
    </row>
    <row r="669" customFormat="false" ht="15" hidden="false" customHeight="false" outlineLevel="0" collapsed="false">
      <c r="A669" s="46"/>
      <c r="B669" s="46"/>
      <c r="C669" s="47"/>
      <c r="D669" s="47"/>
      <c r="E669" s="46"/>
      <c r="F669" s="46"/>
      <c r="G669" s="47"/>
      <c r="H669" s="47"/>
      <c r="I669" s="47"/>
      <c r="J669" s="45" t="str">
        <f aca="false">IF($A669="","",IF(COUNTIF(Accounts!$C$2:$C$201,$A669)+COUNTIF('Service Principals'!$C$2:$C$201,$A669)+COUNTIF('Managed Identities'!$C$2:$C$201,$A669)&gt;0,"Yes","NOT IN INVENTORY"))</f>
        <v/>
      </c>
    </row>
    <row r="670" customFormat="false" ht="15" hidden="false" customHeight="false" outlineLevel="0" collapsed="false">
      <c r="A670" s="46"/>
      <c r="B670" s="46"/>
      <c r="C670" s="47"/>
      <c r="D670" s="47"/>
      <c r="E670" s="46"/>
      <c r="F670" s="46"/>
      <c r="G670" s="47"/>
      <c r="H670" s="47"/>
      <c r="I670" s="47"/>
      <c r="J670" s="45" t="str">
        <f aca="false">IF($A670="","",IF(COUNTIF(Accounts!$C$2:$C$201,$A670)+COUNTIF('Service Principals'!$C$2:$C$201,$A670)+COUNTIF('Managed Identities'!$C$2:$C$201,$A670)&gt;0,"Yes","NOT IN INVENTORY"))</f>
        <v/>
      </c>
    </row>
    <row r="671" customFormat="false" ht="15" hidden="false" customHeight="false" outlineLevel="0" collapsed="false">
      <c r="A671" s="46"/>
      <c r="B671" s="46"/>
      <c r="C671" s="47"/>
      <c r="D671" s="47"/>
      <c r="E671" s="46"/>
      <c r="F671" s="46"/>
      <c r="G671" s="47"/>
      <c r="H671" s="47"/>
      <c r="I671" s="47"/>
      <c r="J671" s="45" t="str">
        <f aca="false">IF($A671="","",IF(COUNTIF(Accounts!$C$2:$C$201,$A671)+COUNTIF('Service Principals'!$C$2:$C$201,$A671)+COUNTIF('Managed Identities'!$C$2:$C$201,$A671)&gt;0,"Yes","NOT IN INVENTORY"))</f>
        <v/>
      </c>
    </row>
    <row r="672" customFormat="false" ht="15" hidden="false" customHeight="false" outlineLevel="0" collapsed="false">
      <c r="A672" s="46"/>
      <c r="B672" s="46"/>
      <c r="C672" s="47"/>
      <c r="D672" s="47"/>
      <c r="E672" s="46"/>
      <c r="F672" s="46"/>
      <c r="G672" s="47"/>
      <c r="H672" s="47"/>
      <c r="I672" s="47"/>
      <c r="J672" s="45" t="str">
        <f aca="false">IF($A672="","",IF(COUNTIF(Accounts!$C$2:$C$201,$A672)+COUNTIF('Service Principals'!$C$2:$C$201,$A672)+COUNTIF('Managed Identities'!$C$2:$C$201,$A672)&gt;0,"Yes","NOT IN INVENTORY"))</f>
        <v/>
      </c>
    </row>
    <row r="673" customFormat="false" ht="15" hidden="false" customHeight="false" outlineLevel="0" collapsed="false">
      <c r="A673" s="46"/>
      <c r="B673" s="46"/>
      <c r="C673" s="47"/>
      <c r="D673" s="47"/>
      <c r="E673" s="46"/>
      <c r="F673" s="46"/>
      <c r="G673" s="47"/>
      <c r="H673" s="47"/>
      <c r="I673" s="47"/>
      <c r="J673" s="45" t="str">
        <f aca="false">IF($A673="","",IF(COUNTIF(Accounts!$C$2:$C$201,$A673)+COUNTIF('Service Principals'!$C$2:$C$201,$A673)+COUNTIF('Managed Identities'!$C$2:$C$201,$A673)&gt;0,"Yes","NOT IN INVENTORY"))</f>
        <v/>
      </c>
    </row>
    <row r="674" customFormat="false" ht="15" hidden="false" customHeight="false" outlineLevel="0" collapsed="false">
      <c r="A674" s="46"/>
      <c r="B674" s="46"/>
      <c r="C674" s="47"/>
      <c r="D674" s="47"/>
      <c r="E674" s="46"/>
      <c r="F674" s="46"/>
      <c r="G674" s="47"/>
      <c r="H674" s="47"/>
      <c r="I674" s="47"/>
      <c r="J674" s="45" t="str">
        <f aca="false">IF($A674="","",IF(COUNTIF(Accounts!$C$2:$C$201,$A674)+COUNTIF('Service Principals'!$C$2:$C$201,$A674)+COUNTIF('Managed Identities'!$C$2:$C$201,$A674)&gt;0,"Yes","NOT IN INVENTORY"))</f>
        <v/>
      </c>
    </row>
    <row r="675" customFormat="false" ht="15" hidden="false" customHeight="false" outlineLevel="0" collapsed="false">
      <c r="A675" s="46"/>
      <c r="B675" s="46"/>
      <c r="C675" s="47"/>
      <c r="D675" s="47"/>
      <c r="E675" s="46"/>
      <c r="F675" s="46"/>
      <c r="G675" s="47"/>
      <c r="H675" s="47"/>
      <c r="I675" s="47"/>
      <c r="J675" s="45" t="str">
        <f aca="false">IF($A675="","",IF(COUNTIF(Accounts!$C$2:$C$201,$A675)+COUNTIF('Service Principals'!$C$2:$C$201,$A675)+COUNTIF('Managed Identities'!$C$2:$C$201,$A675)&gt;0,"Yes","NOT IN INVENTORY"))</f>
        <v/>
      </c>
    </row>
    <row r="676" customFormat="false" ht="15" hidden="false" customHeight="false" outlineLevel="0" collapsed="false">
      <c r="A676" s="46"/>
      <c r="B676" s="46"/>
      <c r="C676" s="47"/>
      <c r="D676" s="47"/>
      <c r="E676" s="46"/>
      <c r="F676" s="46"/>
      <c r="G676" s="47"/>
      <c r="H676" s="47"/>
      <c r="I676" s="47"/>
      <c r="J676" s="45" t="str">
        <f aca="false">IF($A676="","",IF(COUNTIF(Accounts!$C$2:$C$201,$A676)+COUNTIF('Service Principals'!$C$2:$C$201,$A676)+COUNTIF('Managed Identities'!$C$2:$C$201,$A676)&gt;0,"Yes","NOT IN INVENTORY"))</f>
        <v/>
      </c>
    </row>
    <row r="677" customFormat="false" ht="15" hidden="false" customHeight="false" outlineLevel="0" collapsed="false">
      <c r="A677" s="46"/>
      <c r="B677" s="46"/>
      <c r="C677" s="47"/>
      <c r="D677" s="47"/>
      <c r="E677" s="46"/>
      <c r="F677" s="46"/>
      <c r="G677" s="47"/>
      <c r="H677" s="47"/>
      <c r="I677" s="47"/>
      <c r="J677" s="45" t="str">
        <f aca="false">IF($A677="","",IF(COUNTIF(Accounts!$C$2:$C$201,$A677)+COUNTIF('Service Principals'!$C$2:$C$201,$A677)+COUNTIF('Managed Identities'!$C$2:$C$201,$A677)&gt;0,"Yes","NOT IN INVENTORY"))</f>
        <v/>
      </c>
    </row>
    <row r="678" customFormat="false" ht="15" hidden="false" customHeight="false" outlineLevel="0" collapsed="false">
      <c r="A678" s="46"/>
      <c r="B678" s="46"/>
      <c r="C678" s="47"/>
      <c r="D678" s="47"/>
      <c r="E678" s="46"/>
      <c r="F678" s="46"/>
      <c r="G678" s="47"/>
      <c r="H678" s="47"/>
      <c r="I678" s="47"/>
      <c r="J678" s="45" t="str">
        <f aca="false">IF($A678="","",IF(COUNTIF(Accounts!$C$2:$C$201,$A678)+COUNTIF('Service Principals'!$C$2:$C$201,$A678)+COUNTIF('Managed Identities'!$C$2:$C$201,$A678)&gt;0,"Yes","NOT IN INVENTORY"))</f>
        <v/>
      </c>
    </row>
    <row r="679" customFormat="false" ht="15" hidden="false" customHeight="false" outlineLevel="0" collapsed="false">
      <c r="A679" s="46"/>
      <c r="B679" s="46"/>
      <c r="C679" s="47"/>
      <c r="D679" s="47"/>
      <c r="E679" s="46"/>
      <c r="F679" s="46"/>
      <c r="G679" s="47"/>
      <c r="H679" s="47"/>
      <c r="I679" s="47"/>
      <c r="J679" s="45" t="str">
        <f aca="false">IF($A679="","",IF(COUNTIF(Accounts!$C$2:$C$201,$A679)+COUNTIF('Service Principals'!$C$2:$C$201,$A679)+COUNTIF('Managed Identities'!$C$2:$C$201,$A679)&gt;0,"Yes","NOT IN INVENTORY"))</f>
        <v/>
      </c>
    </row>
    <row r="680" customFormat="false" ht="15" hidden="false" customHeight="false" outlineLevel="0" collapsed="false">
      <c r="A680" s="46"/>
      <c r="B680" s="46"/>
      <c r="C680" s="47"/>
      <c r="D680" s="47"/>
      <c r="E680" s="46"/>
      <c r="F680" s="46"/>
      <c r="G680" s="47"/>
      <c r="H680" s="47"/>
      <c r="I680" s="47"/>
      <c r="J680" s="45" t="str">
        <f aca="false">IF($A680="","",IF(COUNTIF(Accounts!$C$2:$C$201,$A680)+COUNTIF('Service Principals'!$C$2:$C$201,$A680)+COUNTIF('Managed Identities'!$C$2:$C$201,$A680)&gt;0,"Yes","NOT IN INVENTORY"))</f>
        <v/>
      </c>
    </row>
    <row r="681" customFormat="false" ht="15" hidden="false" customHeight="false" outlineLevel="0" collapsed="false">
      <c r="A681" s="46"/>
      <c r="B681" s="46"/>
      <c r="C681" s="47"/>
      <c r="D681" s="47"/>
      <c r="E681" s="46"/>
      <c r="F681" s="46"/>
      <c r="G681" s="47"/>
      <c r="H681" s="47"/>
      <c r="I681" s="47"/>
      <c r="J681" s="45" t="str">
        <f aca="false">IF($A681="","",IF(COUNTIF(Accounts!$C$2:$C$201,$A681)+COUNTIF('Service Principals'!$C$2:$C$201,$A681)+COUNTIF('Managed Identities'!$C$2:$C$201,$A681)&gt;0,"Yes","NOT IN INVENTORY"))</f>
        <v/>
      </c>
    </row>
    <row r="682" customFormat="false" ht="15" hidden="false" customHeight="false" outlineLevel="0" collapsed="false">
      <c r="A682" s="46"/>
      <c r="B682" s="46"/>
      <c r="C682" s="47"/>
      <c r="D682" s="47"/>
      <c r="E682" s="46"/>
      <c r="F682" s="46"/>
      <c r="G682" s="47"/>
      <c r="H682" s="47"/>
      <c r="I682" s="47"/>
      <c r="J682" s="45" t="str">
        <f aca="false">IF($A682="","",IF(COUNTIF(Accounts!$C$2:$C$201,$A682)+COUNTIF('Service Principals'!$C$2:$C$201,$A682)+COUNTIF('Managed Identities'!$C$2:$C$201,$A682)&gt;0,"Yes","NOT IN INVENTORY"))</f>
        <v/>
      </c>
    </row>
    <row r="683" customFormat="false" ht="15" hidden="false" customHeight="false" outlineLevel="0" collapsed="false">
      <c r="A683" s="46"/>
      <c r="B683" s="46"/>
      <c r="C683" s="47"/>
      <c r="D683" s="47"/>
      <c r="E683" s="46"/>
      <c r="F683" s="46"/>
      <c r="G683" s="47"/>
      <c r="H683" s="47"/>
      <c r="I683" s="47"/>
      <c r="J683" s="45" t="str">
        <f aca="false">IF($A683="","",IF(COUNTIF(Accounts!$C$2:$C$201,$A683)+COUNTIF('Service Principals'!$C$2:$C$201,$A683)+COUNTIF('Managed Identities'!$C$2:$C$201,$A683)&gt;0,"Yes","NOT IN INVENTORY"))</f>
        <v/>
      </c>
    </row>
    <row r="684" customFormat="false" ht="15" hidden="false" customHeight="false" outlineLevel="0" collapsed="false">
      <c r="A684" s="46"/>
      <c r="B684" s="46"/>
      <c r="C684" s="47"/>
      <c r="D684" s="47"/>
      <c r="E684" s="46"/>
      <c r="F684" s="46"/>
      <c r="G684" s="47"/>
      <c r="H684" s="47"/>
      <c r="I684" s="47"/>
      <c r="J684" s="45" t="str">
        <f aca="false">IF($A684="","",IF(COUNTIF(Accounts!$C$2:$C$201,$A684)+COUNTIF('Service Principals'!$C$2:$C$201,$A684)+COUNTIF('Managed Identities'!$C$2:$C$201,$A684)&gt;0,"Yes","NOT IN INVENTORY"))</f>
        <v/>
      </c>
    </row>
    <row r="685" customFormat="false" ht="15" hidden="false" customHeight="false" outlineLevel="0" collapsed="false">
      <c r="A685" s="46"/>
      <c r="B685" s="46"/>
      <c r="C685" s="47"/>
      <c r="D685" s="47"/>
      <c r="E685" s="46"/>
      <c r="F685" s="46"/>
      <c r="G685" s="47"/>
      <c r="H685" s="47"/>
      <c r="I685" s="47"/>
      <c r="J685" s="45" t="str">
        <f aca="false">IF($A685="","",IF(COUNTIF(Accounts!$C$2:$C$201,$A685)+COUNTIF('Service Principals'!$C$2:$C$201,$A685)+COUNTIF('Managed Identities'!$C$2:$C$201,$A685)&gt;0,"Yes","NOT IN INVENTORY"))</f>
        <v/>
      </c>
    </row>
    <row r="686" customFormat="false" ht="15" hidden="false" customHeight="false" outlineLevel="0" collapsed="false">
      <c r="A686" s="46"/>
      <c r="B686" s="46"/>
      <c r="C686" s="47"/>
      <c r="D686" s="47"/>
      <c r="E686" s="46"/>
      <c r="F686" s="46"/>
      <c r="G686" s="47"/>
      <c r="H686" s="47"/>
      <c r="I686" s="47"/>
      <c r="J686" s="45" t="str">
        <f aca="false">IF($A686="","",IF(COUNTIF(Accounts!$C$2:$C$201,$A686)+COUNTIF('Service Principals'!$C$2:$C$201,$A686)+COUNTIF('Managed Identities'!$C$2:$C$201,$A686)&gt;0,"Yes","NOT IN INVENTORY"))</f>
        <v/>
      </c>
    </row>
    <row r="687" customFormat="false" ht="15" hidden="false" customHeight="false" outlineLevel="0" collapsed="false">
      <c r="A687" s="46"/>
      <c r="B687" s="46"/>
      <c r="C687" s="47"/>
      <c r="D687" s="47"/>
      <c r="E687" s="46"/>
      <c r="F687" s="46"/>
      <c r="G687" s="47"/>
      <c r="H687" s="47"/>
      <c r="I687" s="47"/>
      <c r="J687" s="45" t="str">
        <f aca="false">IF($A687="","",IF(COUNTIF(Accounts!$C$2:$C$201,$A687)+COUNTIF('Service Principals'!$C$2:$C$201,$A687)+COUNTIF('Managed Identities'!$C$2:$C$201,$A687)&gt;0,"Yes","NOT IN INVENTORY"))</f>
        <v/>
      </c>
    </row>
    <row r="688" customFormat="false" ht="15" hidden="false" customHeight="false" outlineLevel="0" collapsed="false">
      <c r="A688" s="46"/>
      <c r="B688" s="46"/>
      <c r="C688" s="47"/>
      <c r="D688" s="47"/>
      <c r="E688" s="46"/>
      <c r="F688" s="46"/>
      <c r="G688" s="47"/>
      <c r="H688" s="47"/>
      <c r="I688" s="47"/>
      <c r="J688" s="45" t="str">
        <f aca="false">IF($A688="","",IF(COUNTIF(Accounts!$C$2:$C$201,$A688)+COUNTIF('Service Principals'!$C$2:$C$201,$A688)+COUNTIF('Managed Identities'!$C$2:$C$201,$A688)&gt;0,"Yes","NOT IN INVENTORY"))</f>
        <v/>
      </c>
    </row>
    <row r="689" customFormat="false" ht="15" hidden="false" customHeight="false" outlineLevel="0" collapsed="false">
      <c r="A689" s="46"/>
      <c r="B689" s="46"/>
      <c r="C689" s="47"/>
      <c r="D689" s="47"/>
      <c r="E689" s="46"/>
      <c r="F689" s="46"/>
      <c r="G689" s="47"/>
      <c r="H689" s="47"/>
      <c r="I689" s="47"/>
      <c r="J689" s="45" t="str">
        <f aca="false">IF($A689="","",IF(COUNTIF(Accounts!$C$2:$C$201,$A689)+COUNTIF('Service Principals'!$C$2:$C$201,$A689)+COUNTIF('Managed Identities'!$C$2:$C$201,$A689)&gt;0,"Yes","NOT IN INVENTORY"))</f>
        <v/>
      </c>
    </row>
    <row r="690" customFormat="false" ht="15" hidden="false" customHeight="false" outlineLevel="0" collapsed="false">
      <c r="A690" s="46"/>
      <c r="B690" s="46"/>
      <c r="C690" s="47"/>
      <c r="D690" s="47"/>
      <c r="E690" s="46"/>
      <c r="F690" s="46"/>
      <c r="G690" s="47"/>
      <c r="H690" s="47"/>
      <c r="I690" s="47"/>
      <c r="J690" s="45" t="str">
        <f aca="false">IF($A690="","",IF(COUNTIF(Accounts!$C$2:$C$201,$A690)+COUNTIF('Service Principals'!$C$2:$C$201,$A690)+COUNTIF('Managed Identities'!$C$2:$C$201,$A690)&gt;0,"Yes","NOT IN INVENTORY"))</f>
        <v/>
      </c>
    </row>
    <row r="691" customFormat="false" ht="15" hidden="false" customHeight="false" outlineLevel="0" collapsed="false">
      <c r="A691" s="46"/>
      <c r="B691" s="46"/>
      <c r="C691" s="47"/>
      <c r="D691" s="47"/>
      <c r="E691" s="46"/>
      <c r="F691" s="46"/>
      <c r="G691" s="47"/>
      <c r="H691" s="47"/>
      <c r="I691" s="47"/>
      <c r="J691" s="45" t="str">
        <f aca="false">IF($A691="","",IF(COUNTIF(Accounts!$C$2:$C$201,$A691)+COUNTIF('Service Principals'!$C$2:$C$201,$A691)+COUNTIF('Managed Identities'!$C$2:$C$201,$A691)&gt;0,"Yes","NOT IN INVENTORY"))</f>
        <v/>
      </c>
    </row>
    <row r="692" customFormat="false" ht="15" hidden="false" customHeight="false" outlineLevel="0" collapsed="false">
      <c r="A692" s="46"/>
      <c r="B692" s="46"/>
      <c r="C692" s="47"/>
      <c r="D692" s="47"/>
      <c r="E692" s="46"/>
      <c r="F692" s="46"/>
      <c r="G692" s="47"/>
      <c r="H692" s="47"/>
      <c r="I692" s="47"/>
      <c r="J692" s="45" t="str">
        <f aca="false">IF($A692="","",IF(COUNTIF(Accounts!$C$2:$C$201,$A692)+COUNTIF('Service Principals'!$C$2:$C$201,$A692)+COUNTIF('Managed Identities'!$C$2:$C$201,$A692)&gt;0,"Yes","NOT IN INVENTORY"))</f>
        <v/>
      </c>
    </row>
    <row r="693" customFormat="false" ht="15" hidden="false" customHeight="false" outlineLevel="0" collapsed="false">
      <c r="A693" s="46"/>
      <c r="B693" s="46"/>
      <c r="C693" s="47"/>
      <c r="D693" s="47"/>
      <c r="E693" s="46"/>
      <c r="F693" s="46"/>
      <c r="G693" s="47"/>
      <c r="H693" s="47"/>
      <c r="I693" s="47"/>
      <c r="J693" s="45" t="str">
        <f aca="false">IF($A693="","",IF(COUNTIF(Accounts!$C$2:$C$201,$A693)+COUNTIF('Service Principals'!$C$2:$C$201,$A693)+COUNTIF('Managed Identities'!$C$2:$C$201,$A693)&gt;0,"Yes","NOT IN INVENTORY"))</f>
        <v/>
      </c>
    </row>
    <row r="694" customFormat="false" ht="15" hidden="false" customHeight="false" outlineLevel="0" collapsed="false">
      <c r="A694" s="46"/>
      <c r="B694" s="46"/>
      <c r="C694" s="47"/>
      <c r="D694" s="47"/>
      <c r="E694" s="46"/>
      <c r="F694" s="46"/>
      <c r="G694" s="47"/>
      <c r="H694" s="47"/>
      <c r="I694" s="47"/>
      <c r="J694" s="45" t="str">
        <f aca="false">IF($A694="","",IF(COUNTIF(Accounts!$C$2:$C$201,$A694)+COUNTIF('Service Principals'!$C$2:$C$201,$A694)+COUNTIF('Managed Identities'!$C$2:$C$201,$A694)&gt;0,"Yes","NOT IN INVENTORY"))</f>
        <v/>
      </c>
    </row>
    <row r="695" customFormat="false" ht="15" hidden="false" customHeight="false" outlineLevel="0" collapsed="false">
      <c r="A695" s="46"/>
      <c r="B695" s="46"/>
      <c r="C695" s="47"/>
      <c r="D695" s="47"/>
      <c r="E695" s="46"/>
      <c r="F695" s="46"/>
      <c r="G695" s="47"/>
      <c r="H695" s="47"/>
      <c r="I695" s="47"/>
      <c r="J695" s="45" t="str">
        <f aca="false">IF($A695="","",IF(COUNTIF(Accounts!$C$2:$C$201,$A695)+COUNTIF('Service Principals'!$C$2:$C$201,$A695)+COUNTIF('Managed Identities'!$C$2:$C$201,$A695)&gt;0,"Yes","NOT IN INVENTORY"))</f>
        <v/>
      </c>
    </row>
    <row r="696" customFormat="false" ht="15" hidden="false" customHeight="false" outlineLevel="0" collapsed="false">
      <c r="A696" s="46"/>
      <c r="B696" s="46"/>
      <c r="C696" s="47"/>
      <c r="D696" s="47"/>
      <c r="E696" s="46"/>
      <c r="F696" s="46"/>
      <c r="G696" s="47"/>
      <c r="H696" s="47"/>
      <c r="I696" s="47"/>
      <c r="J696" s="45" t="str">
        <f aca="false">IF($A696="","",IF(COUNTIF(Accounts!$C$2:$C$201,$A696)+COUNTIF('Service Principals'!$C$2:$C$201,$A696)+COUNTIF('Managed Identities'!$C$2:$C$201,$A696)&gt;0,"Yes","NOT IN INVENTORY"))</f>
        <v/>
      </c>
    </row>
    <row r="697" customFormat="false" ht="15" hidden="false" customHeight="false" outlineLevel="0" collapsed="false">
      <c r="A697" s="46"/>
      <c r="B697" s="46"/>
      <c r="C697" s="47"/>
      <c r="D697" s="47"/>
      <c r="E697" s="46"/>
      <c r="F697" s="46"/>
      <c r="G697" s="47"/>
      <c r="H697" s="47"/>
      <c r="I697" s="47"/>
      <c r="J697" s="45" t="str">
        <f aca="false">IF($A697="","",IF(COUNTIF(Accounts!$C$2:$C$201,$A697)+COUNTIF('Service Principals'!$C$2:$C$201,$A697)+COUNTIF('Managed Identities'!$C$2:$C$201,$A697)&gt;0,"Yes","NOT IN INVENTORY"))</f>
        <v/>
      </c>
    </row>
    <row r="698" customFormat="false" ht="15" hidden="false" customHeight="false" outlineLevel="0" collapsed="false">
      <c r="A698" s="46"/>
      <c r="B698" s="46"/>
      <c r="C698" s="47"/>
      <c r="D698" s="47"/>
      <c r="E698" s="46"/>
      <c r="F698" s="46"/>
      <c r="G698" s="47"/>
      <c r="H698" s="47"/>
      <c r="I698" s="47"/>
      <c r="J698" s="45" t="str">
        <f aca="false">IF($A698="","",IF(COUNTIF(Accounts!$C$2:$C$201,$A698)+COUNTIF('Service Principals'!$C$2:$C$201,$A698)+COUNTIF('Managed Identities'!$C$2:$C$201,$A698)&gt;0,"Yes","NOT IN INVENTORY"))</f>
        <v/>
      </c>
    </row>
    <row r="699" customFormat="false" ht="15" hidden="false" customHeight="false" outlineLevel="0" collapsed="false">
      <c r="A699" s="46"/>
      <c r="B699" s="46"/>
      <c r="C699" s="47"/>
      <c r="D699" s="47"/>
      <c r="E699" s="46"/>
      <c r="F699" s="46"/>
      <c r="G699" s="47"/>
      <c r="H699" s="47"/>
      <c r="I699" s="47"/>
      <c r="J699" s="45" t="str">
        <f aca="false">IF($A699="","",IF(COUNTIF(Accounts!$C$2:$C$201,$A699)+COUNTIF('Service Principals'!$C$2:$C$201,$A699)+COUNTIF('Managed Identities'!$C$2:$C$201,$A699)&gt;0,"Yes","NOT IN INVENTORY"))</f>
        <v/>
      </c>
    </row>
    <row r="700" customFormat="false" ht="15" hidden="false" customHeight="false" outlineLevel="0" collapsed="false">
      <c r="A700" s="46"/>
      <c r="B700" s="46"/>
      <c r="C700" s="47"/>
      <c r="D700" s="47"/>
      <c r="E700" s="46"/>
      <c r="F700" s="46"/>
      <c r="G700" s="47"/>
      <c r="H700" s="47"/>
      <c r="I700" s="47"/>
      <c r="J700" s="45" t="str">
        <f aca="false">IF($A700="","",IF(COUNTIF(Accounts!$C$2:$C$201,$A700)+COUNTIF('Service Principals'!$C$2:$C$201,$A700)+COUNTIF('Managed Identities'!$C$2:$C$201,$A700)&gt;0,"Yes","NOT IN INVENTORY"))</f>
        <v/>
      </c>
    </row>
    <row r="701" customFormat="false" ht="15" hidden="false" customHeight="false" outlineLevel="0" collapsed="false">
      <c r="A701" s="46"/>
      <c r="B701" s="46"/>
      <c r="C701" s="47"/>
      <c r="D701" s="47"/>
      <c r="E701" s="46"/>
      <c r="F701" s="46"/>
      <c r="G701" s="47"/>
      <c r="H701" s="47"/>
      <c r="I701" s="47"/>
      <c r="J701" s="45" t="str">
        <f aca="false">IF($A701="","",IF(COUNTIF(Accounts!$C$2:$C$201,$A701)+COUNTIF('Service Principals'!$C$2:$C$201,$A701)+COUNTIF('Managed Identities'!$C$2:$C$201,$A701)&gt;0,"Yes","NOT IN INVENTORY"))</f>
        <v/>
      </c>
    </row>
    <row r="702" customFormat="false" ht="15" hidden="false" customHeight="false" outlineLevel="0" collapsed="false">
      <c r="A702" s="46"/>
      <c r="B702" s="46"/>
      <c r="C702" s="47"/>
      <c r="D702" s="47"/>
      <c r="E702" s="46"/>
      <c r="F702" s="46"/>
      <c r="G702" s="47"/>
      <c r="H702" s="47"/>
      <c r="I702" s="47"/>
      <c r="J702" s="45" t="str">
        <f aca="false">IF($A702="","",IF(COUNTIF(Accounts!$C$2:$C$201,$A702)+COUNTIF('Service Principals'!$C$2:$C$201,$A702)+COUNTIF('Managed Identities'!$C$2:$C$201,$A702)&gt;0,"Yes","NOT IN INVENTORY"))</f>
        <v/>
      </c>
    </row>
    <row r="703" customFormat="false" ht="15" hidden="false" customHeight="false" outlineLevel="0" collapsed="false">
      <c r="A703" s="46"/>
      <c r="B703" s="46"/>
      <c r="C703" s="47"/>
      <c r="D703" s="47"/>
      <c r="E703" s="46"/>
      <c r="F703" s="46"/>
      <c r="G703" s="47"/>
      <c r="H703" s="47"/>
      <c r="I703" s="47"/>
      <c r="J703" s="45" t="str">
        <f aca="false">IF($A703="","",IF(COUNTIF(Accounts!$C$2:$C$201,$A703)+COUNTIF('Service Principals'!$C$2:$C$201,$A703)+COUNTIF('Managed Identities'!$C$2:$C$201,$A703)&gt;0,"Yes","NOT IN INVENTORY"))</f>
        <v/>
      </c>
    </row>
    <row r="704" customFormat="false" ht="15" hidden="false" customHeight="false" outlineLevel="0" collapsed="false">
      <c r="A704" s="46"/>
      <c r="B704" s="46"/>
      <c r="C704" s="47"/>
      <c r="D704" s="47"/>
      <c r="E704" s="46"/>
      <c r="F704" s="46"/>
      <c r="G704" s="47"/>
      <c r="H704" s="47"/>
      <c r="I704" s="47"/>
      <c r="J704" s="45" t="str">
        <f aca="false">IF($A704="","",IF(COUNTIF(Accounts!$C$2:$C$201,$A704)+COUNTIF('Service Principals'!$C$2:$C$201,$A704)+COUNTIF('Managed Identities'!$C$2:$C$201,$A704)&gt;0,"Yes","NOT IN INVENTORY"))</f>
        <v/>
      </c>
    </row>
    <row r="705" customFormat="false" ht="15" hidden="false" customHeight="false" outlineLevel="0" collapsed="false">
      <c r="A705" s="46"/>
      <c r="B705" s="46"/>
      <c r="C705" s="47"/>
      <c r="D705" s="47"/>
      <c r="E705" s="46"/>
      <c r="F705" s="46"/>
      <c r="G705" s="47"/>
      <c r="H705" s="47"/>
      <c r="I705" s="47"/>
      <c r="J705" s="45" t="str">
        <f aca="false">IF($A705="","",IF(COUNTIF(Accounts!$C$2:$C$201,$A705)+COUNTIF('Service Principals'!$C$2:$C$201,$A705)+COUNTIF('Managed Identities'!$C$2:$C$201,$A705)&gt;0,"Yes","NOT IN INVENTORY"))</f>
        <v/>
      </c>
    </row>
    <row r="706" customFormat="false" ht="15" hidden="false" customHeight="false" outlineLevel="0" collapsed="false">
      <c r="A706" s="46"/>
      <c r="B706" s="46"/>
      <c r="C706" s="47"/>
      <c r="D706" s="47"/>
      <c r="E706" s="46"/>
      <c r="F706" s="46"/>
      <c r="G706" s="47"/>
      <c r="H706" s="47"/>
      <c r="I706" s="47"/>
      <c r="J706" s="45" t="str">
        <f aca="false">IF($A706="","",IF(COUNTIF(Accounts!$C$2:$C$201,$A706)+COUNTIF('Service Principals'!$C$2:$C$201,$A706)+COUNTIF('Managed Identities'!$C$2:$C$201,$A706)&gt;0,"Yes","NOT IN INVENTORY"))</f>
        <v/>
      </c>
    </row>
    <row r="707" customFormat="false" ht="15" hidden="false" customHeight="false" outlineLevel="0" collapsed="false">
      <c r="A707" s="46"/>
      <c r="B707" s="46"/>
      <c r="C707" s="47"/>
      <c r="D707" s="47"/>
      <c r="E707" s="46"/>
      <c r="F707" s="46"/>
      <c r="G707" s="47"/>
      <c r="H707" s="47"/>
      <c r="I707" s="47"/>
      <c r="J707" s="45" t="str">
        <f aca="false">IF($A707="","",IF(COUNTIF(Accounts!$C$2:$C$201,$A707)+COUNTIF('Service Principals'!$C$2:$C$201,$A707)+COUNTIF('Managed Identities'!$C$2:$C$201,$A707)&gt;0,"Yes","NOT IN INVENTORY"))</f>
        <v/>
      </c>
    </row>
    <row r="708" customFormat="false" ht="15" hidden="false" customHeight="false" outlineLevel="0" collapsed="false">
      <c r="A708" s="46"/>
      <c r="B708" s="46"/>
      <c r="C708" s="47"/>
      <c r="D708" s="47"/>
      <c r="E708" s="46"/>
      <c r="F708" s="46"/>
      <c r="G708" s="47"/>
      <c r="H708" s="47"/>
      <c r="I708" s="47"/>
      <c r="J708" s="45" t="str">
        <f aca="false">IF($A708="","",IF(COUNTIF(Accounts!$C$2:$C$201,$A708)+COUNTIF('Service Principals'!$C$2:$C$201,$A708)+COUNTIF('Managed Identities'!$C$2:$C$201,$A708)&gt;0,"Yes","NOT IN INVENTORY"))</f>
        <v/>
      </c>
    </row>
    <row r="709" customFormat="false" ht="15" hidden="false" customHeight="false" outlineLevel="0" collapsed="false">
      <c r="A709" s="46"/>
      <c r="B709" s="46"/>
      <c r="C709" s="47"/>
      <c r="D709" s="47"/>
      <c r="E709" s="46"/>
      <c r="F709" s="46"/>
      <c r="G709" s="47"/>
      <c r="H709" s="47"/>
      <c r="I709" s="47"/>
      <c r="J709" s="45" t="str">
        <f aca="false">IF($A709="","",IF(COUNTIF(Accounts!$C$2:$C$201,$A709)+COUNTIF('Service Principals'!$C$2:$C$201,$A709)+COUNTIF('Managed Identities'!$C$2:$C$201,$A709)&gt;0,"Yes","NOT IN INVENTORY"))</f>
        <v/>
      </c>
    </row>
    <row r="710" customFormat="false" ht="15" hidden="false" customHeight="false" outlineLevel="0" collapsed="false">
      <c r="A710" s="46"/>
      <c r="B710" s="46"/>
      <c r="C710" s="47"/>
      <c r="D710" s="47"/>
      <c r="E710" s="46"/>
      <c r="F710" s="46"/>
      <c r="G710" s="47"/>
      <c r="H710" s="47"/>
      <c r="I710" s="47"/>
      <c r="J710" s="45" t="str">
        <f aca="false">IF($A710="","",IF(COUNTIF(Accounts!$C$2:$C$201,$A710)+COUNTIF('Service Principals'!$C$2:$C$201,$A710)+COUNTIF('Managed Identities'!$C$2:$C$201,$A710)&gt;0,"Yes","NOT IN INVENTORY"))</f>
        <v/>
      </c>
    </row>
    <row r="711" customFormat="false" ht="15" hidden="false" customHeight="false" outlineLevel="0" collapsed="false">
      <c r="A711" s="46"/>
      <c r="B711" s="46"/>
      <c r="C711" s="47"/>
      <c r="D711" s="47"/>
      <c r="E711" s="46"/>
      <c r="F711" s="46"/>
      <c r="G711" s="47"/>
      <c r="H711" s="47"/>
      <c r="I711" s="47"/>
      <c r="J711" s="45" t="str">
        <f aca="false">IF($A711="","",IF(COUNTIF(Accounts!$C$2:$C$201,$A711)+COUNTIF('Service Principals'!$C$2:$C$201,$A711)+COUNTIF('Managed Identities'!$C$2:$C$201,$A711)&gt;0,"Yes","NOT IN INVENTORY"))</f>
        <v/>
      </c>
    </row>
    <row r="712" customFormat="false" ht="15" hidden="false" customHeight="false" outlineLevel="0" collapsed="false">
      <c r="A712" s="46"/>
      <c r="B712" s="46"/>
      <c r="C712" s="47"/>
      <c r="D712" s="47"/>
      <c r="E712" s="46"/>
      <c r="F712" s="46"/>
      <c r="G712" s="47"/>
      <c r="H712" s="47"/>
      <c r="I712" s="47"/>
      <c r="J712" s="45" t="str">
        <f aca="false">IF($A712="","",IF(COUNTIF(Accounts!$C$2:$C$201,$A712)+COUNTIF('Service Principals'!$C$2:$C$201,$A712)+COUNTIF('Managed Identities'!$C$2:$C$201,$A712)&gt;0,"Yes","NOT IN INVENTORY"))</f>
        <v/>
      </c>
    </row>
    <row r="713" customFormat="false" ht="15" hidden="false" customHeight="false" outlineLevel="0" collapsed="false">
      <c r="A713" s="46"/>
      <c r="B713" s="46"/>
      <c r="C713" s="47"/>
      <c r="D713" s="47"/>
      <c r="E713" s="46"/>
      <c r="F713" s="46"/>
      <c r="G713" s="47"/>
      <c r="H713" s="47"/>
      <c r="I713" s="47"/>
      <c r="J713" s="45" t="str">
        <f aca="false">IF($A713="","",IF(COUNTIF(Accounts!$C$2:$C$201,$A713)+COUNTIF('Service Principals'!$C$2:$C$201,$A713)+COUNTIF('Managed Identities'!$C$2:$C$201,$A713)&gt;0,"Yes","NOT IN INVENTORY"))</f>
        <v/>
      </c>
    </row>
    <row r="714" customFormat="false" ht="15" hidden="false" customHeight="false" outlineLevel="0" collapsed="false">
      <c r="A714" s="46"/>
      <c r="B714" s="46"/>
      <c r="C714" s="47"/>
      <c r="D714" s="47"/>
      <c r="E714" s="46"/>
      <c r="F714" s="46"/>
      <c r="G714" s="47"/>
      <c r="H714" s="47"/>
      <c r="I714" s="47"/>
      <c r="J714" s="45" t="str">
        <f aca="false">IF($A714="","",IF(COUNTIF(Accounts!$C$2:$C$201,$A714)+COUNTIF('Service Principals'!$C$2:$C$201,$A714)+COUNTIF('Managed Identities'!$C$2:$C$201,$A714)&gt;0,"Yes","NOT IN INVENTORY"))</f>
        <v/>
      </c>
    </row>
    <row r="715" customFormat="false" ht="15" hidden="false" customHeight="false" outlineLevel="0" collapsed="false">
      <c r="A715" s="46"/>
      <c r="B715" s="46"/>
      <c r="C715" s="47"/>
      <c r="D715" s="47"/>
      <c r="E715" s="46"/>
      <c r="F715" s="46"/>
      <c r="G715" s="47"/>
      <c r="H715" s="47"/>
      <c r="I715" s="47"/>
      <c r="J715" s="45" t="str">
        <f aca="false">IF($A715="","",IF(COUNTIF(Accounts!$C$2:$C$201,$A715)+COUNTIF('Service Principals'!$C$2:$C$201,$A715)+COUNTIF('Managed Identities'!$C$2:$C$201,$A715)&gt;0,"Yes","NOT IN INVENTORY"))</f>
        <v/>
      </c>
    </row>
    <row r="716" customFormat="false" ht="15" hidden="false" customHeight="false" outlineLevel="0" collapsed="false">
      <c r="A716" s="46"/>
      <c r="B716" s="46"/>
      <c r="C716" s="47"/>
      <c r="D716" s="47"/>
      <c r="E716" s="46"/>
      <c r="F716" s="46"/>
      <c r="G716" s="47"/>
      <c r="H716" s="47"/>
      <c r="I716" s="47"/>
      <c r="J716" s="45" t="str">
        <f aca="false">IF($A716="","",IF(COUNTIF(Accounts!$C$2:$C$201,$A716)+COUNTIF('Service Principals'!$C$2:$C$201,$A716)+COUNTIF('Managed Identities'!$C$2:$C$201,$A716)&gt;0,"Yes","NOT IN INVENTORY"))</f>
        <v/>
      </c>
    </row>
    <row r="717" customFormat="false" ht="15" hidden="false" customHeight="false" outlineLevel="0" collapsed="false">
      <c r="A717" s="46"/>
      <c r="B717" s="46"/>
      <c r="C717" s="47"/>
      <c r="D717" s="47"/>
      <c r="E717" s="46"/>
      <c r="F717" s="46"/>
      <c r="G717" s="47"/>
      <c r="H717" s="47"/>
      <c r="I717" s="47"/>
      <c r="J717" s="45" t="str">
        <f aca="false">IF($A717="","",IF(COUNTIF(Accounts!$C$2:$C$201,$A717)+COUNTIF('Service Principals'!$C$2:$C$201,$A717)+COUNTIF('Managed Identities'!$C$2:$C$201,$A717)&gt;0,"Yes","NOT IN INVENTORY"))</f>
        <v/>
      </c>
    </row>
    <row r="718" customFormat="false" ht="15" hidden="false" customHeight="false" outlineLevel="0" collapsed="false">
      <c r="A718" s="46"/>
      <c r="B718" s="46"/>
      <c r="C718" s="47"/>
      <c r="D718" s="47"/>
      <c r="E718" s="46"/>
      <c r="F718" s="46"/>
      <c r="G718" s="47"/>
      <c r="H718" s="47"/>
      <c r="I718" s="47"/>
      <c r="J718" s="45" t="str">
        <f aca="false">IF($A718="","",IF(COUNTIF(Accounts!$C$2:$C$201,$A718)+COUNTIF('Service Principals'!$C$2:$C$201,$A718)+COUNTIF('Managed Identities'!$C$2:$C$201,$A718)&gt;0,"Yes","NOT IN INVENTORY"))</f>
        <v/>
      </c>
    </row>
    <row r="719" customFormat="false" ht="15" hidden="false" customHeight="false" outlineLevel="0" collapsed="false">
      <c r="A719" s="46"/>
      <c r="B719" s="46"/>
      <c r="C719" s="47"/>
      <c r="D719" s="47"/>
      <c r="E719" s="46"/>
      <c r="F719" s="46"/>
      <c r="G719" s="47"/>
      <c r="H719" s="47"/>
      <c r="I719" s="47"/>
      <c r="J719" s="45" t="str">
        <f aca="false">IF($A719="","",IF(COUNTIF(Accounts!$C$2:$C$201,$A719)+COUNTIF('Service Principals'!$C$2:$C$201,$A719)+COUNTIF('Managed Identities'!$C$2:$C$201,$A719)&gt;0,"Yes","NOT IN INVENTORY"))</f>
        <v/>
      </c>
    </row>
    <row r="720" customFormat="false" ht="15" hidden="false" customHeight="false" outlineLevel="0" collapsed="false">
      <c r="A720" s="46"/>
      <c r="B720" s="46"/>
      <c r="C720" s="47"/>
      <c r="D720" s="47"/>
      <c r="E720" s="46"/>
      <c r="F720" s="46"/>
      <c r="G720" s="47"/>
      <c r="H720" s="47"/>
      <c r="I720" s="47"/>
      <c r="J720" s="45" t="str">
        <f aca="false">IF($A720="","",IF(COUNTIF(Accounts!$C$2:$C$201,$A720)+COUNTIF('Service Principals'!$C$2:$C$201,$A720)+COUNTIF('Managed Identities'!$C$2:$C$201,$A720)&gt;0,"Yes","NOT IN INVENTORY"))</f>
        <v/>
      </c>
    </row>
    <row r="721" customFormat="false" ht="15" hidden="false" customHeight="false" outlineLevel="0" collapsed="false">
      <c r="A721" s="46"/>
      <c r="B721" s="46"/>
      <c r="C721" s="47"/>
      <c r="D721" s="47"/>
      <c r="E721" s="46"/>
      <c r="F721" s="46"/>
      <c r="G721" s="47"/>
      <c r="H721" s="47"/>
      <c r="I721" s="47"/>
      <c r="J721" s="45" t="str">
        <f aca="false">IF($A721="","",IF(COUNTIF(Accounts!$C$2:$C$201,$A721)+COUNTIF('Service Principals'!$C$2:$C$201,$A721)+COUNTIF('Managed Identities'!$C$2:$C$201,$A721)&gt;0,"Yes","NOT IN INVENTORY"))</f>
        <v/>
      </c>
    </row>
    <row r="722" customFormat="false" ht="15" hidden="false" customHeight="false" outlineLevel="0" collapsed="false">
      <c r="A722" s="46"/>
      <c r="B722" s="46"/>
      <c r="C722" s="47"/>
      <c r="D722" s="47"/>
      <c r="E722" s="46"/>
      <c r="F722" s="46"/>
      <c r="G722" s="47"/>
      <c r="H722" s="47"/>
      <c r="I722" s="47"/>
      <c r="J722" s="45" t="str">
        <f aca="false">IF($A722="","",IF(COUNTIF(Accounts!$C$2:$C$201,$A722)+COUNTIF('Service Principals'!$C$2:$C$201,$A722)+COUNTIF('Managed Identities'!$C$2:$C$201,$A722)&gt;0,"Yes","NOT IN INVENTORY"))</f>
        <v/>
      </c>
    </row>
    <row r="723" customFormat="false" ht="15" hidden="false" customHeight="false" outlineLevel="0" collapsed="false">
      <c r="A723" s="46"/>
      <c r="B723" s="46"/>
      <c r="C723" s="47"/>
      <c r="D723" s="47"/>
      <c r="E723" s="46"/>
      <c r="F723" s="46"/>
      <c r="G723" s="47"/>
      <c r="H723" s="47"/>
      <c r="I723" s="47"/>
      <c r="J723" s="45" t="str">
        <f aca="false">IF($A723="","",IF(COUNTIF(Accounts!$C$2:$C$201,$A723)+COUNTIF('Service Principals'!$C$2:$C$201,$A723)+COUNTIF('Managed Identities'!$C$2:$C$201,$A723)&gt;0,"Yes","NOT IN INVENTORY"))</f>
        <v/>
      </c>
    </row>
    <row r="724" customFormat="false" ht="15" hidden="false" customHeight="false" outlineLevel="0" collapsed="false">
      <c r="A724" s="46"/>
      <c r="B724" s="46"/>
      <c r="C724" s="47"/>
      <c r="D724" s="47"/>
      <c r="E724" s="46"/>
      <c r="F724" s="46"/>
      <c r="G724" s="47"/>
      <c r="H724" s="47"/>
      <c r="I724" s="47"/>
      <c r="J724" s="45" t="str">
        <f aca="false">IF($A724="","",IF(COUNTIF(Accounts!$C$2:$C$201,$A724)+COUNTIF('Service Principals'!$C$2:$C$201,$A724)+COUNTIF('Managed Identities'!$C$2:$C$201,$A724)&gt;0,"Yes","NOT IN INVENTORY"))</f>
        <v/>
      </c>
    </row>
    <row r="725" customFormat="false" ht="15" hidden="false" customHeight="false" outlineLevel="0" collapsed="false">
      <c r="A725" s="46"/>
      <c r="B725" s="46"/>
      <c r="C725" s="47"/>
      <c r="D725" s="47"/>
      <c r="E725" s="46"/>
      <c r="F725" s="46"/>
      <c r="G725" s="47"/>
      <c r="H725" s="47"/>
      <c r="I725" s="47"/>
      <c r="J725" s="45" t="str">
        <f aca="false">IF($A725="","",IF(COUNTIF(Accounts!$C$2:$C$201,$A725)+COUNTIF('Service Principals'!$C$2:$C$201,$A725)+COUNTIF('Managed Identities'!$C$2:$C$201,$A725)&gt;0,"Yes","NOT IN INVENTORY"))</f>
        <v/>
      </c>
    </row>
    <row r="726" customFormat="false" ht="15" hidden="false" customHeight="false" outlineLevel="0" collapsed="false">
      <c r="A726" s="46"/>
      <c r="B726" s="46"/>
      <c r="C726" s="47"/>
      <c r="D726" s="47"/>
      <c r="E726" s="46"/>
      <c r="F726" s="46"/>
      <c r="G726" s="47"/>
      <c r="H726" s="47"/>
      <c r="I726" s="47"/>
      <c r="J726" s="45" t="str">
        <f aca="false">IF($A726="","",IF(COUNTIF(Accounts!$C$2:$C$201,$A726)+COUNTIF('Service Principals'!$C$2:$C$201,$A726)+COUNTIF('Managed Identities'!$C$2:$C$201,$A726)&gt;0,"Yes","NOT IN INVENTORY"))</f>
        <v/>
      </c>
    </row>
    <row r="727" customFormat="false" ht="15" hidden="false" customHeight="false" outlineLevel="0" collapsed="false">
      <c r="A727" s="46"/>
      <c r="B727" s="46"/>
      <c r="C727" s="47"/>
      <c r="D727" s="47"/>
      <c r="E727" s="46"/>
      <c r="F727" s="46"/>
      <c r="G727" s="47"/>
      <c r="H727" s="47"/>
      <c r="I727" s="47"/>
      <c r="J727" s="45" t="str">
        <f aca="false">IF($A727="","",IF(COUNTIF(Accounts!$C$2:$C$201,$A727)+COUNTIF('Service Principals'!$C$2:$C$201,$A727)+COUNTIF('Managed Identities'!$C$2:$C$201,$A727)&gt;0,"Yes","NOT IN INVENTORY"))</f>
        <v/>
      </c>
    </row>
    <row r="728" customFormat="false" ht="15" hidden="false" customHeight="false" outlineLevel="0" collapsed="false">
      <c r="A728" s="46"/>
      <c r="B728" s="46"/>
      <c r="C728" s="47"/>
      <c r="D728" s="47"/>
      <c r="E728" s="46"/>
      <c r="F728" s="46"/>
      <c r="G728" s="47"/>
      <c r="H728" s="47"/>
      <c r="I728" s="47"/>
      <c r="J728" s="45" t="str">
        <f aca="false">IF($A728="","",IF(COUNTIF(Accounts!$C$2:$C$201,$A728)+COUNTIF('Service Principals'!$C$2:$C$201,$A728)+COUNTIF('Managed Identities'!$C$2:$C$201,$A728)&gt;0,"Yes","NOT IN INVENTORY"))</f>
        <v/>
      </c>
    </row>
    <row r="729" customFormat="false" ht="15" hidden="false" customHeight="false" outlineLevel="0" collapsed="false">
      <c r="A729" s="46"/>
      <c r="B729" s="46"/>
      <c r="C729" s="47"/>
      <c r="D729" s="47"/>
      <c r="E729" s="46"/>
      <c r="F729" s="46"/>
      <c r="G729" s="47"/>
      <c r="H729" s="47"/>
      <c r="I729" s="47"/>
      <c r="J729" s="45" t="str">
        <f aca="false">IF($A729="","",IF(COUNTIF(Accounts!$C$2:$C$201,$A729)+COUNTIF('Service Principals'!$C$2:$C$201,$A729)+COUNTIF('Managed Identities'!$C$2:$C$201,$A729)&gt;0,"Yes","NOT IN INVENTORY"))</f>
        <v/>
      </c>
    </row>
    <row r="730" customFormat="false" ht="15" hidden="false" customHeight="false" outlineLevel="0" collapsed="false">
      <c r="A730" s="46"/>
      <c r="B730" s="46"/>
      <c r="C730" s="47"/>
      <c r="D730" s="47"/>
      <c r="E730" s="46"/>
      <c r="F730" s="46"/>
      <c r="G730" s="47"/>
      <c r="H730" s="47"/>
      <c r="I730" s="47"/>
      <c r="J730" s="45" t="str">
        <f aca="false">IF($A730="","",IF(COUNTIF(Accounts!$C$2:$C$201,$A730)+COUNTIF('Service Principals'!$C$2:$C$201,$A730)+COUNTIF('Managed Identities'!$C$2:$C$201,$A730)&gt;0,"Yes","NOT IN INVENTORY"))</f>
        <v/>
      </c>
    </row>
    <row r="731" customFormat="false" ht="15" hidden="false" customHeight="false" outlineLevel="0" collapsed="false">
      <c r="A731" s="46"/>
      <c r="B731" s="46"/>
      <c r="C731" s="47"/>
      <c r="D731" s="47"/>
      <c r="E731" s="46"/>
      <c r="F731" s="46"/>
      <c r="G731" s="47"/>
      <c r="H731" s="47"/>
      <c r="I731" s="47"/>
      <c r="J731" s="45" t="str">
        <f aca="false">IF($A731="","",IF(COUNTIF(Accounts!$C$2:$C$201,$A731)+COUNTIF('Service Principals'!$C$2:$C$201,$A731)+COUNTIF('Managed Identities'!$C$2:$C$201,$A731)&gt;0,"Yes","NOT IN INVENTORY"))</f>
        <v/>
      </c>
    </row>
    <row r="732" customFormat="false" ht="15" hidden="false" customHeight="false" outlineLevel="0" collapsed="false">
      <c r="A732" s="46"/>
      <c r="B732" s="46"/>
      <c r="C732" s="47"/>
      <c r="D732" s="47"/>
      <c r="E732" s="46"/>
      <c r="F732" s="46"/>
      <c r="G732" s="47"/>
      <c r="H732" s="47"/>
      <c r="I732" s="47"/>
      <c r="J732" s="45" t="str">
        <f aca="false">IF($A732="","",IF(COUNTIF(Accounts!$C$2:$C$201,$A732)+COUNTIF('Service Principals'!$C$2:$C$201,$A732)+COUNTIF('Managed Identities'!$C$2:$C$201,$A732)&gt;0,"Yes","NOT IN INVENTORY"))</f>
        <v/>
      </c>
    </row>
    <row r="733" customFormat="false" ht="15" hidden="false" customHeight="false" outlineLevel="0" collapsed="false">
      <c r="A733" s="46"/>
      <c r="B733" s="46"/>
      <c r="C733" s="47"/>
      <c r="D733" s="47"/>
      <c r="E733" s="46"/>
      <c r="F733" s="46"/>
      <c r="G733" s="47"/>
      <c r="H733" s="47"/>
      <c r="I733" s="47"/>
      <c r="J733" s="45" t="str">
        <f aca="false">IF($A733="","",IF(COUNTIF(Accounts!$C$2:$C$201,$A733)+COUNTIF('Service Principals'!$C$2:$C$201,$A733)+COUNTIF('Managed Identities'!$C$2:$C$201,$A733)&gt;0,"Yes","NOT IN INVENTORY"))</f>
        <v/>
      </c>
    </row>
    <row r="734" customFormat="false" ht="15" hidden="false" customHeight="false" outlineLevel="0" collapsed="false">
      <c r="A734" s="46"/>
      <c r="B734" s="46"/>
      <c r="C734" s="47"/>
      <c r="D734" s="47"/>
      <c r="E734" s="46"/>
      <c r="F734" s="46"/>
      <c r="G734" s="47"/>
      <c r="H734" s="47"/>
      <c r="I734" s="47"/>
      <c r="J734" s="45" t="str">
        <f aca="false">IF($A734="","",IF(COUNTIF(Accounts!$C$2:$C$201,$A734)+COUNTIF('Service Principals'!$C$2:$C$201,$A734)+COUNTIF('Managed Identities'!$C$2:$C$201,$A734)&gt;0,"Yes","NOT IN INVENTORY"))</f>
        <v/>
      </c>
    </row>
    <row r="735" customFormat="false" ht="15" hidden="false" customHeight="false" outlineLevel="0" collapsed="false">
      <c r="A735" s="46"/>
      <c r="B735" s="46"/>
      <c r="C735" s="47"/>
      <c r="D735" s="47"/>
      <c r="E735" s="46"/>
      <c r="F735" s="46"/>
      <c r="G735" s="47"/>
      <c r="H735" s="47"/>
      <c r="I735" s="47"/>
      <c r="J735" s="45" t="str">
        <f aca="false">IF($A735="","",IF(COUNTIF(Accounts!$C$2:$C$201,$A735)+COUNTIF('Service Principals'!$C$2:$C$201,$A735)+COUNTIF('Managed Identities'!$C$2:$C$201,$A735)&gt;0,"Yes","NOT IN INVENTORY"))</f>
        <v/>
      </c>
    </row>
    <row r="736" customFormat="false" ht="15" hidden="false" customHeight="false" outlineLevel="0" collapsed="false">
      <c r="A736" s="46"/>
      <c r="B736" s="46"/>
      <c r="C736" s="47"/>
      <c r="D736" s="47"/>
      <c r="E736" s="46"/>
      <c r="F736" s="46"/>
      <c r="G736" s="47"/>
      <c r="H736" s="47"/>
      <c r="I736" s="47"/>
      <c r="J736" s="45" t="str">
        <f aca="false">IF($A736="","",IF(COUNTIF(Accounts!$C$2:$C$201,$A736)+COUNTIF('Service Principals'!$C$2:$C$201,$A736)+COUNTIF('Managed Identities'!$C$2:$C$201,$A736)&gt;0,"Yes","NOT IN INVENTORY"))</f>
        <v/>
      </c>
    </row>
    <row r="737" customFormat="false" ht="15" hidden="false" customHeight="false" outlineLevel="0" collapsed="false">
      <c r="A737" s="46"/>
      <c r="B737" s="46"/>
      <c r="C737" s="47"/>
      <c r="D737" s="47"/>
      <c r="E737" s="46"/>
      <c r="F737" s="46"/>
      <c r="G737" s="47"/>
      <c r="H737" s="47"/>
      <c r="I737" s="47"/>
      <c r="J737" s="45" t="str">
        <f aca="false">IF($A737="","",IF(COUNTIF(Accounts!$C$2:$C$201,$A737)+COUNTIF('Service Principals'!$C$2:$C$201,$A737)+COUNTIF('Managed Identities'!$C$2:$C$201,$A737)&gt;0,"Yes","NOT IN INVENTORY"))</f>
        <v/>
      </c>
    </row>
    <row r="738" customFormat="false" ht="15" hidden="false" customHeight="false" outlineLevel="0" collapsed="false">
      <c r="A738" s="46"/>
      <c r="B738" s="46"/>
      <c r="C738" s="47"/>
      <c r="D738" s="47"/>
      <c r="E738" s="46"/>
      <c r="F738" s="46"/>
      <c r="G738" s="47"/>
      <c r="H738" s="47"/>
      <c r="I738" s="47"/>
      <c r="J738" s="45" t="str">
        <f aca="false">IF($A738="","",IF(COUNTIF(Accounts!$C$2:$C$201,$A738)+COUNTIF('Service Principals'!$C$2:$C$201,$A738)+COUNTIF('Managed Identities'!$C$2:$C$201,$A738)&gt;0,"Yes","NOT IN INVENTORY"))</f>
        <v/>
      </c>
    </row>
    <row r="739" customFormat="false" ht="15" hidden="false" customHeight="false" outlineLevel="0" collapsed="false">
      <c r="A739" s="46"/>
      <c r="B739" s="46"/>
      <c r="C739" s="47"/>
      <c r="D739" s="47"/>
      <c r="E739" s="46"/>
      <c r="F739" s="46"/>
      <c r="G739" s="47"/>
      <c r="H739" s="47"/>
      <c r="I739" s="47"/>
      <c r="J739" s="45" t="str">
        <f aca="false">IF($A739="","",IF(COUNTIF(Accounts!$C$2:$C$201,$A739)+COUNTIF('Service Principals'!$C$2:$C$201,$A739)+COUNTIF('Managed Identities'!$C$2:$C$201,$A739)&gt;0,"Yes","NOT IN INVENTORY"))</f>
        <v/>
      </c>
    </row>
    <row r="740" customFormat="false" ht="15" hidden="false" customHeight="false" outlineLevel="0" collapsed="false">
      <c r="A740" s="46"/>
      <c r="B740" s="46"/>
      <c r="C740" s="47"/>
      <c r="D740" s="47"/>
      <c r="E740" s="46"/>
      <c r="F740" s="46"/>
      <c r="G740" s="47"/>
      <c r="H740" s="47"/>
      <c r="I740" s="47"/>
      <c r="J740" s="45" t="str">
        <f aca="false">IF($A740="","",IF(COUNTIF(Accounts!$C$2:$C$201,$A740)+COUNTIF('Service Principals'!$C$2:$C$201,$A740)+COUNTIF('Managed Identities'!$C$2:$C$201,$A740)&gt;0,"Yes","NOT IN INVENTORY"))</f>
        <v/>
      </c>
    </row>
    <row r="741" customFormat="false" ht="15" hidden="false" customHeight="false" outlineLevel="0" collapsed="false">
      <c r="A741" s="46"/>
      <c r="B741" s="46"/>
      <c r="C741" s="47"/>
      <c r="D741" s="47"/>
      <c r="E741" s="46"/>
      <c r="F741" s="46"/>
      <c r="G741" s="47"/>
      <c r="H741" s="47"/>
      <c r="I741" s="47"/>
      <c r="J741" s="45" t="str">
        <f aca="false">IF($A741="","",IF(COUNTIF(Accounts!$C$2:$C$201,$A741)+COUNTIF('Service Principals'!$C$2:$C$201,$A741)+COUNTIF('Managed Identities'!$C$2:$C$201,$A741)&gt;0,"Yes","NOT IN INVENTORY"))</f>
        <v/>
      </c>
    </row>
    <row r="742" customFormat="false" ht="15" hidden="false" customHeight="false" outlineLevel="0" collapsed="false">
      <c r="A742" s="46"/>
      <c r="B742" s="46"/>
      <c r="C742" s="47"/>
      <c r="D742" s="47"/>
      <c r="E742" s="46"/>
      <c r="F742" s="46"/>
      <c r="G742" s="47"/>
      <c r="H742" s="47"/>
      <c r="I742" s="47"/>
      <c r="J742" s="45" t="str">
        <f aca="false">IF($A742="","",IF(COUNTIF(Accounts!$C$2:$C$201,$A742)+COUNTIF('Service Principals'!$C$2:$C$201,$A742)+COUNTIF('Managed Identities'!$C$2:$C$201,$A742)&gt;0,"Yes","NOT IN INVENTORY"))</f>
        <v/>
      </c>
    </row>
    <row r="743" customFormat="false" ht="15" hidden="false" customHeight="false" outlineLevel="0" collapsed="false">
      <c r="A743" s="46"/>
      <c r="B743" s="46"/>
      <c r="C743" s="47"/>
      <c r="D743" s="47"/>
      <c r="E743" s="46"/>
      <c r="F743" s="46"/>
      <c r="G743" s="47"/>
      <c r="H743" s="47"/>
      <c r="I743" s="47"/>
      <c r="J743" s="45" t="str">
        <f aca="false">IF($A743="","",IF(COUNTIF(Accounts!$C$2:$C$201,$A743)+COUNTIF('Service Principals'!$C$2:$C$201,$A743)+COUNTIF('Managed Identities'!$C$2:$C$201,$A743)&gt;0,"Yes","NOT IN INVENTORY"))</f>
        <v/>
      </c>
    </row>
    <row r="744" customFormat="false" ht="15" hidden="false" customHeight="false" outlineLevel="0" collapsed="false">
      <c r="A744" s="46"/>
      <c r="B744" s="46"/>
      <c r="C744" s="47"/>
      <c r="D744" s="47"/>
      <c r="E744" s="46"/>
      <c r="F744" s="46"/>
      <c r="G744" s="47"/>
      <c r="H744" s="47"/>
      <c r="I744" s="47"/>
      <c r="J744" s="45" t="str">
        <f aca="false">IF($A744="","",IF(COUNTIF(Accounts!$C$2:$C$201,$A744)+COUNTIF('Service Principals'!$C$2:$C$201,$A744)+COUNTIF('Managed Identities'!$C$2:$C$201,$A744)&gt;0,"Yes","NOT IN INVENTORY"))</f>
        <v/>
      </c>
    </row>
    <row r="745" customFormat="false" ht="15" hidden="false" customHeight="false" outlineLevel="0" collapsed="false">
      <c r="A745" s="46"/>
      <c r="B745" s="46"/>
      <c r="C745" s="47"/>
      <c r="D745" s="47"/>
      <c r="E745" s="46"/>
      <c r="F745" s="46"/>
      <c r="G745" s="47"/>
      <c r="H745" s="47"/>
      <c r="I745" s="47"/>
      <c r="J745" s="45" t="str">
        <f aca="false">IF($A745="","",IF(COUNTIF(Accounts!$C$2:$C$201,$A745)+COUNTIF('Service Principals'!$C$2:$C$201,$A745)+COUNTIF('Managed Identities'!$C$2:$C$201,$A745)&gt;0,"Yes","NOT IN INVENTORY"))</f>
        <v/>
      </c>
    </row>
    <row r="746" customFormat="false" ht="15" hidden="false" customHeight="false" outlineLevel="0" collapsed="false">
      <c r="A746" s="46"/>
      <c r="B746" s="46"/>
      <c r="C746" s="47"/>
      <c r="D746" s="47"/>
      <c r="E746" s="46"/>
      <c r="F746" s="46"/>
      <c r="G746" s="47"/>
      <c r="H746" s="47"/>
      <c r="I746" s="47"/>
      <c r="J746" s="45" t="str">
        <f aca="false">IF($A746="","",IF(COUNTIF(Accounts!$C$2:$C$201,$A746)+COUNTIF('Service Principals'!$C$2:$C$201,$A746)+COUNTIF('Managed Identities'!$C$2:$C$201,$A746)&gt;0,"Yes","NOT IN INVENTORY"))</f>
        <v/>
      </c>
    </row>
    <row r="747" customFormat="false" ht="15" hidden="false" customHeight="false" outlineLevel="0" collapsed="false">
      <c r="A747" s="46"/>
      <c r="B747" s="46"/>
      <c r="C747" s="47"/>
      <c r="D747" s="47"/>
      <c r="E747" s="46"/>
      <c r="F747" s="46"/>
      <c r="G747" s="47"/>
      <c r="H747" s="47"/>
      <c r="I747" s="47"/>
      <c r="J747" s="45" t="str">
        <f aca="false">IF($A747="","",IF(COUNTIF(Accounts!$C$2:$C$201,$A747)+COUNTIF('Service Principals'!$C$2:$C$201,$A747)+COUNTIF('Managed Identities'!$C$2:$C$201,$A747)&gt;0,"Yes","NOT IN INVENTORY"))</f>
        <v/>
      </c>
    </row>
    <row r="748" customFormat="false" ht="15" hidden="false" customHeight="false" outlineLevel="0" collapsed="false">
      <c r="A748" s="46"/>
      <c r="B748" s="46"/>
      <c r="C748" s="47"/>
      <c r="D748" s="47"/>
      <c r="E748" s="46"/>
      <c r="F748" s="46"/>
      <c r="G748" s="47"/>
      <c r="H748" s="47"/>
      <c r="I748" s="47"/>
      <c r="J748" s="45" t="str">
        <f aca="false">IF($A748="","",IF(COUNTIF(Accounts!$C$2:$C$201,$A748)+COUNTIF('Service Principals'!$C$2:$C$201,$A748)+COUNTIF('Managed Identities'!$C$2:$C$201,$A748)&gt;0,"Yes","NOT IN INVENTORY"))</f>
        <v/>
      </c>
    </row>
    <row r="749" customFormat="false" ht="15" hidden="false" customHeight="false" outlineLevel="0" collapsed="false">
      <c r="A749" s="46"/>
      <c r="B749" s="46"/>
      <c r="C749" s="47"/>
      <c r="D749" s="47"/>
      <c r="E749" s="46"/>
      <c r="F749" s="46"/>
      <c r="G749" s="47"/>
      <c r="H749" s="47"/>
      <c r="I749" s="47"/>
      <c r="J749" s="45" t="str">
        <f aca="false">IF($A749="","",IF(COUNTIF(Accounts!$C$2:$C$201,$A749)+COUNTIF('Service Principals'!$C$2:$C$201,$A749)+COUNTIF('Managed Identities'!$C$2:$C$201,$A749)&gt;0,"Yes","NOT IN INVENTORY"))</f>
        <v/>
      </c>
    </row>
    <row r="750" customFormat="false" ht="15" hidden="false" customHeight="false" outlineLevel="0" collapsed="false">
      <c r="A750" s="46"/>
      <c r="B750" s="46"/>
      <c r="C750" s="47"/>
      <c r="D750" s="47"/>
      <c r="E750" s="46"/>
      <c r="F750" s="46"/>
      <c r="G750" s="47"/>
      <c r="H750" s="47"/>
      <c r="I750" s="47"/>
      <c r="J750" s="45" t="str">
        <f aca="false">IF($A750="","",IF(COUNTIF(Accounts!$C$2:$C$201,$A750)+COUNTIF('Service Principals'!$C$2:$C$201,$A750)+COUNTIF('Managed Identities'!$C$2:$C$201,$A750)&gt;0,"Yes","NOT IN INVENTORY"))</f>
        <v/>
      </c>
    </row>
    <row r="751" customFormat="false" ht="15" hidden="false" customHeight="false" outlineLevel="0" collapsed="false">
      <c r="A751" s="46"/>
      <c r="B751" s="46"/>
      <c r="C751" s="47"/>
      <c r="D751" s="47"/>
      <c r="E751" s="46"/>
      <c r="F751" s="46"/>
      <c r="G751" s="47"/>
      <c r="H751" s="47"/>
      <c r="I751" s="47"/>
      <c r="J751" s="45" t="str">
        <f aca="false">IF($A751="","",IF(COUNTIF(Accounts!$C$2:$C$201,$A751)+COUNTIF('Service Principals'!$C$2:$C$201,$A751)+COUNTIF('Managed Identities'!$C$2:$C$201,$A751)&gt;0,"Yes","NOT IN INVENTORY"))</f>
        <v/>
      </c>
    </row>
    <row r="752" customFormat="false" ht="15" hidden="false" customHeight="false" outlineLevel="0" collapsed="false">
      <c r="A752" s="46"/>
      <c r="B752" s="46"/>
      <c r="C752" s="47"/>
      <c r="D752" s="47"/>
      <c r="E752" s="46"/>
      <c r="F752" s="46"/>
      <c r="G752" s="47"/>
      <c r="H752" s="47"/>
      <c r="I752" s="47"/>
      <c r="J752" s="45" t="str">
        <f aca="false">IF($A752="","",IF(COUNTIF(Accounts!$C$2:$C$201,$A752)+COUNTIF('Service Principals'!$C$2:$C$201,$A752)+COUNTIF('Managed Identities'!$C$2:$C$201,$A752)&gt;0,"Yes","NOT IN INVENTORY"))</f>
        <v/>
      </c>
    </row>
    <row r="753" customFormat="false" ht="15" hidden="false" customHeight="false" outlineLevel="0" collapsed="false">
      <c r="A753" s="46"/>
      <c r="B753" s="46"/>
      <c r="C753" s="47"/>
      <c r="D753" s="47"/>
      <c r="E753" s="46"/>
      <c r="F753" s="46"/>
      <c r="G753" s="47"/>
      <c r="H753" s="47"/>
      <c r="I753" s="47"/>
      <c r="J753" s="45" t="str">
        <f aca="false">IF($A753="","",IF(COUNTIF(Accounts!$C$2:$C$201,$A753)+COUNTIF('Service Principals'!$C$2:$C$201,$A753)+COUNTIF('Managed Identities'!$C$2:$C$201,$A753)&gt;0,"Yes","NOT IN INVENTORY"))</f>
        <v/>
      </c>
    </row>
    <row r="754" customFormat="false" ht="15" hidden="false" customHeight="false" outlineLevel="0" collapsed="false">
      <c r="A754" s="46"/>
      <c r="B754" s="46"/>
      <c r="C754" s="47"/>
      <c r="D754" s="47"/>
      <c r="E754" s="46"/>
      <c r="F754" s="46"/>
      <c r="G754" s="47"/>
      <c r="H754" s="47"/>
      <c r="I754" s="47"/>
      <c r="J754" s="45" t="str">
        <f aca="false">IF($A754="","",IF(COUNTIF(Accounts!$C$2:$C$201,$A754)+COUNTIF('Service Principals'!$C$2:$C$201,$A754)+COUNTIF('Managed Identities'!$C$2:$C$201,$A754)&gt;0,"Yes","NOT IN INVENTORY"))</f>
        <v/>
      </c>
    </row>
    <row r="755" customFormat="false" ht="15" hidden="false" customHeight="false" outlineLevel="0" collapsed="false">
      <c r="A755" s="46"/>
      <c r="B755" s="46"/>
      <c r="C755" s="47"/>
      <c r="D755" s="47"/>
      <c r="E755" s="46"/>
      <c r="F755" s="46"/>
      <c r="G755" s="47"/>
      <c r="H755" s="47"/>
      <c r="I755" s="47"/>
      <c r="J755" s="45" t="str">
        <f aca="false">IF($A755="","",IF(COUNTIF(Accounts!$C$2:$C$201,$A755)+COUNTIF('Service Principals'!$C$2:$C$201,$A755)+COUNTIF('Managed Identities'!$C$2:$C$201,$A755)&gt;0,"Yes","NOT IN INVENTORY"))</f>
        <v/>
      </c>
    </row>
    <row r="756" customFormat="false" ht="15" hidden="false" customHeight="false" outlineLevel="0" collapsed="false">
      <c r="A756" s="46"/>
      <c r="B756" s="46"/>
      <c r="C756" s="47"/>
      <c r="D756" s="47"/>
      <c r="E756" s="46"/>
      <c r="F756" s="46"/>
      <c r="G756" s="47"/>
      <c r="H756" s="47"/>
      <c r="I756" s="47"/>
      <c r="J756" s="45" t="str">
        <f aca="false">IF($A756="","",IF(COUNTIF(Accounts!$C$2:$C$201,$A756)+COUNTIF('Service Principals'!$C$2:$C$201,$A756)+COUNTIF('Managed Identities'!$C$2:$C$201,$A756)&gt;0,"Yes","NOT IN INVENTORY"))</f>
        <v/>
      </c>
    </row>
    <row r="757" customFormat="false" ht="15" hidden="false" customHeight="false" outlineLevel="0" collapsed="false">
      <c r="A757" s="46"/>
      <c r="B757" s="46"/>
      <c r="C757" s="47"/>
      <c r="D757" s="47"/>
      <c r="E757" s="46"/>
      <c r="F757" s="46"/>
      <c r="G757" s="47"/>
      <c r="H757" s="47"/>
      <c r="I757" s="47"/>
      <c r="J757" s="45" t="str">
        <f aca="false">IF($A757="","",IF(COUNTIF(Accounts!$C$2:$C$201,$A757)+COUNTIF('Service Principals'!$C$2:$C$201,$A757)+COUNTIF('Managed Identities'!$C$2:$C$201,$A757)&gt;0,"Yes","NOT IN INVENTORY"))</f>
        <v/>
      </c>
    </row>
    <row r="758" customFormat="false" ht="15" hidden="false" customHeight="false" outlineLevel="0" collapsed="false">
      <c r="A758" s="46"/>
      <c r="B758" s="46"/>
      <c r="C758" s="47"/>
      <c r="D758" s="47"/>
      <c r="E758" s="46"/>
      <c r="F758" s="46"/>
      <c r="G758" s="47"/>
      <c r="H758" s="47"/>
      <c r="I758" s="47"/>
      <c r="J758" s="45" t="str">
        <f aca="false">IF($A758="","",IF(COUNTIF(Accounts!$C$2:$C$201,$A758)+COUNTIF('Service Principals'!$C$2:$C$201,$A758)+COUNTIF('Managed Identities'!$C$2:$C$201,$A758)&gt;0,"Yes","NOT IN INVENTORY"))</f>
        <v/>
      </c>
    </row>
    <row r="759" customFormat="false" ht="15" hidden="false" customHeight="false" outlineLevel="0" collapsed="false">
      <c r="A759" s="46"/>
      <c r="B759" s="46"/>
      <c r="C759" s="47"/>
      <c r="D759" s="47"/>
      <c r="E759" s="46"/>
      <c r="F759" s="46"/>
      <c r="G759" s="47"/>
      <c r="H759" s="47"/>
      <c r="I759" s="47"/>
      <c r="J759" s="45" t="str">
        <f aca="false">IF($A759="","",IF(COUNTIF(Accounts!$C$2:$C$201,$A759)+COUNTIF('Service Principals'!$C$2:$C$201,$A759)+COUNTIF('Managed Identities'!$C$2:$C$201,$A759)&gt;0,"Yes","NOT IN INVENTORY"))</f>
        <v/>
      </c>
    </row>
    <row r="760" customFormat="false" ht="15" hidden="false" customHeight="false" outlineLevel="0" collapsed="false">
      <c r="A760" s="46"/>
      <c r="B760" s="46"/>
      <c r="C760" s="47"/>
      <c r="D760" s="47"/>
      <c r="E760" s="46"/>
      <c r="F760" s="46"/>
      <c r="G760" s="47"/>
      <c r="H760" s="47"/>
      <c r="I760" s="47"/>
      <c r="J760" s="45" t="str">
        <f aca="false">IF($A760="","",IF(COUNTIF(Accounts!$C$2:$C$201,$A760)+COUNTIF('Service Principals'!$C$2:$C$201,$A760)+COUNTIF('Managed Identities'!$C$2:$C$201,$A760)&gt;0,"Yes","NOT IN INVENTORY"))</f>
        <v/>
      </c>
    </row>
    <row r="761" customFormat="false" ht="15" hidden="false" customHeight="false" outlineLevel="0" collapsed="false">
      <c r="A761" s="46"/>
      <c r="B761" s="46"/>
      <c r="C761" s="47"/>
      <c r="D761" s="47"/>
      <c r="E761" s="46"/>
      <c r="F761" s="46"/>
      <c r="G761" s="47"/>
      <c r="H761" s="47"/>
      <c r="I761" s="47"/>
      <c r="J761" s="45" t="str">
        <f aca="false">IF($A761="","",IF(COUNTIF(Accounts!$C$2:$C$201,$A761)+COUNTIF('Service Principals'!$C$2:$C$201,$A761)+COUNTIF('Managed Identities'!$C$2:$C$201,$A761)&gt;0,"Yes","NOT IN INVENTORY"))</f>
        <v/>
      </c>
    </row>
    <row r="762" customFormat="false" ht="15" hidden="false" customHeight="false" outlineLevel="0" collapsed="false">
      <c r="A762" s="46"/>
      <c r="B762" s="46"/>
      <c r="C762" s="47"/>
      <c r="D762" s="47"/>
      <c r="E762" s="46"/>
      <c r="F762" s="46"/>
      <c r="G762" s="47"/>
      <c r="H762" s="47"/>
      <c r="I762" s="47"/>
      <c r="J762" s="45" t="str">
        <f aca="false">IF($A762="","",IF(COUNTIF(Accounts!$C$2:$C$201,$A762)+COUNTIF('Service Principals'!$C$2:$C$201,$A762)+COUNTIF('Managed Identities'!$C$2:$C$201,$A762)&gt;0,"Yes","NOT IN INVENTORY"))</f>
        <v/>
      </c>
    </row>
    <row r="763" customFormat="false" ht="15" hidden="false" customHeight="false" outlineLevel="0" collapsed="false">
      <c r="A763" s="46"/>
      <c r="B763" s="46"/>
      <c r="C763" s="47"/>
      <c r="D763" s="47"/>
      <c r="E763" s="46"/>
      <c r="F763" s="46"/>
      <c r="G763" s="47"/>
      <c r="H763" s="47"/>
      <c r="I763" s="47"/>
      <c r="J763" s="45" t="str">
        <f aca="false">IF($A763="","",IF(COUNTIF(Accounts!$C$2:$C$201,$A763)+COUNTIF('Service Principals'!$C$2:$C$201,$A763)+COUNTIF('Managed Identities'!$C$2:$C$201,$A763)&gt;0,"Yes","NOT IN INVENTORY"))</f>
        <v/>
      </c>
    </row>
    <row r="764" customFormat="false" ht="15" hidden="false" customHeight="false" outlineLevel="0" collapsed="false">
      <c r="A764" s="46"/>
      <c r="B764" s="46"/>
      <c r="C764" s="47"/>
      <c r="D764" s="47"/>
      <c r="E764" s="46"/>
      <c r="F764" s="46"/>
      <c r="G764" s="47"/>
      <c r="H764" s="47"/>
      <c r="I764" s="47"/>
      <c r="J764" s="45" t="str">
        <f aca="false">IF($A764="","",IF(COUNTIF(Accounts!$C$2:$C$201,$A764)+COUNTIF('Service Principals'!$C$2:$C$201,$A764)+COUNTIF('Managed Identities'!$C$2:$C$201,$A764)&gt;0,"Yes","NOT IN INVENTORY"))</f>
        <v/>
      </c>
    </row>
    <row r="765" customFormat="false" ht="15" hidden="false" customHeight="false" outlineLevel="0" collapsed="false">
      <c r="A765" s="46"/>
      <c r="B765" s="46"/>
      <c r="C765" s="47"/>
      <c r="D765" s="47"/>
      <c r="E765" s="46"/>
      <c r="F765" s="46"/>
      <c r="G765" s="47"/>
      <c r="H765" s="47"/>
      <c r="I765" s="47"/>
      <c r="J765" s="45" t="str">
        <f aca="false">IF($A765="","",IF(COUNTIF(Accounts!$C$2:$C$201,$A765)+COUNTIF('Service Principals'!$C$2:$C$201,$A765)+COUNTIF('Managed Identities'!$C$2:$C$201,$A765)&gt;0,"Yes","NOT IN INVENTORY"))</f>
        <v/>
      </c>
    </row>
    <row r="766" customFormat="false" ht="15" hidden="false" customHeight="false" outlineLevel="0" collapsed="false">
      <c r="A766" s="46"/>
      <c r="B766" s="46"/>
      <c r="C766" s="47"/>
      <c r="D766" s="47"/>
      <c r="E766" s="46"/>
      <c r="F766" s="46"/>
      <c r="G766" s="47"/>
      <c r="H766" s="47"/>
      <c r="I766" s="47"/>
      <c r="J766" s="45" t="str">
        <f aca="false">IF($A766="","",IF(COUNTIF(Accounts!$C$2:$C$201,$A766)+COUNTIF('Service Principals'!$C$2:$C$201,$A766)+COUNTIF('Managed Identities'!$C$2:$C$201,$A766)&gt;0,"Yes","NOT IN INVENTORY"))</f>
        <v/>
      </c>
    </row>
    <row r="767" customFormat="false" ht="15" hidden="false" customHeight="false" outlineLevel="0" collapsed="false">
      <c r="A767" s="46"/>
      <c r="B767" s="46"/>
      <c r="C767" s="47"/>
      <c r="D767" s="47"/>
      <c r="E767" s="46"/>
      <c r="F767" s="46"/>
      <c r="G767" s="47"/>
      <c r="H767" s="47"/>
      <c r="I767" s="47"/>
      <c r="J767" s="45" t="str">
        <f aca="false">IF($A767="","",IF(COUNTIF(Accounts!$C$2:$C$201,$A767)+COUNTIF('Service Principals'!$C$2:$C$201,$A767)+COUNTIF('Managed Identities'!$C$2:$C$201,$A767)&gt;0,"Yes","NOT IN INVENTORY"))</f>
        <v/>
      </c>
    </row>
    <row r="768" customFormat="false" ht="15" hidden="false" customHeight="false" outlineLevel="0" collapsed="false">
      <c r="A768" s="46"/>
      <c r="B768" s="46"/>
      <c r="C768" s="47"/>
      <c r="D768" s="47"/>
      <c r="E768" s="46"/>
      <c r="F768" s="46"/>
      <c r="G768" s="47"/>
      <c r="H768" s="47"/>
      <c r="I768" s="47"/>
      <c r="J768" s="45" t="str">
        <f aca="false">IF($A768="","",IF(COUNTIF(Accounts!$C$2:$C$201,$A768)+COUNTIF('Service Principals'!$C$2:$C$201,$A768)+COUNTIF('Managed Identities'!$C$2:$C$201,$A768)&gt;0,"Yes","NOT IN INVENTORY"))</f>
        <v/>
      </c>
    </row>
    <row r="769" customFormat="false" ht="15" hidden="false" customHeight="false" outlineLevel="0" collapsed="false">
      <c r="A769" s="46"/>
      <c r="B769" s="46"/>
      <c r="C769" s="47"/>
      <c r="D769" s="47"/>
      <c r="E769" s="46"/>
      <c r="F769" s="46"/>
      <c r="G769" s="47"/>
      <c r="H769" s="47"/>
      <c r="I769" s="47"/>
      <c r="J769" s="45" t="str">
        <f aca="false">IF($A769="","",IF(COUNTIF(Accounts!$C$2:$C$201,$A769)+COUNTIF('Service Principals'!$C$2:$C$201,$A769)+COUNTIF('Managed Identities'!$C$2:$C$201,$A769)&gt;0,"Yes","NOT IN INVENTORY"))</f>
        <v/>
      </c>
    </row>
    <row r="770" customFormat="false" ht="15" hidden="false" customHeight="false" outlineLevel="0" collapsed="false">
      <c r="A770" s="46"/>
      <c r="B770" s="46"/>
      <c r="C770" s="47"/>
      <c r="D770" s="47"/>
      <c r="E770" s="46"/>
      <c r="F770" s="46"/>
      <c r="G770" s="47"/>
      <c r="H770" s="47"/>
      <c r="I770" s="47"/>
      <c r="J770" s="45" t="str">
        <f aca="false">IF($A770="","",IF(COUNTIF(Accounts!$C$2:$C$201,$A770)+COUNTIF('Service Principals'!$C$2:$C$201,$A770)+COUNTIF('Managed Identities'!$C$2:$C$201,$A770)&gt;0,"Yes","NOT IN INVENTORY"))</f>
        <v/>
      </c>
    </row>
    <row r="771" customFormat="false" ht="15" hidden="false" customHeight="false" outlineLevel="0" collapsed="false">
      <c r="A771" s="46"/>
      <c r="B771" s="46"/>
      <c r="C771" s="47"/>
      <c r="D771" s="47"/>
      <c r="E771" s="46"/>
      <c r="F771" s="46"/>
      <c r="G771" s="47"/>
      <c r="H771" s="47"/>
      <c r="I771" s="47"/>
      <c r="J771" s="45" t="str">
        <f aca="false">IF($A771="","",IF(COUNTIF(Accounts!$C$2:$C$201,$A771)+COUNTIF('Service Principals'!$C$2:$C$201,$A771)+COUNTIF('Managed Identities'!$C$2:$C$201,$A771)&gt;0,"Yes","NOT IN INVENTORY"))</f>
        <v/>
      </c>
    </row>
    <row r="772" customFormat="false" ht="15" hidden="false" customHeight="false" outlineLevel="0" collapsed="false">
      <c r="A772" s="46"/>
      <c r="B772" s="46"/>
      <c r="C772" s="47"/>
      <c r="D772" s="47"/>
      <c r="E772" s="46"/>
      <c r="F772" s="46"/>
      <c r="G772" s="47"/>
      <c r="H772" s="47"/>
      <c r="I772" s="47"/>
      <c r="J772" s="45" t="str">
        <f aca="false">IF($A772="","",IF(COUNTIF(Accounts!$C$2:$C$201,$A772)+COUNTIF('Service Principals'!$C$2:$C$201,$A772)+COUNTIF('Managed Identities'!$C$2:$C$201,$A772)&gt;0,"Yes","NOT IN INVENTORY"))</f>
        <v/>
      </c>
    </row>
    <row r="773" customFormat="false" ht="15" hidden="false" customHeight="false" outlineLevel="0" collapsed="false">
      <c r="A773" s="46"/>
      <c r="B773" s="46"/>
      <c r="C773" s="47"/>
      <c r="D773" s="47"/>
      <c r="E773" s="46"/>
      <c r="F773" s="46"/>
      <c r="G773" s="47"/>
      <c r="H773" s="47"/>
      <c r="I773" s="47"/>
      <c r="J773" s="45" t="str">
        <f aca="false">IF($A773="","",IF(COUNTIF(Accounts!$C$2:$C$201,$A773)+COUNTIF('Service Principals'!$C$2:$C$201,$A773)+COUNTIF('Managed Identities'!$C$2:$C$201,$A773)&gt;0,"Yes","NOT IN INVENTORY"))</f>
        <v/>
      </c>
    </row>
    <row r="774" customFormat="false" ht="15" hidden="false" customHeight="false" outlineLevel="0" collapsed="false">
      <c r="A774" s="46"/>
      <c r="B774" s="46"/>
      <c r="C774" s="47"/>
      <c r="D774" s="47"/>
      <c r="E774" s="46"/>
      <c r="F774" s="46"/>
      <c r="G774" s="47"/>
      <c r="H774" s="47"/>
      <c r="I774" s="47"/>
      <c r="J774" s="45" t="str">
        <f aca="false">IF($A774="","",IF(COUNTIF(Accounts!$C$2:$C$201,$A774)+COUNTIF('Service Principals'!$C$2:$C$201,$A774)+COUNTIF('Managed Identities'!$C$2:$C$201,$A774)&gt;0,"Yes","NOT IN INVENTORY"))</f>
        <v/>
      </c>
    </row>
    <row r="775" customFormat="false" ht="15" hidden="false" customHeight="false" outlineLevel="0" collapsed="false">
      <c r="A775" s="46"/>
      <c r="B775" s="46"/>
      <c r="C775" s="47"/>
      <c r="D775" s="47"/>
      <c r="E775" s="46"/>
      <c r="F775" s="46"/>
      <c r="G775" s="47"/>
      <c r="H775" s="47"/>
      <c r="I775" s="47"/>
      <c r="J775" s="45" t="str">
        <f aca="false">IF($A775="","",IF(COUNTIF(Accounts!$C$2:$C$201,$A775)+COUNTIF('Service Principals'!$C$2:$C$201,$A775)+COUNTIF('Managed Identities'!$C$2:$C$201,$A775)&gt;0,"Yes","NOT IN INVENTORY"))</f>
        <v/>
      </c>
    </row>
    <row r="776" customFormat="false" ht="15" hidden="false" customHeight="false" outlineLevel="0" collapsed="false">
      <c r="A776" s="46"/>
      <c r="B776" s="46"/>
      <c r="C776" s="47"/>
      <c r="D776" s="47"/>
      <c r="E776" s="46"/>
      <c r="F776" s="46"/>
      <c r="G776" s="47"/>
      <c r="H776" s="47"/>
      <c r="I776" s="47"/>
      <c r="J776" s="45" t="str">
        <f aca="false">IF($A776="","",IF(COUNTIF(Accounts!$C$2:$C$201,$A776)+COUNTIF('Service Principals'!$C$2:$C$201,$A776)+COUNTIF('Managed Identities'!$C$2:$C$201,$A776)&gt;0,"Yes","NOT IN INVENTORY"))</f>
        <v/>
      </c>
    </row>
    <row r="777" customFormat="false" ht="15" hidden="false" customHeight="false" outlineLevel="0" collapsed="false">
      <c r="A777" s="46"/>
      <c r="B777" s="46"/>
      <c r="C777" s="47"/>
      <c r="D777" s="47"/>
      <c r="E777" s="46"/>
      <c r="F777" s="46"/>
      <c r="G777" s="47"/>
      <c r="H777" s="47"/>
      <c r="I777" s="47"/>
      <c r="J777" s="45" t="str">
        <f aca="false">IF($A777="","",IF(COUNTIF(Accounts!$C$2:$C$201,$A777)+COUNTIF('Service Principals'!$C$2:$C$201,$A777)+COUNTIF('Managed Identities'!$C$2:$C$201,$A777)&gt;0,"Yes","NOT IN INVENTORY"))</f>
        <v/>
      </c>
    </row>
    <row r="778" customFormat="false" ht="15" hidden="false" customHeight="false" outlineLevel="0" collapsed="false">
      <c r="A778" s="46"/>
      <c r="B778" s="46"/>
      <c r="C778" s="47"/>
      <c r="D778" s="47"/>
      <c r="E778" s="46"/>
      <c r="F778" s="46"/>
      <c r="G778" s="47"/>
      <c r="H778" s="47"/>
      <c r="I778" s="47"/>
      <c r="J778" s="45" t="str">
        <f aca="false">IF($A778="","",IF(COUNTIF(Accounts!$C$2:$C$201,$A778)+COUNTIF('Service Principals'!$C$2:$C$201,$A778)+COUNTIF('Managed Identities'!$C$2:$C$201,$A778)&gt;0,"Yes","NOT IN INVENTORY"))</f>
        <v/>
      </c>
    </row>
    <row r="779" customFormat="false" ht="15" hidden="false" customHeight="false" outlineLevel="0" collapsed="false">
      <c r="A779" s="46"/>
      <c r="B779" s="46"/>
      <c r="C779" s="47"/>
      <c r="D779" s="47"/>
      <c r="E779" s="46"/>
      <c r="F779" s="46"/>
      <c r="G779" s="47"/>
      <c r="H779" s="47"/>
      <c r="I779" s="47"/>
      <c r="J779" s="45" t="str">
        <f aca="false">IF($A779="","",IF(COUNTIF(Accounts!$C$2:$C$201,$A779)+COUNTIF('Service Principals'!$C$2:$C$201,$A779)+COUNTIF('Managed Identities'!$C$2:$C$201,$A779)&gt;0,"Yes","NOT IN INVENTORY"))</f>
        <v/>
      </c>
    </row>
    <row r="780" customFormat="false" ht="15" hidden="false" customHeight="false" outlineLevel="0" collapsed="false">
      <c r="A780" s="46"/>
      <c r="B780" s="46"/>
      <c r="C780" s="47"/>
      <c r="D780" s="47"/>
      <c r="E780" s="46"/>
      <c r="F780" s="46"/>
      <c r="G780" s="47"/>
      <c r="H780" s="47"/>
      <c r="I780" s="47"/>
      <c r="J780" s="45" t="str">
        <f aca="false">IF($A780="","",IF(COUNTIF(Accounts!$C$2:$C$201,$A780)+COUNTIF('Service Principals'!$C$2:$C$201,$A780)+COUNTIF('Managed Identities'!$C$2:$C$201,$A780)&gt;0,"Yes","NOT IN INVENTORY"))</f>
        <v/>
      </c>
    </row>
    <row r="781" customFormat="false" ht="15" hidden="false" customHeight="false" outlineLevel="0" collapsed="false">
      <c r="A781" s="46"/>
      <c r="B781" s="46"/>
      <c r="C781" s="47"/>
      <c r="D781" s="47"/>
      <c r="E781" s="46"/>
      <c r="F781" s="46"/>
      <c r="G781" s="47"/>
      <c r="H781" s="47"/>
      <c r="I781" s="47"/>
      <c r="J781" s="45" t="str">
        <f aca="false">IF($A781="","",IF(COUNTIF(Accounts!$C$2:$C$201,$A781)+COUNTIF('Service Principals'!$C$2:$C$201,$A781)+COUNTIF('Managed Identities'!$C$2:$C$201,$A781)&gt;0,"Yes","NOT IN INVENTORY"))</f>
        <v/>
      </c>
    </row>
    <row r="782" customFormat="false" ht="15" hidden="false" customHeight="false" outlineLevel="0" collapsed="false">
      <c r="A782" s="46"/>
      <c r="B782" s="46"/>
      <c r="C782" s="47"/>
      <c r="D782" s="47"/>
      <c r="E782" s="46"/>
      <c r="F782" s="46"/>
      <c r="G782" s="47"/>
      <c r="H782" s="47"/>
      <c r="I782" s="47"/>
      <c r="J782" s="45" t="str">
        <f aca="false">IF($A782="","",IF(COUNTIF(Accounts!$C$2:$C$201,$A782)+COUNTIF('Service Principals'!$C$2:$C$201,$A782)+COUNTIF('Managed Identities'!$C$2:$C$201,$A782)&gt;0,"Yes","NOT IN INVENTORY"))</f>
        <v/>
      </c>
    </row>
    <row r="783" customFormat="false" ht="15" hidden="false" customHeight="false" outlineLevel="0" collapsed="false">
      <c r="A783" s="46"/>
      <c r="B783" s="46"/>
      <c r="C783" s="47"/>
      <c r="D783" s="47"/>
      <c r="E783" s="46"/>
      <c r="F783" s="46"/>
      <c r="G783" s="47"/>
      <c r="H783" s="47"/>
      <c r="I783" s="47"/>
      <c r="J783" s="45" t="str">
        <f aca="false">IF($A783="","",IF(COUNTIF(Accounts!$C$2:$C$201,$A783)+COUNTIF('Service Principals'!$C$2:$C$201,$A783)+COUNTIF('Managed Identities'!$C$2:$C$201,$A783)&gt;0,"Yes","NOT IN INVENTORY"))</f>
        <v/>
      </c>
    </row>
    <row r="784" customFormat="false" ht="15" hidden="false" customHeight="false" outlineLevel="0" collapsed="false">
      <c r="A784" s="46"/>
      <c r="B784" s="46"/>
      <c r="C784" s="47"/>
      <c r="D784" s="47"/>
      <c r="E784" s="46"/>
      <c r="F784" s="46"/>
      <c r="G784" s="47"/>
      <c r="H784" s="47"/>
      <c r="I784" s="47"/>
      <c r="J784" s="45" t="str">
        <f aca="false">IF($A784="","",IF(COUNTIF(Accounts!$C$2:$C$201,$A784)+COUNTIF('Service Principals'!$C$2:$C$201,$A784)+COUNTIF('Managed Identities'!$C$2:$C$201,$A784)&gt;0,"Yes","NOT IN INVENTORY"))</f>
        <v/>
      </c>
    </row>
    <row r="785" customFormat="false" ht="15" hidden="false" customHeight="false" outlineLevel="0" collapsed="false">
      <c r="A785" s="46"/>
      <c r="B785" s="46"/>
      <c r="C785" s="47"/>
      <c r="D785" s="47"/>
      <c r="E785" s="46"/>
      <c r="F785" s="46"/>
      <c r="G785" s="47"/>
      <c r="H785" s="47"/>
      <c r="I785" s="47"/>
      <c r="J785" s="45" t="str">
        <f aca="false">IF($A785="","",IF(COUNTIF(Accounts!$C$2:$C$201,$A785)+COUNTIF('Service Principals'!$C$2:$C$201,$A785)+COUNTIF('Managed Identities'!$C$2:$C$201,$A785)&gt;0,"Yes","NOT IN INVENTORY"))</f>
        <v/>
      </c>
    </row>
    <row r="786" customFormat="false" ht="15" hidden="false" customHeight="false" outlineLevel="0" collapsed="false">
      <c r="A786" s="46"/>
      <c r="B786" s="46"/>
      <c r="C786" s="47"/>
      <c r="D786" s="47"/>
      <c r="E786" s="46"/>
      <c r="F786" s="46"/>
      <c r="G786" s="47"/>
      <c r="H786" s="47"/>
      <c r="I786" s="47"/>
      <c r="J786" s="45" t="str">
        <f aca="false">IF($A786="","",IF(COUNTIF(Accounts!$C$2:$C$201,$A786)+COUNTIF('Service Principals'!$C$2:$C$201,$A786)+COUNTIF('Managed Identities'!$C$2:$C$201,$A786)&gt;0,"Yes","NOT IN INVENTORY"))</f>
        <v/>
      </c>
    </row>
    <row r="787" customFormat="false" ht="15" hidden="false" customHeight="false" outlineLevel="0" collapsed="false">
      <c r="A787" s="46"/>
      <c r="B787" s="46"/>
      <c r="C787" s="47"/>
      <c r="D787" s="47"/>
      <c r="E787" s="46"/>
      <c r="F787" s="46"/>
      <c r="G787" s="47"/>
      <c r="H787" s="47"/>
      <c r="I787" s="47"/>
      <c r="J787" s="45" t="str">
        <f aca="false">IF($A787="","",IF(COUNTIF(Accounts!$C$2:$C$201,$A787)+COUNTIF('Service Principals'!$C$2:$C$201,$A787)+COUNTIF('Managed Identities'!$C$2:$C$201,$A787)&gt;0,"Yes","NOT IN INVENTORY"))</f>
        <v/>
      </c>
    </row>
    <row r="788" customFormat="false" ht="15" hidden="false" customHeight="false" outlineLevel="0" collapsed="false">
      <c r="A788" s="46"/>
      <c r="B788" s="46"/>
      <c r="C788" s="47"/>
      <c r="D788" s="47"/>
      <c r="E788" s="46"/>
      <c r="F788" s="46"/>
      <c r="G788" s="47"/>
      <c r="H788" s="47"/>
      <c r="I788" s="47"/>
      <c r="J788" s="45" t="str">
        <f aca="false">IF($A788="","",IF(COUNTIF(Accounts!$C$2:$C$201,$A788)+COUNTIF('Service Principals'!$C$2:$C$201,$A788)+COUNTIF('Managed Identities'!$C$2:$C$201,$A788)&gt;0,"Yes","NOT IN INVENTORY"))</f>
        <v/>
      </c>
    </row>
    <row r="789" customFormat="false" ht="15" hidden="false" customHeight="false" outlineLevel="0" collapsed="false">
      <c r="A789" s="46"/>
      <c r="B789" s="46"/>
      <c r="C789" s="47"/>
      <c r="D789" s="47"/>
      <c r="E789" s="46"/>
      <c r="F789" s="46"/>
      <c r="G789" s="47"/>
      <c r="H789" s="47"/>
      <c r="I789" s="47"/>
      <c r="J789" s="45" t="str">
        <f aca="false">IF($A789="","",IF(COUNTIF(Accounts!$C$2:$C$201,$A789)+COUNTIF('Service Principals'!$C$2:$C$201,$A789)+COUNTIF('Managed Identities'!$C$2:$C$201,$A789)&gt;0,"Yes","NOT IN INVENTORY"))</f>
        <v/>
      </c>
    </row>
    <row r="790" customFormat="false" ht="15" hidden="false" customHeight="false" outlineLevel="0" collapsed="false">
      <c r="A790" s="46"/>
      <c r="B790" s="46"/>
      <c r="C790" s="47"/>
      <c r="D790" s="47"/>
      <c r="E790" s="46"/>
      <c r="F790" s="46"/>
      <c r="G790" s="47"/>
      <c r="H790" s="47"/>
      <c r="I790" s="47"/>
      <c r="J790" s="45" t="str">
        <f aca="false">IF($A790="","",IF(COUNTIF(Accounts!$C$2:$C$201,$A790)+COUNTIF('Service Principals'!$C$2:$C$201,$A790)+COUNTIF('Managed Identities'!$C$2:$C$201,$A790)&gt;0,"Yes","NOT IN INVENTORY"))</f>
        <v/>
      </c>
    </row>
    <row r="791" customFormat="false" ht="15" hidden="false" customHeight="false" outlineLevel="0" collapsed="false">
      <c r="A791" s="46"/>
      <c r="B791" s="46"/>
      <c r="C791" s="47"/>
      <c r="D791" s="47"/>
      <c r="E791" s="46"/>
      <c r="F791" s="46"/>
      <c r="G791" s="47"/>
      <c r="H791" s="47"/>
      <c r="I791" s="47"/>
      <c r="J791" s="45" t="str">
        <f aca="false">IF($A791="","",IF(COUNTIF(Accounts!$C$2:$C$201,$A791)+COUNTIF('Service Principals'!$C$2:$C$201,$A791)+COUNTIF('Managed Identities'!$C$2:$C$201,$A791)&gt;0,"Yes","NOT IN INVENTORY"))</f>
        <v/>
      </c>
    </row>
    <row r="792" customFormat="false" ht="15" hidden="false" customHeight="false" outlineLevel="0" collapsed="false">
      <c r="A792" s="46"/>
      <c r="B792" s="46"/>
      <c r="C792" s="47"/>
      <c r="D792" s="47"/>
      <c r="E792" s="46"/>
      <c r="F792" s="46"/>
      <c r="G792" s="47"/>
      <c r="H792" s="47"/>
      <c r="I792" s="47"/>
      <c r="J792" s="45" t="str">
        <f aca="false">IF($A792="","",IF(COUNTIF(Accounts!$C$2:$C$201,$A792)+COUNTIF('Service Principals'!$C$2:$C$201,$A792)+COUNTIF('Managed Identities'!$C$2:$C$201,$A792)&gt;0,"Yes","NOT IN INVENTORY"))</f>
        <v/>
      </c>
    </row>
    <row r="793" customFormat="false" ht="15" hidden="false" customHeight="false" outlineLevel="0" collapsed="false">
      <c r="A793" s="46"/>
      <c r="B793" s="46"/>
      <c r="C793" s="47"/>
      <c r="D793" s="47"/>
      <c r="E793" s="46"/>
      <c r="F793" s="46"/>
      <c r="G793" s="47"/>
      <c r="H793" s="47"/>
      <c r="I793" s="47"/>
      <c r="J793" s="45" t="str">
        <f aca="false">IF($A793="","",IF(COUNTIF(Accounts!$C$2:$C$201,$A793)+COUNTIF('Service Principals'!$C$2:$C$201,$A793)+COUNTIF('Managed Identities'!$C$2:$C$201,$A793)&gt;0,"Yes","NOT IN INVENTORY"))</f>
        <v/>
      </c>
    </row>
    <row r="794" customFormat="false" ht="15" hidden="false" customHeight="false" outlineLevel="0" collapsed="false">
      <c r="A794" s="46"/>
      <c r="B794" s="46"/>
      <c r="C794" s="47"/>
      <c r="D794" s="47"/>
      <c r="E794" s="46"/>
      <c r="F794" s="46"/>
      <c r="G794" s="47"/>
      <c r="H794" s="47"/>
      <c r="I794" s="47"/>
      <c r="J794" s="45" t="str">
        <f aca="false">IF($A794="","",IF(COUNTIF(Accounts!$C$2:$C$201,$A794)+COUNTIF('Service Principals'!$C$2:$C$201,$A794)+COUNTIF('Managed Identities'!$C$2:$C$201,$A794)&gt;0,"Yes","NOT IN INVENTORY"))</f>
        <v/>
      </c>
    </row>
    <row r="795" customFormat="false" ht="15" hidden="false" customHeight="false" outlineLevel="0" collapsed="false">
      <c r="A795" s="46"/>
      <c r="B795" s="46"/>
      <c r="C795" s="47"/>
      <c r="D795" s="47"/>
      <c r="E795" s="46"/>
      <c r="F795" s="46"/>
      <c r="G795" s="47"/>
      <c r="H795" s="47"/>
      <c r="I795" s="47"/>
      <c r="J795" s="45" t="str">
        <f aca="false">IF($A795="","",IF(COUNTIF(Accounts!$C$2:$C$201,$A795)+COUNTIF('Service Principals'!$C$2:$C$201,$A795)+COUNTIF('Managed Identities'!$C$2:$C$201,$A795)&gt;0,"Yes","NOT IN INVENTORY"))</f>
        <v/>
      </c>
    </row>
    <row r="796" customFormat="false" ht="15" hidden="false" customHeight="false" outlineLevel="0" collapsed="false">
      <c r="A796" s="46"/>
      <c r="B796" s="46"/>
      <c r="C796" s="47"/>
      <c r="D796" s="47"/>
      <c r="E796" s="46"/>
      <c r="F796" s="46"/>
      <c r="G796" s="47"/>
      <c r="H796" s="47"/>
      <c r="I796" s="47"/>
      <c r="J796" s="45" t="str">
        <f aca="false">IF($A796="","",IF(COUNTIF(Accounts!$C$2:$C$201,$A796)+COUNTIF('Service Principals'!$C$2:$C$201,$A796)+COUNTIF('Managed Identities'!$C$2:$C$201,$A796)&gt;0,"Yes","NOT IN INVENTORY"))</f>
        <v/>
      </c>
    </row>
    <row r="797" customFormat="false" ht="15" hidden="false" customHeight="false" outlineLevel="0" collapsed="false">
      <c r="A797" s="46"/>
      <c r="B797" s="46"/>
      <c r="C797" s="47"/>
      <c r="D797" s="47"/>
      <c r="E797" s="46"/>
      <c r="F797" s="46"/>
      <c r="G797" s="47"/>
      <c r="H797" s="47"/>
      <c r="I797" s="47"/>
      <c r="J797" s="45" t="str">
        <f aca="false">IF($A797="","",IF(COUNTIF(Accounts!$C$2:$C$201,$A797)+COUNTIF('Service Principals'!$C$2:$C$201,$A797)+COUNTIF('Managed Identities'!$C$2:$C$201,$A797)&gt;0,"Yes","NOT IN INVENTORY"))</f>
        <v/>
      </c>
    </row>
    <row r="798" customFormat="false" ht="15" hidden="false" customHeight="false" outlineLevel="0" collapsed="false">
      <c r="A798" s="46"/>
      <c r="B798" s="46"/>
      <c r="C798" s="47"/>
      <c r="D798" s="47"/>
      <c r="E798" s="46"/>
      <c r="F798" s="46"/>
      <c r="G798" s="47"/>
      <c r="H798" s="47"/>
      <c r="I798" s="47"/>
      <c r="J798" s="45" t="str">
        <f aca="false">IF($A798="","",IF(COUNTIF(Accounts!$C$2:$C$201,$A798)+COUNTIF('Service Principals'!$C$2:$C$201,$A798)+COUNTIF('Managed Identities'!$C$2:$C$201,$A798)&gt;0,"Yes","NOT IN INVENTORY"))</f>
        <v/>
      </c>
    </row>
    <row r="799" customFormat="false" ht="15" hidden="false" customHeight="false" outlineLevel="0" collapsed="false">
      <c r="A799" s="46"/>
      <c r="B799" s="46"/>
      <c r="C799" s="47"/>
      <c r="D799" s="47"/>
      <c r="E799" s="46"/>
      <c r="F799" s="46"/>
      <c r="G799" s="47"/>
      <c r="H799" s="47"/>
      <c r="I799" s="47"/>
      <c r="J799" s="45" t="str">
        <f aca="false">IF($A799="","",IF(COUNTIF(Accounts!$C$2:$C$201,$A799)+COUNTIF('Service Principals'!$C$2:$C$201,$A799)+COUNTIF('Managed Identities'!$C$2:$C$201,$A799)&gt;0,"Yes","NOT IN INVENTORY"))</f>
        <v/>
      </c>
    </row>
    <row r="800" customFormat="false" ht="15" hidden="false" customHeight="false" outlineLevel="0" collapsed="false">
      <c r="A800" s="46"/>
      <c r="B800" s="46"/>
      <c r="C800" s="47"/>
      <c r="D800" s="47"/>
      <c r="E800" s="46"/>
      <c r="F800" s="46"/>
      <c r="G800" s="47"/>
      <c r="H800" s="47"/>
      <c r="I800" s="47"/>
      <c r="J800" s="45" t="str">
        <f aca="false">IF($A800="","",IF(COUNTIF(Accounts!$C$2:$C$201,$A800)+COUNTIF('Service Principals'!$C$2:$C$201,$A800)+COUNTIF('Managed Identities'!$C$2:$C$201,$A800)&gt;0,"Yes","NOT IN INVENTORY"))</f>
        <v/>
      </c>
    </row>
    <row r="801" customFormat="false" ht="15" hidden="false" customHeight="false" outlineLevel="0" collapsed="false">
      <c r="A801" s="46"/>
      <c r="B801" s="46"/>
      <c r="C801" s="47"/>
      <c r="D801" s="47"/>
      <c r="E801" s="46"/>
      <c r="F801" s="46"/>
      <c r="G801" s="47"/>
      <c r="H801" s="47"/>
      <c r="I801" s="47"/>
      <c r="J801" s="45" t="str">
        <f aca="false">IF($A801="","",IF(COUNTIF(Accounts!$C$2:$C$201,$A801)+COUNTIF('Service Principals'!$C$2:$C$201,$A801)+COUNTIF('Managed Identities'!$C$2:$C$201,$A801)&gt;0,"Yes","NOT IN INVENTORY"))</f>
        <v/>
      </c>
    </row>
    <row r="802" customFormat="false" ht="15" hidden="false" customHeight="false" outlineLevel="0" collapsed="false">
      <c r="A802" s="46"/>
      <c r="B802" s="46"/>
      <c r="C802" s="47"/>
      <c r="D802" s="47"/>
      <c r="E802" s="46"/>
      <c r="F802" s="46"/>
      <c r="G802" s="47"/>
      <c r="H802" s="47"/>
      <c r="I802" s="47"/>
      <c r="J802" s="45" t="str">
        <f aca="false">IF($A802="","",IF(COUNTIF(Accounts!$C$2:$C$201,$A802)+COUNTIF('Service Principals'!$C$2:$C$201,$A802)+COUNTIF('Managed Identities'!$C$2:$C$201,$A802)&gt;0,"Yes","NOT IN INVENTORY"))</f>
        <v/>
      </c>
    </row>
    <row r="803" customFormat="false" ht="15" hidden="false" customHeight="false" outlineLevel="0" collapsed="false">
      <c r="A803" s="46"/>
      <c r="B803" s="46"/>
      <c r="C803" s="47"/>
      <c r="D803" s="47"/>
      <c r="E803" s="46"/>
      <c r="F803" s="46"/>
      <c r="G803" s="47"/>
      <c r="H803" s="47"/>
      <c r="I803" s="47"/>
      <c r="J803" s="45" t="str">
        <f aca="false">IF($A803="","",IF(COUNTIF(Accounts!$C$2:$C$201,$A803)+COUNTIF('Service Principals'!$C$2:$C$201,$A803)+COUNTIF('Managed Identities'!$C$2:$C$201,$A803)&gt;0,"Yes","NOT IN INVENTORY"))</f>
        <v/>
      </c>
    </row>
    <row r="804" customFormat="false" ht="15" hidden="false" customHeight="false" outlineLevel="0" collapsed="false">
      <c r="A804" s="46"/>
      <c r="B804" s="46"/>
      <c r="C804" s="47"/>
      <c r="D804" s="47"/>
      <c r="E804" s="46"/>
      <c r="F804" s="46"/>
      <c r="G804" s="47"/>
      <c r="H804" s="47"/>
      <c r="I804" s="47"/>
      <c r="J804" s="45" t="str">
        <f aca="false">IF($A804="","",IF(COUNTIF(Accounts!$C$2:$C$201,$A804)+COUNTIF('Service Principals'!$C$2:$C$201,$A804)+COUNTIF('Managed Identities'!$C$2:$C$201,$A804)&gt;0,"Yes","NOT IN INVENTORY"))</f>
        <v/>
      </c>
    </row>
    <row r="805" customFormat="false" ht="15" hidden="false" customHeight="false" outlineLevel="0" collapsed="false">
      <c r="A805" s="46"/>
      <c r="B805" s="46"/>
      <c r="C805" s="47"/>
      <c r="D805" s="47"/>
      <c r="E805" s="46"/>
      <c r="F805" s="46"/>
      <c r="G805" s="47"/>
      <c r="H805" s="47"/>
      <c r="I805" s="47"/>
      <c r="J805" s="45" t="str">
        <f aca="false">IF($A805="","",IF(COUNTIF(Accounts!$C$2:$C$201,$A805)+COUNTIF('Service Principals'!$C$2:$C$201,$A805)+COUNTIF('Managed Identities'!$C$2:$C$201,$A805)&gt;0,"Yes","NOT IN INVENTORY"))</f>
        <v/>
      </c>
    </row>
    <row r="806" customFormat="false" ht="15" hidden="false" customHeight="false" outlineLevel="0" collapsed="false">
      <c r="A806" s="46"/>
      <c r="B806" s="46"/>
      <c r="C806" s="47"/>
      <c r="D806" s="47"/>
      <c r="E806" s="46"/>
      <c r="F806" s="46"/>
      <c r="G806" s="47"/>
      <c r="H806" s="47"/>
      <c r="I806" s="47"/>
      <c r="J806" s="45" t="str">
        <f aca="false">IF($A806="","",IF(COUNTIF(Accounts!$C$2:$C$201,$A806)+COUNTIF('Service Principals'!$C$2:$C$201,$A806)+COUNTIF('Managed Identities'!$C$2:$C$201,$A806)&gt;0,"Yes","NOT IN INVENTORY"))</f>
        <v/>
      </c>
    </row>
    <row r="807" customFormat="false" ht="15" hidden="false" customHeight="false" outlineLevel="0" collapsed="false">
      <c r="A807" s="46"/>
      <c r="B807" s="46"/>
      <c r="C807" s="47"/>
      <c r="D807" s="47"/>
      <c r="E807" s="46"/>
      <c r="F807" s="46"/>
      <c r="G807" s="47"/>
      <c r="H807" s="47"/>
      <c r="I807" s="47"/>
      <c r="J807" s="45" t="str">
        <f aca="false">IF($A807="","",IF(COUNTIF(Accounts!$C$2:$C$201,$A807)+COUNTIF('Service Principals'!$C$2:$C$201,$A807)+COUNTIF('Managed Identities'!$C$2:$C$201,$A807)&gt;0,"Yes","NOT IN INVENTORY"))</f>
        <v/>
      </c>
    </row>
    <row r="808" customFormat="false" ht="15" hidden="false" customHeight="false" outlineLevel="0" collapsed="false">
      <c r="A808" s="46"/>
      <c r="B808" s="46"/>
      <c r="C808" s="47"/>
      <c r="D808" s="47"/>
      <c r="E808" s="46"/>
      <c r="F808" s="46"/>
      <c r="G808" s="47"/>
      <c r="H808" s="47"/>
      <c r="I808" s="47"/>
      <c r="J808" s="45" t="str">
        <f aca="false">IF($A808="","",IF(COUNTIF(Accounts!$C$2:$C$201,$A808)+COUNTIF('Service Principals'!$C$2:$C$201,$A808)+COUNTIF('Managed Identities'!$C$2:$C$201,$A808)&gt;0,"Yes","NOT IN INVENTORY"))</f>
        <v/>
      </c>
    </row>
    <row r="809" customFormat="false" ht="15" hidden="false" customHeight="false" outlineLevel="0" collapsed="false">
      <c r="A809" s="46"/>
      <c r="B809" s="46"/>
      <c r="C809" s="47"/>
      <c r="D809" s="47"/>
      <c r="E809" s="46"/>
      <c r="F809" s="46"/>
      <c r="G809" s="47"/>
      <c r="H809" s="47"/>
      <c r="I809" s="47"/>
      <c r="J809" s="45" t="str">
        <f aca="false">IF($A809="","",IF(COUNTIF(Accounts!$C$2:$C$201,$A809)+COUNTIF('Service Principals'!$C$2:$C$201,$A809)+COUNTIF('Managed Identities'!$C$2:$C$201,$A809)&gt;0,"Yes","NOT IN INVENTORY"))</f>
        <v/>
      </c>
    </row>
    <row r="810" customFormat="false" ht="15" hidden="false" customHeight="false" outlineLevel="0" collapsed="false">
      <c r="A810" s="46"/>
      <c r="B810" s="46"/>
      <c r="C810" s="47"/>
      <c r="D810" s="47"/>
      <c r="E810" s="46"/>
      <c r="F810" s="46"/>
      <c r="G810" s="47"/>
      <c r="H810" s="47"/>
      <c r="I810" s="47"/>
      <c r="J810" s="45" t="str">
        <f aca="false">IF($A810="","",IF(COUNTIF(Accounts!$C$2:$C$201,$A810)+COUNTIF('Service Principals'!$C$2:$C$201,$A810)+COUNTIF('Managed Identities'!$C$2:$C$201,$A810)&gt;0,"Yes","NOT IN INVENTORY"))</f>
        <v/>
      </c>
    </row>
    <row r="811" customFormat="false" ht="15" hidden="false" customHeight="false" outlineLevel="0" collapsed="false">
      <c r="A811" s="46"/>
      <c r="B811" s="46"/>
      <c r="C811" s="47"/>
      <c r="D811" s="47"/>
      <c r="E811" s="46"/>
      <c r="F811" s="46"/>
      <c r="G811" s="47"/>
      <c r="H811" s="47"/>
      <c r="I811" s="47"/>
      <c r="J811" s="45" t="str">
        <f aca="false">IF($A811="","",IF(COUNTIF(Accounts!$C$2:$C$201,$A811)+COUNTIF('Service Principals'!$C$2:$C$201,$A811)+COUNTIF('Managed Identities'!$C$2:$C$201,$A811)&gt;0,"Yes","NOT IN INVENTORY"))</f>
        <v/>
      </c>
    </row>
    <row r="812" customFormat="false" ht="15" hidden="false" customHeight="false" outlineLevel="0" collapsed="false">
      <c r="A812" s="46"/>
      <c r="B812" s="46"/>
      <c r="C812" s="47"/>
      <c r="D812" s="47"/>
      <c r="E812" s="46"/>
      <c r="F812" s="46"/>
      <c r="G812" s="47"/>
      <c r="H812" s="47"/>
      <c r="I812" s="47"/>
      <c r="J812" s="45" t="str">
        <f aca="false">IF($A812="","",IF(COUNTIF(Accounts!$C$2:$C$201,$A812)+COUNTIF('Service Principals'!$C$2:$C$201,$A812)+COUNTIF('Managed Identities'!$C$2:$C$201,$A812)&gt;0,"Yes","NOT IN INVENTORY"))</f>
        <v/>
      </c>
    </row>
    <row r="813" customFormat="false" ht="15" hidden="false" customHeight="false" outlineLevel="0" collapsed="false">
      <c r="A813" s="46"/>
      <c r="B813" s="46"/>
      <c r="C813" s="47"/>
      <c r="D813" s="47"/>
      <c r="E813" s="46"/>
      <c r="F813" s="46"/>
      <c r="G813" s="47"/>
      <c r="H813" s="47"/>
      <c r="I813" s="47"/>
      <c r="J813" s="45" t="str">
        <f aca="false">IF($A813="","",IF(COUNTIF(Accounts!$C$2:$C$201,$A813)+COUNTIF('Service Principals'!$C$2:$C$201,$A813)+COUNTIF('Managed Identities'!$C$2:$C$201,$A813)&gt;0,"Yes","NOT IN INVENTORY"))</f>
        <v/>
      </c>
    </row>
    <row r="814" customFormat="false" ht="15" hidden="false" customHeight="false" outlineLevel="0" collapsed="false">
      <c r="A814" s="46"/>
      <c r="B814" s="46"/>
      <c r="C814" s="47"/>
      <c r="D814" s="47"/>
      <c r="E814" s="46"/>
      <c r="F814" s="46"/>
      <c r="G814" s="47"/>
      <c r="H814" s="47"/>
      <c r="I814" s="47"/>
      <c r="J814" s="45" t="str">
        <f aca="false">IF($A814="","",IF(COUNTIF(Accounts!$C$2:$C$201,$A814)+COUNTIF('Service Principals'!$C$2:$C$201,$A814)+COUNTIF('Managed Identities'!$C$2:$C$201,$A814)&gt;0,"Yes","NOT IN INVENTORY"))</f>
        <v/>
      </c>
    </row>
    <row r="815" customFormat="false" ht="15" hidden="false" customHeight="false" outlineLevel="0" collapsed="false">
      <c r="A815" s="46"/>
      <c r="B815" s="46"/>
      <c r="C815" s="47"/>
      <c r="D815" s="47"/>
      <c r="E815" s="46"/>
      <c r="F815" s="46"/>
      <c r="G815" s="47"/>
      <c r="H815" s="47"/>
      <c r="I815" s="47"/>
      <c r="J815" s="45" t="str">
        <f aca="false">IF($A815="","",IF(COUNTIF(Accounts!$C$2:$C$201,$A815)+COUNTIF('Service Principals'!$C$2:$C$201,$A815)+COUNTIF('Managed Identities'!$C$2:$C$201,$A815)&gt;0,"Yes","NOT IN INVENTORY"))</f>
        <v/>
      </c>
    </row>
    <row r="816" customFormat="false" ht="15" hidden="false" customHeight="false" outlineLevel="0" collapsed="false">
      <c r="A816" s="46"/>
      <c r="B816" s="46"/>
      <c r="C816" s="47"/>
      <c r="D816" s="47"/>
      <c r="E816" s="46"/>
      <c r="F816" s="46"/>
      <c r="G816" s="47"/>
      <c r="H816" s="47"/>
      <c r="I816" s="47"/>
      <c r="J816" s="45" t="str">
        <f aca="false">IF($A816="","",IF(COUNTIF(Accounts!$C$2:$C$201,$A816)+COUNTIF('Service Principals'!$C$2:$C$201,$A816)+COUNTIF('Managed Identities'!$C$2:$C$201,$A816)&gt;0,"Yes","NOT IN INVENTORY"))</f>
        <v/>
      </c>
    </row>
    <row r="817" customFormat="false" ht="15" hidden="false" customHeight="false" outlineLevel="0" collapsed="false">
      <c r="A817" s="46"/>
      <c r="B817" s="46"/>
      <c r="C817" s="47"/>
      <c r="D817" s="47"/>
      <c r="E817" s="46"/>
      <c r="F817" s="46"/>
      <c r="G817" s="47"/>
      <c r="H817" s="47"/>
      <c r="I817" s="47"/>
      <c r="J817" s="45" t="str">
        <f aca="false">IF($A817="","",IF(COUNTIF(Accounts!$C$2:$C$201,$A817)+COUNTIF('Service Principals'!$C$2:$C$201,$A817)+COUNTIF('Managed Identities'!$C$2:$C$201,$A817)&gt;0,"Yes","NOT IN INVENTORY"))</f>
        <v/>
      </c>
    </row>
    <row r="818" customFormat="false" ht="15" hidden="false" customHeight="false" outlineLevel="0" collapsed="false">
      <c r="A818" s="46"/>
      <c r="B818" s="46"/>
      <c r="C818" s="47"/>
      <c r="D818" s="47"/>
      <c r="E818" s="46"/>
      <c r="F818" s="46"/>
      <c r="G818" s="47"/>
      <c r="H818" s="47"/>
      <c r="I818" s="47"/>
      <c r="J818" s="45" t="str">
        <f aca="false">IF($A818="","",IF(COUNTIF(Accounts!$C$2:$C$201,$A818)+COUNTIF('Service Principals'!$C$2:$C$201,$A818)+COUNTIF('Managed Identities'!$C$2:$C$201,$A818)&gt;0,"Yes","NOT IN INVENTORY"))</f>
        <v/>
      </c>
    </row>
    <row r="819" customFormat="false" ht="15" hidden="false" customHeight="false" outlineLevel="0" collapsed="false">
      <c r="A819" s="46"/>
      <c r="B819" s="46"/>
      <c r="C819" s="47"/>
      <c r="D819" s="47"/>
      <c r="E819" s="46"/>
      <c r="F819" s="46"/>
      <c r="G819" s="47"/>
      <c r="H819" s="47"/>
      <c r="I819" s="47"/>
      <c r="J819" s="45" t="str">
        <f aca="false">IF($A819="","",IF(COUNTIF(Accounts!$C$2:$C$201,$A819)+COUNTIF('Service Principals'!$C$2:$C$201,$A819)+COUNTIF('Managed Identities'!$C$2:$C$201,$A819)&gt;0,"Yes","NOT IN INVENTORY"))</f>
        <v/>
      </c>
    </row>
    <row r="820" customFormat="false" ht="15" hidden="false" customHeight="false" outlineLevel="0" collapsed="false">
      <c r="A820" s="46"/>
      <c r="B820" s="46"/>
      <c r="C820" s="47"/>
      <c r="D820" s="47"/>
      <c r="E820" s="46"/>
      <c r="F820" s="46"/>
      <c r="G820" s="47"/>
      <c r="H820" s="47"/>
      <c r="I820" s="47"/>
      <c r="J820" s="45" t="str">
        <f aca="false">IF($A820="","",IF(COUNTIF(Accounts!$C$2:$C$201,$A820)+COUNTIF('Service Principals'!$C$2:$C$201,$A820)+COUNTIF('Managed Identities'!$C$2:$C$201,$A820)&gt;0,"Yes","NOT IN INVENTORY"))</f>
        <v/>
      </c>
    </row>
    <row r="821" customFormat="false" ht="15" hidden="false" customHeight="false" outlineLevel="0" collapsed="false">
      <c r="A821" s="46"/>
      <c r="B821" s="46"/>
      <c r="C821" s="47"/>
      <c r="D821" s="47"/>
      <c r="E821" s="46"/>
      <c r="F821" s="46"/>
      <c r="G821" s="47"/>
      <c r="H821" s="47"/>
      <c r="I821" s="47"/>
      <c r="J821" s="45" t="str">
        <f aca="false">IF($A821="","",IF(COUNTIF(Accounts!$C$2:$C$201,$A821)+COUNTIF('Service Principals'!$C$2:$C$201,$A821)+COUNTIF('Managed Identities'!$C$2:$C$201,$A821)&gt;0,"Yes","NOT IN INVENTORY"))</f>
        <v/>
      </c>
    </row>
    <row r="822" customFormat="false" ht="15" hidden="false" customHeight="false" outlineLevel="0" collapsed="false">
      <c r="A822" s="46"/>
      <c r="B822" s="46"/>
      <c r="C822" s="47"/>
      <c r="D822" s="47"/>
      <c r="E822" s="46"/>
      <c r="F822" s="46"/>
      <c r="G822" s="47"/>
      <c r="H822" s="47"/>
      <c r="I822" s="47"/>
      <c r="J822" s="45" t="str">
        <f aca="false">IF($A822="","",IF(COUNTIF(Accounts!$C$2:$C$201,$A822)+COUNTIF('Service Principals'!$C$2:$C$201,$A822)+COUNTIF('Managed Identities'!$C$2:$C$201,$A822)&gt;0,"Yes","NOT IN INVENTORY"))</f>
        <v/>
      </c>
    </row>
    <row r="823" customFormat="false" ht="15" hidden="false" customHeight="false" outlineLevel="0" collapsed="false">
      <c r="A823" s="46"/>
      <c r="B823" s="46"/>
      <c r="C823" s="47"/>
      <c r="D823" s="47"/>
      <c r="E823" s="46"/>
      <c r="F823" s="46"/>
      <c r="G823" s="47"/>
      <c r="H823" s="47"/>
      <c r="I823" s="47"/>
      <c r="J823" s="45" t="str">
        <f aca="false">IF($A823="","",IF(COUNTIF(Accounts!$C$2:$C$201,$A823)+COUNTIF('Service Principals'!$C$2:$C$201,$A823)+COUNTIF('Managed Identities'!$C$2:$C$201,$A823)&gt;0,"Yes","NOT IN INVENTORY"))</f>
        <v/>
      </c>
    </row>
    <row r="824" customFormat="false" ht="15" hidden="false" customHeight="false" outlineLevel="0" collapsed="false">
      <c r="A824" s="46"/>
      <c r="B824" s="46"/>
      <c r="C824" s="47"/>
      <c r="D824" s="47"/>
      <c r="E824" s="46"/>
      <c r="F824" s="46"/>
      <c r="G824" s="47"/>
      <c r="H824" s="47"/>
      <c r="I824" s="47"/>
      <c r="J824" s="45" t="str">
        <f aca="false">IF($A824="","",IF(COUNTIF(Accounts!$C$2:$C$201,$A824)+COUNTIF('Service Principals'!$C$2:$C$201,$A824)+COUNTIF('Managed Identities'!$C$2:$C$201,$A824)&gt;0,"Yes","NOT IN INVENTORY"))</f>
        <v/>
      </c>
    </row>
    <row r="825" customFormat="false" ht="15" hidden="false" customHeight="false" outlineLevel="0" collapsed="false">
      <c r="A825" s="46"/>
      <c r="B825" s="46"/>
      <c r="C825" s="47"/>
      <c r="D825" s="47"/>
      <c r="E825" s="46"/>
      <c r="F825" s="46"/>
      <c r="G825" s="47"/>
      <c r="H825" s="47"/>
      <c r="I825" s="47"/>
      <c r="J825" s="45" t="str">
        <f aca="false">IF($A825="","",IF(COUNTIF(Accounts!$C$2:$C$201,$A825)+COUNTIF('Service Principals'!$C$2:$C$201,$A825)+COUNTIF('Managed Identities'!$C$2:$C$201,$A825)&gt;0,"Yes","NOT IN INVENTORY"))</f>
        <v/>
      </c>
    </row>
    <row r="826" customFormat="false" ht="15" hidden="false" customHeight="false" outlineLevel="0" collapsed="false">
      <c r="A826" s="46"/>
      <c r="B826" s="46"/>
      <c r="C826" s="47"/>
      <c r="D826" s="47"/>
      <c r="E826" s="46"/>
      <c r="F826" s="46"/>
      <c r="G826" s="47"/>
      <c r="H826" s="47"/>
      <c r="I826" s="47"/>
      <c r="J826" s="45" t="str">
        <f aca="false">IF($A826="","",IF(COUNTIF(Accounts!$C$2:$C$201,$A826)+COUNTIF('Service Principals'!$C$2:$C$201,$A826)+COUNTIF('Managed Identities'!$C$2:$C$201,$A826)&gt;0,"Yes","NOT IN INVENTORY"))</f>
        <v/>
      </c>
    </row>
    <row r="827" customFormat="false" ht="15" hidden="false" customHeight="false" outlineLevel="0" collapsed="false">
      <c r="A827" s="46"/>
      <c r="B827" s="46"/>
      <c r="C827" s="47"/>
      <c r="D827" s="47"/>
      <c r="E827" s="46"/>
      <c r="F827" s="46"/>
      <c r="G827" s="47"/>
      <c r="H827" s="47"/>
      <c r="I827" s="47"/>
      <c r="J827" s="45" t="str">
        <f aca="false">IF($A827="","",IF(COUNTIF(Accounts!$C$2:$C$201,$A827)+COUNTIF('Service Principals'!$C$2:$C$201,$A827)+COUNTIF('Managed Identities'!$C$2:$C$201,$A827)&gt;0,"Yes","NOT IN INVENTORY"))</f>
        <v/>
      </c>
    </row>
    <row r="828" customFormat="false" ht="15" hidden="false" customHeight="false" outlineLevel="0" collapsed="false">
      <c r="A828" s="46"/>
      <c r="B828" s="46"/>
      <c r="C828" s="47"/>
      <c r="D828" s="47"/>
      <c r="E828" s="46"/>
      <c r="F828" s="46"/>
      <c r="G828" s="47"/>
      <c r="H828" s="47"/>
      <c r="I828" s="47"/>
      <c r="J828" s="45" t="str">
        <f aca="false">IF($A828="","",IF(COUNTIF(Accounts!$C$2:$C$201,$A828)+COUNTIF('Service Principals'!$C$2:$C$201,$A828)+COUNTIF('Managed Identities'!$C$2:$C$201,$A828)&gt;0,"Yes","NOT IN INVENTORY"))</f>
        <v/>
      </c>
    </row>
    <row r="829" customFormat="false" ht="15" hidden="false" customHeight="false" outlineLevel="0" collapsed="false">
      <c r="A829" s="46"/>
      <c r="B829" s="46"/>
      <c r="C829" s="47"/>
      <c r="D829" s="47"/>
      <c r="E829" s="46"/>
      <c r="F829" s="46"/>
      <c r="G829" s="47"/>
      <c r="H829" s="47"/>
      <c r="I829" s="47"/>
      <c r="J829" s="45" t="str">
        <f aca="false">IF($A829="","",IF(COUNTIF(Accounts!$C$2:$C$201,$A829)+COUNTIF('Service Principals'!$C$2:$C$201,$A829)+COUNTIF('Managed Identities'!$C$2:$C$201,$A829)&gt;0,"Yes","NOT IN INVENTORY"))</f>
        <v/>
      </c>
    </row>
    <row r="830" customFormat="false" ht="15" hidden="false" customHeight="false" outlineLevel="0" collapsed="false">
      <c r="A830" s="46"/>
      <c r="B830" s="46"/>
      <c r="C830" s="47"/>
      <c r="D830" s="47"/>
      <c r="E830" s="46"/>
      <c r="F830" s="46"/>
      <c r="G830" s="47"/>
      <c r="H830" s="47"/>
      <c r="I830" s="47"/>
      <c r="J830" s="45" t="str">
        <f aca="false">IF($A830="","",IF(COUNTIF(Accounts!$C$2:$C$201,$A830)+COUNTIF('Service Principals'!$C$2:$C$201,$A830)+COUNTIF('Managed Identities'!$C$2:$C$201,$A830)&gt;0,"Yes","NOT IN INVENTORY"))</f>
        <v/>
      </c>
    </row>
    <row r="831" customFormat="false" ht="15" hidden="false" customHeight="false" outlineLevel="0" collapsed="false">
      <c r="A831" s="46"/>
      <c r="B831" s="46"/>
      <c r="C831" s="47"/>
      <c r="D831" s="47"/>
      <c r="E831" s="46"/>
      <c r="F831" s="46"/>
      <c r="G831" s="47"/>
      <c r="H831" s="47"/>
      <c r="I831" s="47"/>
      <c r="J831" s="45" t="str">
        <f aca="false">IF($A831="","",IF(COUNTIF(Accounts!$C$2:$C$201,$A831)+COUNTIF('Service Principals'!$C$2:$C$201,$A831)+COUNTIF('Managed Identities'!$C$2:$C$201,$A831)&gt;0,"Yes","NOT IN INVENTORY"))</f>
        <v/>
      </c>
    </row>
    <row r="832" customFormat="false" ht="15" hidden="false" customHeight="false" outlineLevel="0" collapsed="false">
      <c r="A832" s="46"/>
      <c r="B832" s="46"/>
      <c r="C832" s="47"/>
      <c r="D832" s="47"/>
      <c r="E832" s="46"/>
      <c r="F832" s="46"/>
      <c r="G832" s="47"/>
      <c r="H832" s="47"/>
      <c r="I832" s="47"/>
      <c r="J832" s="45" t="str">
        <f aca="false">IF($A832="","",IF(COUNTIF(Accounts!$C$2:$C$201,$A832)+COUNTIF('Service Principals'!$C$2:$C$201,$A832)+COUNTIF('Managed Identities'!$C$2:$C$201,$A832)&gt;0,"Yes","NOT IN INVENTORY"))</f>
        <v/>
      </c>
    </row>
    <row r="833" customFormat="false" ht="15" hidden="false" customHeight="false" outlineLevel="0" collapsed="false">
      <c r="A833" s="46"/>
      <c r="B833" s="46"/>
      <c r="C833" s="47"/>
      <c r="D833" s="47"/>
      <c r="E833" s="46"/>
      <c r="F833" s="46"/>
      <c r="G833" s="47"/>
      <c r="H833" s="47"/>
      <c r="I833" s="47"/>
      <c r="J833" s="45" t="str">
        <f aca="false">IF($A833="","",IF(COUNTIF(Accounts!$C$2:$C$201,$A833)+COUNTIF('Service Principals'!$C$2:$C$201,$A833)+COUNTIF('Managed Identities'!$C$2:$C$201,$A833)&gt;0,"Yes","NOT IN INVENTORY"))</f>
        <v/>
      </c>
    </row>
    <row r="834" customFormat="false" ht="15" hidden="false" customHeight="false" outlineLevel="0" collapsed="false">
      <c r="A834" s="46"/>
      <c r="B834" s="46"/>
      <c r="C834" s="47"/>
      <c r="D834" s="47"/>
      <c r="E834" s="46"/>
      <c r="F834" s="46"/>
      <c r="G834" s="47"/>
      <c r="H834" s="47"/>
      <c r="I834" s="47"/>
      <c r="J834" s="45" t="str">
        <f aca="false">IF($A834="","",IF(COUNTIF(Accounts!$C$2:$C$201,$A834)+COUNTIF('Service Principals'!$C$2:$C$201,$A834)+COUNTIF('Managed Identities'!$C$2:$C$201,$A834)&gt;0,"Yes","NOT IN INVENTORY"))</f>
        <v/>
      </c>
    </row>
    <row r="835" customFormat="false" ht="15" hidden="false" customHeight="false" outlineLevel="0" collapsed="false">
      <c r="A835" s="46"/>
      <c r="B835" s="46"/>
      <c r="C835" s="47"/>
      <c r="D835" s="47"/>
      <c r="E835" s="46"/>
      <c r="F835" s="46"/>
      <c r="G835" s="47"/>
      <c r="H835" s="47"/>
      <c r="I835" s="47"/>
      <c r="J835" s="45" t="str">
        <f aca="false">IF($A835="","",IF(COUNTIF(Accounts!$C$2:$C$201,$A835)+COUNTIF('Service Principals'!$C$2:$C$201,$A835)+COUNTIF('Managed Identities'!$C$2:$C$201,$A835)&gt;0,"Yes","NOT IN INVENTORY"))</f>
        <v/>
      </c>
    </row>
    <row r="836" customFormat="false" ht="15" hidden="false" customHeight="false" outlineLevel="0" collapsed="false">
      <c r="A836" s="46"/>
      <c r="B836" s="46"/>
      <c r="C836" s="47"/>
      <c r="D836" s="47"/>
      <c r="E836" s="46"/>
      <c r="F836" s="46"/>
      <c r="G836" s="47"/>
      <c r="H836" s="47"/>
      <c r="I836" s="47"/>
      <c r="J836" s="45" t="str">
        <f aca="false">IF($A836="","",IF(COUNTIF(Accounts!$C$2:$C$201,$A836)+COUNTIF('Service Principals'!$C$2:$C$201,$A836)+COUNTIF('Managed Identities'!$C$2:$C$201,$A836)&gt;0,"Yes","NOT IN INVENTORY"))</f>
        <v/>
      </c>
    </row>
    <row r="837" customFormat="false" ht="15" hidden="false" customHeight="false" outlineLevel="0" collapsed="false">
      <c r="A837" s="46"/>
      <c r="B837" s="46"/>
      <c r="C837" s="47"/>
      <c r="D837" s="47"/>
      <c r="E837" s="46"/>
      <c r="F837" s="46"/>
      <c r="G837" s="47"/>
      <c r="H837" s="47"/>
      <c r="I837" s="47"/>
      <c r="J837" s="45" t="str">
        <f aca="false">IF($A837="","",IF(COUNTIF(Accounts!$C$2:$C$201,$A837)+COUNTIF('Service Principals'!$C$2:$C$201,$A837)+COUNTIF('Managed Identities'!$C$2:$C$201,$A837)&gt;0,"Yes","NOT IN INVENTORY"))</f>
        <v/>
      </c>
    </row>
    <row r="838" customFormat="false" ht="15" hidden="false" customHeight="false" outlineLevel="0" collapsed="false">
      <c r="A838" s="46"/>
      <c r="B838" s="46"/>
      <c r="C838" s="47"/>
      <c r="D838" s="47"/>
      <c r="E838" s="46"/>
      <c r="F838" s="46"/>
      <c r="G838" s="47"/>
      <c r="H838" s="47"/>
      <c r="I838" s="47"/>
      <c r="J838" s="45" t="str">
        <f aca="false">IF($A838="","",IF(COUNTIF(Accounts!$C$2:$C$201,$A838)+COUNTIF('Service Principals'!$C$2:$C$201,$A838)+COUNTIF('Managed Identities'!$C$2:$C$201,$A838)&gt;0,"Yes","NOT IN INVENTORY"))</f>
        <v/>
      </c>
    </row>
    <row r="839" customFormat="false" ht="15" hidden="false" customHeight="false" outlineLevel="0" collapsed="false">
      <c r="A839" s="46"/>
      <c r="B839" s="46"/>
      <c r="C839" s="47"/>
      <c r="D839" s="47"/>
      <c r="E839" s="46"/>
      <c r="F839" s="46"/>
      <c r="G839" s="47"/>
      <c r="H839" s="47"/>
      <c r="I839" s="47"/>
      <c r="J839" s="45" t="str">
        <f aca="false">IF($A839="","",IF(COUNTIF(Accounts!$C$2:$C$201,$A839)+COUNTIF('Service Principals'!$C$2:$C$201,$A839)+COUNTIF('Managed Identities'!$C$2:$C$201,$A839)&gt;0,"Yes","NOT IN INVENTORY"))</f>
        <v/>
      </c>
    </row>
    <row r="840" customFormat="false" ht="15" hidden="false" customHeight="false" outlineLevel="0" collapsed="false">
      <c r="A840" s="46"/>
      <c r="B840" s="46"/>
      <c r="C840" s="47"/>
      <c r="D840" s="47"/>
      <c r="E840" s="46"/>
      <c r="F840" s="46"/>
      <c r="G840" s="47"/>
      <c r="H840" s="47"/>
      <c r="I840" s="47"/>
      <c r="J840" s="45" t="str">
        <f aca="false">IF($A840="","",IF(COUNTIF(Accounts!$C$2:$C$201,$A840)+COUNTIF('Service Principals'!$C$2:$C$201,$A840)+COUNTIF('Managed Identities'!$C$2:$C$201,$A840)&gt;0,"Yes","NOT IN INVENTORY"))</f>
        <v/>
      </c>
    </row>
    <row r="841" customFormat="false" ht="15" hidden="false" customHeight="false" outlineLevel="0" collapsed="false">
      <c r="A841" s="46"/>
      <c r="B841" s="46"/>
      <c r="C841" s="47"/>
      <c r="D841" s="47"/>
      <c r="E841" s="46"/>
      <c r="F841" s="46"/>
      <c r="G841" s="47"/>
      <c r="H841" s="47"/>
      <c r="I841" s="47"/>
      <c r="J841" s="45" t="str">
        <f aca="false">IF($A841="","",IF(COUNTIF(Accounts!$C$2:$C$201,$A841)+COUNTIF('Service Principals'!$C$2:$C$201,$A841)+COUNTIF('Managed Identities'!$C$2:$C$201,$A841)&gt;0,"Yes","NOT IN INVENTORY"))</f>
        <v/>
      </c>
    </row>
    <row r="842" customFormat="false" ht="15" hidden="false" customHeight="false" outlineLevel="0" collapsed="false">
      <c r="A842" s="46"/>
      <c r="B842" s="46"/>
      <c r="C842" s="47"/>
      <c r="D842" s="47"/>
      <c r="E842" s="46"/>
      <c r="F842" s="46"/>
      <c r="G842" s="47"/>
      <c r="H842" s="47"/>
      <c r="I842" s="47"/>
      <c r="J842" s="45" t="str">
        <f aca="false">IF($A842="","",IF(COUNTIF(Accounts!$C$2:$C$201,$A842)+COUNTIF('Service Principals'!$C$2:$C$201,$A842)+COUNTIF('Managed Identities'!$C$2:$C$201,$A842)&gt;0,"Yes","NOT IN INVENTORY"))</f>
        <v/>
      </c>
    </row>
    <row r="843" customFormat="false" ht="15" hidden="false" customHeight="false" outlineLevel="0" collapsed="false">
      <c r="A843" s="46"/>
      <c r="B843" s="46"/>
      <c r="C843" s="47"/>
      <c r="D843" s="47"/>
      <c r="E843" s="46"/>
      <c r="F843" s="46"/>
      <c r="G843" s="47"/>
      <c r="H843" s="47"/>
      <c r="I843" s="47"/>
      <c r="J843" s="45" t="str">
        <f aca="false">IF($A843="","",IF(COUNTIF(Accounts!$C$2:$C$201,$A843)+COUNTIF('Service Principals'!$C$2:$C$201,$A843)+COUNTIF('Managed Identities'!$C$2:$C$201,$A843)&gt;0,"Yes","NOT IN INVENTORY"))</f>
        <v/>
      </c>
    </row>
    <row r="844" customFormat="false" ht="15" hidden="false" customHeight="false" outlineLevel="0" collapsed="false">
      <c r="A844" s="46"/>
      <c r="B844" s="46"/>
      <c r="C844" s="47"/>
      <c r="D844" s="47"/>
      <c r="E844" s="46"/>
      <c r="F844" s="46"/>
      <c r="G844" s="47"/>
      <c r="H844" s="47"/>
      <c r="I844" s="47"/>
      <c r="J844" s="45" t="str">
        <f aca="false">IF($A844="","",IF(COUNTIF(Accounts!$C$2:$C$201,$A844)+COUNTIF('Service Principals'!$C$2:$C$201,$A844)+COUNTIF('Managed Identities'!$C$2:$C$201,$A844)&gt;0,"Yes","NOT IN INVENTORY"))</f>
        <v/>
      </c>
    </row>
    <row r="845" customFormat="false" ht="15" hidden="false" customHeight="false" outlineLevel="0" collapsed="false">
      <c r="A845" s="46"/>
      <c r="B845" s="46"/>
      <c r="C845" s="47"/>
      <c r="D845" s="47"/>
      <c r="E845" s="46"/>
      <c r="F845" s="46"/>
      <c r="G845" s="47"/>
      <c r="H845" s="47"/>
      <c r="I845" s="47"/>
      <c r="J845" s="45" t="str">
        <f aca="false">IF($A845="","",IF(COUNTIF(Accounts!$C$2:$C$201,$A845)+COUNTIF('Service Principals'!$C$2:$C$201,$A845)+COUNTIF('Managed Identities'!$C$2:$C$201,$A845)&gt;0,"Yes","NOT IN INVENTORY"))</f>
        <v/>
      </c>
    </row>
    <row r="846" customFormat="false" ht="15" hidden="false" customHeight="false" outlineLevel="0" collapsed="false">
      <c r="A846" s="46"/>
      <c r="B846" s="46"/>
      <c r="C846" s="47"/>
      <c r="D846" s="47"/>
      <c r="E846" s="46"/>
      <c r="F846" s="46"/>
      <c r="G846" s="47"/>
      <c r="H846" s="47"/>
      <c r="I846" s="47"/>
      <c r="J846" s="45" t="str">
        <f aca="false">IF($A846="","",IF(COUNTIF(Accounts!$C$2:$C$201,$A846)+COUNTIF('Service Principals'!$C$2:$C$201,$A846)+COUNTIF('Managed Identities'!$C$2:$C$201,$A846)&gt;0,"Yes","NOT IN INVENTORY"))</f>
        <v/>
      </c>
    </row>
    <row r="847" customFormat="false" ht="15" hidden="false" customHeight="false" outlineLevel="0" collapsed="false">
      <c r="A847" s="46"/>
      <c r="B847" s="46"/>
      <c r="C847" s="47"/>
      <c r="D847" s="47"/>
      <c r="E847" s="46"/>
      <c r="F847" s="46"/>
      <c r="G847" s="47"/>
      <c r="H847" s="47"/>
      <c r="I847" s="47"/>
      <c r="J847" s="45" t="str">
        <f aca="false">IF($A847="","",IF(COUNTIF(Accounts!$C$2:$C$201,$A847)+COUNTIF('Service Principals'!$C$2:$C$201,$A847)+COUNTIF('Managed Identities'!$C$2:$C$201,$A847)&gt;0,"Yes","NOT IN INVENTORY"))</f>
        <v/>
      </c>
    </row>
    <row r="848" customFormat="false" ht="15" hidden="false" customHeight="false" outlineLevel="0" collapsed="false">
      <c r="A848" s="46"/>
      <c r="B848" s="46"/>
      <c r="C848" s="47"/>
      <c r="D848" s="47"/>
      <c r="E848" s="46"/>
      <c r="F848" s="46"/>
      <c r="G848" s="47"/>
      <c r="H848" s="47"/>
      <c r="I848" s="47"/>
      <c r="J848" s="45" t="str">
        <f aca="false">IF($A848="","",IF(COUNTIF(Accounts!$C$2:$C$201,$A848)+COUNTIF('Service Principals'!$C$2:$C$201,$A848)+COUNTIF('Managed Identities'!$C$2:$C$201,$A848)&gt;0,"Yes","NOT IN INVENTORY"))</f>
        <v/>
      </c>
    </row>
    <row r="849" customFormat="false" ht="15" hidden="false" customHeight="false" outlineLevel="0" collapsed="false">
      <c r="A849" s="46"/>
      <c r="B849" s="46"/>
      <c r="C849" s="47"/>
      <c r="D849" s="47"/>
      <c r="E849" s="46"/>
      <c r="F849" s="46"/>
      <c r="G849" s="47"/>
      <c r="H849" s="47"/>
      <c r="I849" s="47"/>
      <c r="J849" s="45" t="str">
        <f aca="false">IF($A849="","",IF(COUNTIF(Accounts!$C$2:$C$201,$A849)+COUNTIF('Service Principals'!$C$2:$C$201,$A849)+COUNTIF('Managed Identities'!$C$2:$C$201,$A849)&gt;0,"Yes","NOT IN INVENTORY"))</f>
        <v/>
      </c>
    </row>
    <row r="850" customFormat="false" ht="15" hidden="false" customHeight="false" outlineLevel="0" collapsed="false">
      <c r="A850" s="46"/>
      <c r="B850" s="46"/>
      <c r="C850" s="47"/>
      <c r="D850" s="47"/>
      <c r="E850" s="46"/>
      <c r="F850" s="46"/>
      <c r="G850" s="47"/>
      <c r="H850" s="47"/>
      <c r="I850" s="47"/>
      <c r="J850" s="45" t="str">
        <f aca="false">IF($A850="","",IF(COUNTIF(Accounts!$C$2:$C$201,$A850)+COUNTIF('Service Principals'!$C$2:$C$201,$A850)+COUNTIF('Managed Identities'!$C$2:$C$201,$A850)&gt;0,"Yes","NOT IN INVENTORY"))</f>
        <v/>
      </c>
    </row>
    <row r="851" customFormat="false" ht="15" hidden="false" customHeight="false" outlineLevel="0" collapsed="false">
      <c r="A851" s="46"/>
      <c r="B851" s="46"/>
      <c r="C851" s="47"/>
      <c r="D851" s="47"/>
      <c r="E851" s="46"/>
      <c r="F851" s="46"/>
      <c r="G851" s="47"/>
      <c r="H851" s="47"/>
      <c r="I851" s="47"/>
      <c r="J851" s="45" t="str">
        <f aca="false">IF($A851="","",IF(COUNTIF(Accounts!$C$2:$C$201,$A851)+COUNTIF('Service Principals'!$C$2:$C$201,$A851)+COUNTIF('Managed Identities'!$C$2:$C$201,$A851)&gt;0,"Yes","NOT IN INVENTORY"))</f>
        <v/>
      </c>
    </row>
    <row r="852" customFormat="false" ht="15" hidden="false" customHeight="false" outlineLevel="0" collapsed="false">
      <c r="A852" s="46"/>
      <c r="B852" s="46"/>
      <c r="C852" s="47"/>
      <c r="D852" s="47"/>
      <c r="E852" s="46"/>
      <c r="F852" s="46"/>
      <c r="G852" s="47"/>
      <c r="H852" s="47"/>
      <c r="I852" s="47"/>
      <c r="J852" s="45" t="str">
        <f aca="false">IF($A852="","",IF(COUNTIF(Accounts!$C$2:$C$201,$A852)+COUNTIF('Service Principals'!$C$2:$C$201,$A852)+COUNTIF('Managed Identities'!$C$2:$C$201,$A852)&gt;0,"Yes","NOT IN INVENTORY"))</f>
        <v/>
      </c>
    </row>
    <row r="853" customFormat="false" ht="15" hidden="false" customHeight="false" outlineLevel="0" collapsed="false">
      <c r="A853" s="46"/>
      <c r="B853" s="46"/>
      <c r="C853" s="47"/>
      <c r="D853" s="47"/>
      <c r="E853" s="46"/>
      <c r="F853" s="46"/>
      <c r="G853" s="47"/>
      <c r="H853" s="47"/>
      <c r="I853" s="47"/>
      <c r="J853" s="45" t="str">
        <f aca="false">IF($A853="","",IF(COUNTIF(Accounts!$C$2:$C$201,$A853)+COUNTIF('Service Principals'!$C$2:$C$201,$A853)+COUNTIF('Managed Identities'!$C$2:$C$201,$A853)&gt;0,"Yes","NOT IN INVENTORY"))</f>
        <v/>
      </c>
    </row>
    <row r="854" customFormat="false" ht="15" hidden="false" customHeight="false" outlineLevel="0" collapsed="false">
      <c r="A854" s="46"/>
      <c r="B854" s="46"/>
      <c r="C854" s="47"/>
      <c r="D854" s="47"/>
      <c r="E854" s="46"/>
      <c r="F854" s="46"/>
      <c r="G854" s="47"/>
      <c r="H854" s="47"/>
      <c r="I854" s="47"/>
      <c r="J854" s="45" t="str">
        <f aca="false">IF($A854="","",IF(COUNTIF(Accounts!$C$2:$C$201,$A854)+COUNTIF('Service Principals'!$C$2:$C$201,$A854)+COUNTIF('Managed Identities'!$C$2:$C$201,$A854)&gt;0,"Yes","NOT IN INVENTORY"))</f>
        <v/>
      </c>
    </row>
    <row r="855" customFormat="false" ht="15" hidden="false" customHeight="false" outlineLevel="0" collapsed="false">
      <c r="A855" s="46"/>
      <c r="B855" s="46"/>
      <c r="C855" s="47"/>
      <c r="D855" s="47"/>
      <c r="E855" s="46"/>
      <c r="F855" s="46"/>
      <c r="G855" s="47"/>
      <c r="H855" s="47"/>
      <c r="I855" s="47"/>
      <c r="J855" s="45" t="str">
        <f aca="false">IF($A855="","",IF(COUNTIF(Accounts!$C$2:$C$201,$A855)+COUNTIF('Service Principals'!$C$2:$C$201,$A855)+COUNTIF('Managed Identities'!$C$2:$C$201,$A855)&gt;0,"Yes","NOT IN INVENTORY"))</f>
        <v/>
      </c>
    </row>
    <row r="856" customFormat="false" ht="15" hidden="false" customHeight="false" outlineLevel="0" collapsed="false">
      <c r="A856" s="46"/>
      <c r="B856" s="46"/>
      <c r="C856" s="47"/>
      <c r="D856" s="47"/>
      <c r="E856" s="46"/>
      <c r="F856" s="46"/>
      <c r="G856" s="47"/>
      <c r="H856" s="47"/>
      <c r="I856" s="47"/>
      <c r="J856" s="45" t="str">
        <f aca="false">IF($A856="","",IF(COUNTIF(Accounts!$C$2:$C$201,$A856)+COUNTIF('Service Principals'!$C$2:$C$201,$A856)+COUNTIF('Managed Identities'!$C$2:$C$201,$A856)&gt;0,"Yes","NOT IN INVENTORY"))</f>
        <v/>
      </c>
    </row>
    <row r="857" customFormat="false" ht="15" hidden="false" customHeight="false" outlineLevel="0" collapsed="false">
      <c r="A857" s="46"/>
      <c r="B857" s="46"/>
      <c r="C857" s="47"/>
      <c r="D857" s="47"/>
      <c r="E857" s="46"/>
      <c r="F857" s="46"/>
      <c r="G857" s="47"/>
      <c r="H857" s="47"/>
      <c r="I857" s="47"/>
      <c r="J857" s="45" t="str">
        <f aca="false">IF($A857="","",IF(COUNTIF(Accounts!$C$2:$C$201,$A857)+COUNTIF('Service Principals'!$C$2:$C$201,$A857)+COUNTIF('Managed Identities'!$C$2:$C$201,$A857)&gt;0,"Yes","NOT IN INVENTORY"))</f>
        <v/>
      </c>
    </row>
    <row r="858" customFormat="false" ht="15" hidden="false" customHeight="false" outlineLevel="0" collapsed="false">
      <c r="A858" s="46"/>
      <c r="B858" s="46"/>
      <c r="C858" s="47"/>
      <c r="D858" s="47"/>
      <c r="E858" s="46"/>
      <c r="F858" s="46"/>
      <c r="G858" s="47"/>
      <c r="H858" s="47"/>
      <c r="I858" s="47"/>
      <c r="J858" s="45" t="str">
        <f aca="false">IF($A858="","",IF(COUNTIF(Accounts!$C$2:$C$201,$A858)+COUNTIF('Service Principals'!$C$2:$C$201,$A858)+COUNTIF('Managed Identities'!$C$2:$C$201,$A858)&gt;0,"Yes","NOT IN INVENTORY"))</f>
        <v/>
      </c>
    </row>
    <row r="859" customFormat="false" ht="15" hidden="false" customHeight="false" outlineLevel="0" collapsed="false">
      <c r="A859" s="46"/>
      <c r="B859" s="46"/>
      <c r="C859" s="47"/>
      <c r="D859" s="47"/>
      <c r="E859" s="46"/>
      <c r="F859" s="46"/>
      <c r="G859" s="47"/>
      <c r="H859" s="47"/>
      <c r="I859" s="47"/>
      <c r="J859" s="45" t="str">
        <f aca="false">IF($A859="","",IF(COUNTIF(Accounts!$C$2:$C$201,$A859)+COUNTIF('Service Principals'!$C$2:$C$201,$A859)+COUNTIF('Managed Identities'!$C$2:$C$201,$A859)&gt;0,"Yes","NOT IN INVENTORY"))</f>
        <v/>
      </c>
    </row>
    <row r="860" customFormat="false" ht="15" hidden="false" customHeight="false" outlineLevel="0" collapsed="false">
      <c r="A860" s="46"/>
      <c r="B860" s="46"/>
      <c r="C860" s="47"/>
      <c r="D860" s="47"/>
      <c r="E860" s="46"/>
      <c r="F860" s="46"/>
      <c r="G860" s="47"/>
      <c r="H860" s="47"/>
      <c r="I860" s="47"/>
      <c r="J860" s="45" t="str">
        <f aca="false">IF($A860="","",IF(COUNTIF(Accounts!$C$2:$C$201,$A860)+COUNTIF('Service Principals'!$C$2:$C$201,$A860)+COUNTIF('Managed Identities'!$C$2:$C$201,$A860)&gt;0,"Yes","NOT IN INVENTORY"))</f>
        <v/>
      </c>
    </row>
    <row r="861" customFormat="false" ht="15" hidden="false" customHeight="false" outlineLevel="0" collapsed="false">
      <c r="A861" s="46"/>
      <c r="B861" s="46"/>
      <c r="C861" s="47"/>
      <c r="D861" s="47"/>
      <c r="E861" s="46"/>
      <c r="F861" s="46"/>
      <c r="G861" s="47"/>
      <c r="H861" s="47"/>
      <c r="I861" s="47"/>
      <c r="J861" s="45" t="str">
        <f aca="false">IF($A861="","",IF(COUNTIF(Accounts!$C$2:$C$201,$A861)+COUNTIF('Service Principals'!$C$2:$C$201,$A861)+COUNTIF('Managed Identities'!$C$2:$C$201,$A861)&gt;0,"Yes","NOT IN INVENTORY"))</f>
        <v/>
      </c>
    </row>
    <row r="862" customFormat="false" ht="15" hidden="false" customHeight="false" outlineLevel="0" collapsed="false">
      <c r="A862" s="46"/>
      <c r="B862" s="46"/>
      <c r="C862" s="47"/>
      <c r="D862" s="47"/>
      <c r="E862" s="46"/>
      <c r="F862" s="46"/>
      <c r="G862" s="47"/>
      <c r="H862" s="47"/>
      <c r="I862" s="47"/>
      <c r="J862" s="45" t="str">
        <f aca="false">IF($A862="","",IF(COUNTIF(Accounts!$C$2:$C$201,$A862)+COUNTIF('Service Principals'!$C$2:$C$201,$A862)+COUNTIF('Managed Identities'!$C$2:$C$201,$A862)&gt;0,"Yes","NOT IN INVENTORY"))</f>
        <v/>
      </c>
    </row>
    <row r="863" customFormat="false" ht="15" hidden="false" customHeight="false" outlineLevel="0" collapsed="false">
      <c r="A863" s="46"/>
      <c r="B863" s="46"/>
      <c r="C863" s="47"/>
      <c r="D863" s="47"/>
      <c r="E863" s="46"/>
      <c r="F863" s="46"/>
      <c r="G863" s="47"/>
      <c r="H863" s="47"/>
      <c r="I863" s="47"/>
      <c r="J863" s="45" t="str">
        <f aca="false">IF($A863="","",IF(COUNTIF(Accounts!$C$2:$C$201,$A863)+COUNTIF('Service Principals'!$C$2:$C$201,$A863)+COUNTIF('Managed Identities'!$C$2:$C$201,$A863)&gt;0,"Yes","NOT IN INVENTORY"))</f>
        <v/>
      </c>
    </row>
    <row r="864" customFormat="false" ht="15" hidden="false" customHeight="false" outlineLevel="0" collapsed="false">
      <c r="A864" s="46"/>
      <c r="B864" s="46"/>
      <c r="C864" s="47"/>
      <c r="D864" s="47"/>
      <c r="E864" s="46"/>
      <c r="F864" s="46"/>
      <c r="G864" s="47"/>
      <c r="H864" s="47"/>
      <c r="I864" s="47"/>
      <c r="J864" s="45" t="str">
        <f aca="false">IF($A864="","",IF(COUNTIF(Accounts!$C$2:$C$201,$A864)+COUNTIF('Service Principals'!$C$2:$C$201,$A864)+COUNTIF('Managed Identities'!$C$2:$C$201,$A864)&gt;0,"Yes","NOT IN INVENTORY"))</f>
        <v/>
      </c>
    </row>
    <row r="865" customFormat="false" ht="15" hidden="false" customHeight="false" outlineLevel="0" collapsed="false">
      <c r="A865" s="46"/>
      <c r="B865" s="46"/>
      <c r="C865" s="47"/>
      <c r="D865" s="47"/>
      <c r="E865" s="46"/>
      <c r="F865" s="46"/>
      <c r="G865" s="47"/>
      <c r="H865" s="47"/>
      <c r="I865" s="47"/>
      <c r="J865" s="45" t="str">
        <f aca="false">IF($A865="","",IF(COUNTIF(Accounts!$C$2:$C$201,$A865)+COUNTIF('Service Principals'!$C$2:$C$201,$A865)+COUNTIF('Managed Identities'!$C$2:$C$201,$A865)&gt;0,"Yes","NOT IN INVENTORY"))</f>
        <v/>
      </c>
    </row>
    <row r="866" customFormat="false" ht="15" hidden="false" customHeight="false" outlineLevel="0" collapsed="false">
      <c r="A866" s="46"/>
      <c r="B866" s="46"/>
      <c r="C866" s="47"/>
      <c r="D866" s="47"/>
      <c r="E866" s="46"/>
      <c r="F866" s="46"/>
      <c r="G866" s="47"/>
      <c r="H866" s="47"/>
      <c r="I866" s="47"/>
      <c r="J866" s="45" t="str">
        <f aca="false">IF($A866="","",IF(COUNTIF(Accounts!$C$2:$C$201,$A866)+COUNTIF('Service Principals'!$C$2:$C$201,$A866)+COUNTIF('Managed Identities'!$C$2:$C$201,$A866)&gt;0,"Yes","NOT IN INVENTORY"))</f>
        <v/>
      </c>
    </row>
    <row r="867" customFormat="false" ht="15" hidden="false" customHeight="false" outlineLevel="0" collapsed="false">
      <c r="A867" s="46"/>
      <c r="B867" s="46"/>
      <c r="C867" s="47"/>
      <c r="D867" s="47"/>
      <c r="E867" s="46"/>
      <c r="F867" s="46"/>
      <c r="G867" s="47"/>
      <c r="H867" s="47"/>
      <c r="I867" s="47"/>
      <c r="J867" s="45" t="str">
        <f aca="false">IF($A867="","",IF(COUNTIF(Accounts!$C$2:$C$201,$A867)+COUNTIF('Service Principals'!$C$2:$C$201,$A867)+COUNTIF('Managed Identities'!$C$2:$C$201,$A867)&gt;0,"Yes","NOT IN INVENTORY"))</f>
        <v/>
      </c>
    </row>
    <row r="868" customFormat="false" ht="15" hidden="false" customHeight="false" outlineLevel="0" collapsed="false">
      <c r="A868" s="46"/>
      <c r="B868" s="46"/>
      <c r="C868" s="47"/>
      <c r="D868" s="47"/>
      <c r="E868" s="46"/>
      <c r="F868" s="46"/>
      <c r="G868" s="47"/>
      <c r="H868" s="47"/>
      <c r="I868" s="47"/>
      <c r="J868" s="45" t="str">
        <f aca="false">IF($A868="","",IF(COUNTIF(Accounts!$C$2:$C$201,$A868)+COUNTIF('Service Principals'!$C$2:$C$201,$A868)+COUNTIF('Managed Identities'!$C$2:$C$201,$A868)&gt;0,"Yes","NOT IN INVENTORY"))</f>
        <v/>
      </c>
    </row>
    <row r="869" customFormat="false" ht="15" hidden="false" customHeight="false" outlineLevel="0" collapsed="false">
      <c r="A869" s="46"/>
      <c r="B869" s="46"/>
      <c r="C869" s="47"/>
      <c r="D869" s="47"/>
      <c r="E869" s="46"/>
      <c r="F869" s="46"/>
      <c r="G869" s="47"/>
      <c r="H869" s="47"/>
      <c r="I869" s="47"/>
      <c r="J869" s="45" t="str">
        <f aca="false">IF($A869="","",IF(COUNTIF(Accounts!$C$2:$C$201,$A869)+COUNTIF('Service Principals'!$C$2:$C$201,$A869)+COUNTIF('Managed Identities'!$C$2:$C$201,$A869)&gt;0,"Yes","NOT IN INVENTORY"))</f>
        <v/>
      </c>
    </row>
    <row r="870" customFormat="false" ht="15" hidden="false" customHeight="false" outlineLevel="0" collapsed="false">
      <c r="A870" s="46"/>
      <c r="B870" s="46"/>
      <c r="C870" s="47"/>
      <c r="D870" s="47"/>
      <c r="E870" s="46"/>
      <c r="F870" s="46"/>
      <c r="G870" s="47"/>
      <c r="H870" s="47"/>
      <c r="I870" s="47"/>
      <c r="J870" s="45" t="str">
        <f aca="false">IF($A870="","",IF(COUNTIF(Accounts!$C$2:$C$201,$A870)+COUNTIF('Service Principals'!$C$2:$C$201,$A870)+COUNTIF('Managed Identities'!$C$2:$C$201,$A870)&gt;0,"Yes","NOT IN INVENTORY"))</f>
        <v/>
      </c>
    </row>
    <row r="871" customFormat="false" ht="15" hidden="false" customHeight="false" outlineLevel="0" collapsed="false">
      <c r="A871" s="46"/>
      <c r="B871" s="46"/>
      <c r="C871" s="47"/>
      <c r="D871" s="47"/>
      <c r="E871" s="46"/>
      <c r="F871" s="46"/>
      <c r="G871" s="47"/>
      <c r="H871" s="47"/>
      <c r="I871" s="47"/>
      <c r="J871" s="45" t="str">
        <f aca="false">IF($A871="","",IF(COUNTIF(Accounts!$C$2:$C$201,$A871)+COUNTIF('Service Principals'!$C$2:$C$201,$A871)+COUNTIF('Managed Identities'!$C$2:$C$201,$A871)&gt;0,"Yes","NOT IN INVENTORY"))</f>
        <v/>
      </c>
    </row>
    <row r="872" customFormat="false" ht="15" hidden="false" customHeight="false" outlineLevel="0" collapsed="false">
      <c r="A872" s="46"/>
      <c r="B872" s="46"/>
      <c r="C872" s="47"/>
      <c r="D872" s="47"/>
      <c r="E872" s="46"/>
      <c r="F872" s="46"/>
      <c r="G872" s="47"/>
      <c r="H872" s="47"/>
      <c r="I872" s="47"/>
      <c r="J872" s="45" t="str">
        <f aca="false">IF($A872="","",IF(COUNTIF(Accounts!$C$2:$C$201,$A872)+COUNTIF('Service Principals'!$C$2:$C$201,$A872)+COUNTIF('Managed Identities'!$C$2:$C$201,$A872)&gt;0,"Yes","NOT IN INVENTORY"))</f>
        <v/>
      </c>
    </row>
    <row r="873" customFormat="false" ht="15" hidden="false" customHeight="false" outlineLevel="0" collapsed="false">
      <c r="A873" s="46"/>
      <c r="B873" s="46"/>
      <c r="C873" s="47"/>
      <c r="D873" s="47"/>
      <c r="E873" s="46"/>
      <c r="F873" s="46"/>
      <c r="G873" s="47"/>
      <c r="H873" s="47"/>
      <c r="I873" s="47"/>
      <c r="J873" s="45" t="str">
        <f aca="false">IF($A873="","",IF(COUNTIF(Accounts!$C$2:$C$201,$A873)+COUNTIF('Service Principals'!$C$2:$C$201,$A873)+COUNTIF('Managed Identities'!$C$2:$C$201,$A873)&gt;0,"Yes","NOT IN INVENTORY"))</f>
        <v/>
      </c>
    </row>
    <row r="874" customFormat="false" ht="15" hidden="false" customHeight="false" outlineLevel="0" collapsed="false">
      <c r="A874" s="46"/>
      <c r="B874" s="46"/>
      <c r="C874" s="47"/>
      <c r="D874" s="47"/>
      <c r="E874" s="46"/>
      <c r="F874" s="46"/>
      <c r="G874" s="47"/>
      <c r="H874" s="47"/>
      <c r="I874" s="47"/>
      <c r="J874" s="45" t="str">
        <f aca="false">IF($A874="","",IF(COUNTIF(Accounts!$C$2:$C$201,$A874)+COUNTIF('Service Principals'!$C$2:$C$201,$A874)+COUNTIF('Managed Identities'!$C$2:$C$201,$A874)&gt;0,"Yes","NOT IN INVENTORY"))</f>
        <v/>
      </c>
    </row>
    <row r="875" customFormat="false" ht="15" hidden="false" customHeight="false" outlineLevel="0" collapsed="false">
      <c r="A875" s="46"/>
      <c r="B875" s="46"/>
      <c r="C875" s="47"/>
      <c r="D875" s="47"/>
      <c r="E875" s="46"/>
      <c r="F875" s="46"/>
      <c r="G875" s="47"/>
      <c r="H875" s="47"/>
      <c r="I875" s="47"/>
      <c r="J875" s="45" t="str">
        <f aca="false">IF($A875="","",IF(COUNTIF(Accounts!$C$2:$C$201,$A875)+COUNTIF('Service Principals'!$C$2:$C$201,$A875)+COUNTIF('Managed Identities'!$C$2:$C$201,$A875)&gt;0,"Yes","NOT IN INVENTORY"))</f>
        <v/>
      </c>
    </row>
    <row r="876" customFormat="false" ht="15" hidden="false" customHeight="false" outlineLevel="0" collapsed="false">
      <c r="A876" s="46"/>
      <c r="B876" s="46"/>
      <c r="C876" s="47"/>
      <c r="D876" s="47"/>
      <c r="E876" s="46"/>
      <c r="F876" s="46"/>
      <c r="G876" s="47"/>
      <c r="H876" s="47"/>
      <c r="I876" s="47"/>
      <c r="J876" s="45" t="str">
        <f aca="false">IF($A876="","",IF(COUNTIF(Accounts!$C$2:$C$201,$A876)+COUNTIF('Service Principals'!$C$2:$C$201,$A876)+COUNTIF('Managed Identities'!$C$2:$C$201,$A876)&gt;0,"Yes","NOT IN INVENTORY"))</f>
        <v/>
      </c>
    </row>
    <row r="877" customFormat="false" ht="15" hidden="false" customHeight="false" outlineLevel="0" collapsed="false">
      <c r="A877" s="46"/>
      <c r="B877" s="46"/>
      <c r="C877" s="47"/>
      <c r="D877" s="47"/>
      <c r="E877" s="46"/>
      <c r="F877" s="46"/>
      <c r="G877" s="47"/>
      <c r="H877" s="47"/>
      <c r="I877" s="47"/>
      <c r="J877" s="45" t="str">
        <f aca="false">IF($A877="","",IF(COUNTIF(Accounts!$C$2:$C$201,$A877)+COUNTIF('Service Principals'!$C$2:$C$201,$A877)+COUNTIF('Managed Identities'!$C$2:$C$201,$A877)&gt;0,"Yes","NOT IN INVENTORY"))</f>
        <v/>
      </c>
    </row>
    <row r="878" customFormat="false" ht="15" hidden="false" customHeight="false" outlineLevel="0" collapsed="false">
      <c r="A878" s="46"/>
      <c r="B878" s="46"/>
      <c r="C878" s="47"/>
      <c r="D878" s="47"/>
      <c r="E878" s="46"/>
      <c r="F878" s="46"/>
      <c r="G878" s="47"/>
      <c r="H878" s="47"/>
      <c r="I878" s="47"/>
      <c r="J878" s="45" t="str">
        <f aca="false">IF($A878="","",IF(COUNTIF(Accounts!$C$2:$C$201,$A878)+COUNTIF('Service Principals'!$C$2:$C$201,$A878)+COUNTIF('Managed Identities'!$C$2:$C$201,$A878)&gt;0,"Yes","NOT IN INVENTORY"))</f>
        <v/>
      </c>
    </row>
    <row r="879" customFormat="false" ht="15" hidden="false" customHeight="false" outlineLevel="0" collapsed="false">
      <c r="A879" s="46"/>
      <c r="B879" s="46"/>
      <c r="C879" s="47"/>
      <c r="D879" s="47"/>
      <c r="E879" s="46"/>
      <c r="F879" s="46"/>
      <c r="G879" s="47"/>
      <c r="H879" s="47"/>
      <c r="I879" s="47"/>
      <c r="J879" s="45" t="str">
        <f aca="false">IF($A879="","",IF(COUNTIF(Accounts!$C$2:$C$201,$A879)+COUNTIF('Service Principals'!$C$2:$C$201,$A879)+COUNTIF('Managed Identities'!$C$2:$C$201,$A879)&gt;0,"Yes","NOT IN INVENTORY"))</f>
        <v/>
      </c>
    </row>
    <row r="880" customFormat="false" ht="15" hidden="false" customHeight="false" outlineLevel="0" collapsed="false">
      <c r="A880" s="46"/>
      <c r="B880" s="46"/>
      <c r="C880" s="47"/>
      <c r="D880" s="47"/>
      <c r="E880" s="46"/>
      <c r="F880" s="46"/>
      <c r="G880" s="47"/>
      <c r="H880" s="47"/>
      <c r="I880" s="47"/>
      <c r="J880" s="45" t="str">
        <f aca="false">IF($A880="","",IF(COUNTIF(Accounts!$C$2:$C$201,$A880)+COUNTIF('Service Principals'!$C$2:$C$201,$A880)+COUNTIF('Managed Identities'!$C$2:$C$201,$A880)&gt;0,"Yes","NOT IN INVENTORY"))</f>
        <v/>
      </c>
    </row>
    <row r="881" customFormat="false" ht="15" hidden="false" customHeight="false" outlineLevel="0" collapsed="false">
      <c r="A881" s="46"/>
      <c r="B881" s="46"/>
      <c r="C881" s="47"/>
      <c r="D881" s="47"/>
      <c r="E881" s="46"/>
      <c r="F881" s="46"/>
      <c r="G881" s="47"/>
      <c r="H881" s="47"/>
      <c r="I881" s="47"/>
      <c r="J881" s="45" t="str">
        <f aca="false">IF($A881="","",IF(COUNTIF(Accounts!$C$2:$C$201,$A881)+COUNTIF('Service Principals'!$C$2:$C$201,$A881)+COUNTIF('Managed Identities'!$C$2:$C$201,$A881)&gt;0,"Yes","NOT IN INVENTORY"))</f>
        <v/>
      </c>
    </row>
    <row r="882" customFormat="false" ht="15" hidden="false" customHeight="false" outlineLevel="0" collapsed="false">
      <c r="A882" s="46"/>
      <c r="B882" s="46"/>
      <c r="C882" s="47"/>
      <c r="D882" s="47"/>
      <c r="E882" s="46"/>
      <c r="F882" s="46"/>
      <c r="G882" s="47"/>
      <c r="H882" s="47"/>
      <c r="I882" s="47"/>
      <c r="J882" s="45" t="str">
        <f aca="false">IF($A882="","",IF(COUNTIF(Accounts!$C$2:$C$201,$A882)+COUNTIF('Service Principals'!$C$2:$C$201,$A882)+COUNTIF('Managed Identities'!$C$2:$C$201,$A882)&gt;0,"Yes","NOT IN INVENTORY"))</f>
        <v/>
      </c>
    </row>
    <row r="883" customFormat="false" ht="15" hidden="false" customHeight="false" outlineLevel="0" collapsed="false">
      <c r="A883" s="46"/>
      <c r="B883" s="46"/>
      <c r="C883" s="47"/>
      <c r="D883" s="47"/>
      <c r="E883" s="46"/>
      <c r="F883" s="46"/>
      <c r="G883" s="47"/>
      <c r="H883" s="47"/>
      <c r="I883" s="47"/>
      <c r="J883" s="45" t="str">
        <f aca="false">IF($A883="","",IF(COUNTIF(Accounts!$C$2:$C$201,$A883)+COUNTIF('Service Principals'!$C$2:$C$201,$A883)+COUNTIF('Managed Identities'!$C$2:$C$201,$A883)&gt;0,"Yes","NOT IN INVENTORY"))</f>
        <v/>
      </c>
    </row>
    <row r="884" customFormat="false" ht="15" hidden="false" customHeight="false" outlineLevel="0" collapsed="false">
      <c r="A884" s="46"/>
      <c r="B884" s="46"/>
      <c r="C884" s="47"/>
      <c r="D884" s="47"/>
      <c r="E884" s="46"/>
      <c r="F884" s="46"/>
      <c r="G884" s="47"/>
      <c r="H884" s="47"/>
      <c r="I884" s="47"/>
      <c r="J884" s="45" t="str">
        <f aca="false">IF($A884="","",IF(COUNTIF(Accounts!$C$2:$C$201,$A884)+COUNTIF('Service Principals'!$C$2:$C$201,$A884)+COUNTIF('Managed Identities'!$C$2:$C$201,$A884)&gt;0,"Yes","NOT IN INVENTORY"))</f>
        <v/>
      </c>
    </row>
    <row r="885" customFormat="false" ht="15" hidden="false" customHeight="false" outlineLevel="0" collapsed="false">
      <c r="A885" s="46"/>
      <c r="B885" s="46"/>
      <c r="C885" s="47"/>
      <c r="D885" s="47"/>
      <c r="E885" s="46"/>
      <c r="F885" s="46"/>
      <c r="G885" s="47"/>
      <c r="H885" s="47"/>
      <c r="I885" s="47"/>
      <c r="J885" s="45" t="str">
        <f aca="false">IF($A885="","",IF(COUNTIF(Accounts!$C$2:$C$201,$A885)+COUNTIF('Service Principals'!$C$2:$C$201,$A885)+COUNTIF('Managed Identities'!$C$2:$C$201,$A885)&gt;0,"Yes","NOT IN INVENTORY"))</f>
        <v/>
      </c>
    </row>
    <row r="886" customFormat="false" ht="15" hidden="false" customHeight="false" outlineLevel="0" collapsed="false">
      <c r="A886" s="46"/>
      <c r="B886" s="46"/>
      <c r="C886" s="47"/>
      <c r="D886" s="47"/>
      <c r="E886" s="46"/>
      <c r="F886" s="46"/>
      <c r="G886" s="47"/>
      <c r="H886" s="47"/>
      <c r="I886" s="47"/>
      <c r="J886" s="45" t="str">
        <f aca="false">IF($A886="","",IF(COUNTIF(Accounts!$C$2:$C$201,$A886)+COUNTIF('Service Principals'!$C$2:$C$201,$A886)+COUNTIF('Managed Identities'!$C$2:$C$201,$A886)&gt;0,"Yes","NOT IN INVENTORY"))</f>
        <v/>
      </c>
    </row>
    <row r="887" customFormat="false" ht="15" hidden="false" customHeight="false" outlineLevel="0" collapsed="false">
      <c r="A887" s="46"/>
      <c r="B887" s="46"/>
      <c r="C887" s="47"/>
      <c r="D887" s="47"/>
      <c r="E887" s="46"/>
      <c r="F887" s="46"/>
      <c r="G887" s="47"/>
      <c r="H887" s="47"/>
      <c r="I887" s="47"/>
      <c r="J887" s="45" t="str">
        <f aca="false">IF($A887="","",IF(COUNTIF(Accounts!$C$2:$C$201,$A887)+COUNTIF('Service Principals'!$C$2:$C$201,$A887)+COUNTIF('Managed Identities'!$C$2:$C$201,$A887)&gt;0,"Yes","NOT IN INVENTORY"))</f>
        <v/>
      </c>
    </row>
    <row r="888" customFormat="false" ht="15" hidden="false" customHeight="false" outlineLevel="0" collapsed="false">
      <c r="A888" s="46"/>
      <c r="B888" s="46"/>
      <c r="C888" s="47"/>
      <c r="D888" s="47"/>
      <c r="E888" s="46"/>
      <c r="F888" s="46"/>
      <c r="G888" s="47"/>
      <c r="H888" s="47"/>
      <c r="I888" s="47"/>
      <c r="J888" s="45" t="str">
        <f aca="false">IF($A888="","",IF(COUNTIF(Accounts!$C$2:$C$201,$A888)+COUNTIF('Service Principals'!$C$2:$C$201,$A888)+COUNTIF('Managed Identities'!$C$2:$C$201,$A888)&gt;0,"Yes","NOT IN INVENTORY"))</f>
        <v/>
      </c>
    </row>
    <row r="889" customFormat="false" ht="15" hidden="false" customHeight="false" outlineLevel="0" collapsed="false">
      <c r="A889" s="46"/>
      <c r="B889" s="46"/>
      <c r="C889" s="47"/>
      <c r="D889" s="47"/>
      <c r="E889" s="46"/>
      <c r="F889" s="46"/>
      <c r="G889" s="47"/>
      <c r="H889" s="47"/>
      <c r="I889" s="47"/>
      <c r="J889" s="45" t="str">
        <f aca="false">IF($A889="","",IF(COUNTIF(Accounts!$C$2:$C$201,$A889)+COUNTIF('Service Principals'!$C$2:$C$201,$A889)+COUNTIF('Managed Identities'!$C$2:$C$201,$A889)&gt;0,"Yes","NOT IN INVENTORY"))</f>
        <v/>
      </c>
    </row>
    <row r="890" customFormat="false" ht="15" hidden="false" customHeight="false" outlineLevel="0" collapsed="false">
      <c r="A890" s="46"/>
      <c r="B890" s="46"/>
      <c r="C890" s="47"/>
      <c r="D890" s="47"/>
      <c r="E890" s="46"/>
      <c r="F890" s="46"/>
      <c r="G890" s="47"/>
      <c r="H890" s="47"/>
      <c r="I890" s="47"/>
      <c r="J890" s="45" t="str">
        <f aca="false">IF($A890="","",IF(COUNTIF(Accounts!$C$2:$C$201,$A890)+COUNTIF('Service Principals'!$C$2:$C$201,$A890)+COUNTIF('Managed Identities'!$C$2:$C$201,$A890)&gt;0,"Yes","NOT IN INVENTORY"))</f>
        <v/>
      </c>
    </row>
    <row r="891" customFormat="false" ht="15" hidden="false" customHeight="false" outlineLevel="0" collapsed="false">
      <c r="A891" s="46"/>
      <c r="B891" s="46"/>
      <c r="C891" s="47"/>
      <c r="D891" s="47"/>
      <c r="E891" s="46"/>
      <c r="F891" s="46"/>
      <c r="G891" s="47"/>
      <c r="H891" s="47"/>
      <c r="I891" s="47"/>
      <c r="J891" s="45" t="str">
        <f aca="false">IF($A891="","",IF(COUNTIF(Accounts!$C$2:$C$201,$A891)+COUNTIF('Service Principals'!$C$2:$C$201,$A891)+COUNTIF('Managed Identities'!$C$2:$C$201,$A891)&gt;0,"Yes","NOT IN INVENTORY"))</f>
        <v/>
      </c>
    </row>
    <row r="892" customFormat="false" ht="15" hidden="false" customHeight="false" outlineLevel="0" collapsed="false">
      <c r="A892" s="46"/>
      <c r="B892" s="46"/>
      <c r="C892" s="47"/>
      <c r="D892" s="47"/>
      <c r="E892" s="46"/>
      <c r="F892" s="46"/>
      <c r="G892" s="47"/>
      <c r="H892" s="47"/>
      <c r="I892" s="47"/>
      <c r="J892" s="45" t="str">
        <f aca="false">IF($A892="","",IF(COUNTIF(Accounts!$C$2:$C$201,$A892)+COUNTIF('Service Principals'!$C$2:$C$201,$A892)+COUNTIF('Managed Identities'!$C$2:$C$201,$A892)&gt;0,"Yes","NOT IN INVENTORY"))</f>
        <v/>
      </c>
    </row>
    <row r="893" customFormat="false" ht="15" hidden="false" customHeight="false" outlineLevel="0" collapsed="false">
      <c r="A893" s="46"/>
      <c r="B893" s="46"/>
      <c r="C893" s="47"/>
      <c r="D893" s="47"/>
      <c r="E893" s="46"/>
      <c r="F893" s="46"/>
      <c r="G893" s="47"/>
      <c r="H893" s="47"/>
      <c r="I893" s="47"/>
      <c r="J893" s="45" t="str">
        <f aca="false">IF($A893="","",IF(COUNTIF(Accounts!$C$2:$C$201,$A893)+COUNTIF('Service Principals'!$C$2:$C$201,$A893)+COUNTIF('Managed Identities'!$C$2:$C$201,$A893)&gt;0,"Yes","NOT IN INVENTORY"))</f>
        <v/>
      </c>
    </row>
    <row r="894" customFormat="false" ht="15" hidden="false" customHeight="false" outlineLevel="0" collapsed="false">
      <c r="A894" s="46"/>
      <c r="B894" s="46"/>
      <c r="C894" s="47"/>
      <c r="D894" s="47"/>
      <c r="E894" s="46"/>
      <c r="F894" s="46"/>
      <c r="G894" s="47"/>
      <c r="H894" s="47"/>
      <c r="I894" s="47"/>
      <c r="J894" s="45" t="str">
        <f aca="false">IF($A894="","",IF(COUNTIF(Accounts!$C$2:$C$201,$A894)+COUNTIF('Service Principals'!$C$2:$C$201,$A894)+COUNTIF('Managed Identities'!$C$2:$C$201,$A894)&gt;0,"Yes","NOT IN INVENTORY"))</f>
        <v/>
      </c>
    </row>
    <row r="895" customFormat="false" ht="15" hidden="false" customHeight="false" outlineLevel="0" collapsed="false">
      <c r="A895" s="46"/>
      <c r="B895" s="46"/>
      <c r="C895" s="47"/>
      <c r="D895" s="47"/>
      <c r="E895" s="46"/>
      <c r="F895" s="46"/>
      <c r="G895" s="47"/>
      <c r="H895" s="47"/>
      <c r="I895" s="47"/>
      <c r="J895" s="45" t="str">
        <f aca="false">IF($A895="","",IF(COUNTIF(Accounts!$C$2:$C$201,$A895)+COUNTIF('Service Principals'!$C$2:$C$201,$A895)+COUNTIF('Managed Identities'!$C$2:$C$201,$A895)&gt;0,"Yes","NOT IN INVENTORY"))</f>
        <v/>
      </c>
    </row>
    <row r="896" customFormat="false" ht="15" hidden="false" customHeight="false" outlineLevel="0" collapsed="false">
      <c r="A896" s="46"/>
      <c r="B896" s="46"/>
      <c r="C896" s="47"/>
      <c r="D896" s="47"/>
      <c r="E896" s="46"/>
      <c r="F896" s="46"/>
      <c r="G896" s="47"/>
      <c r="H896" s="47"/>
      <c r="I896" s="47"/>
      <c r="J896" s="45" t="str">
        <f aca="false">IF($A896="","",IF(COUNTIF(Accounts!$C$2:$C$201,$A896)+COUNTIF('Service Principals'!$C$2:$C$201,$A896)+COUNTIF('Managed Identities'!$C$2:$C$201,$A896)&gt;0,"Yes","NOT IN INVENTORY"))</f>
        <v/>
      </c>
    </row>
    <row r="897" customFormat="false" ht="15" hidden="false" customHeight="false" outlineLevel="0" collapsed="false">
      <c r="A897" s="46"/>
      <c r="B897" s="46"/>
      <c r="C897" s="47"/>
      <c r="D897" s="47"/>
      <c r="E897" s="46"/>
      <c r="F897" s="46"/>
      <c r="G897" s="47"/>
      <c r="H897" s="47"/>
      <c r="I897" s="47"/>
      <c r="J897" s="45" t="str">
        <f aca="false">IF($A897="","",IF(COUNTIF(Accounts!$C$2:$C$201,$A897)+COUNTIF('Service Principals'!$C$2:$C$201,$A897)+COUNTIF('Managed Identities'!$C$2:$C$201,$A897)&gt;0,"Yes","NOT IN INVENTORY"))</f>
        <v/>
      </c>
    </row>
    <row r="898" customFormat="false" ht="15" hidden="false" customHeight="false" outlineLevel="0" collapsed="false">
      <c r="A898" s="46"/>
      <c r="B898" s="46"/>
      <c r="C898" s="47"/>
      <c r="D898" s="47"/>
      <c r="E898" s="46"/>
      <c r="F898" s="46"/>
      <c r="G898" s="47"/>
      <c r="H898" s="47"/>
      <c r="I898" s="47"/>
      <c r="J898" s="45" t="str">
        <f aca="false">IF($A898="","",IF(COUNTIF(Accounts!$C$2:$C$201,$A898)+COUNTIF('Service Principals'!$C$2:$C$201,$A898)+COUNTIF('Managed Identities'!$C$2:$C$201,$A898)&gt;0,"Yes","NOT IN INVENTORY"))</f>
        <v/>
      </c>
    </row>
    <row r="899" customFormat="false" ht="15" hidden="false" customHeight="false" outlineLevel="0" collapsed="false">
      <c r="A899" s="46"/>
      <c r="B899" s="46"/>
      <c r="C899" s="47"/>
      <c r="D899" s="47"/>
      <c r="E899" s="46"/>
      <c r="F899" s="46"/>
      <c r="G899" s="47"/>
      <c r="H899" s="47"/>
      <c r="I899" s="47"/>
      <c r="J899" s="45" t="str">
        <f aca="false">IF($A899="","",IF(COUNTIF(Accounts!$C$2:$C$201,$A899)+COUNTIF('Service Principals'!$C$2:$C$201,$A899)+COUNTIF('Managed Identities'!$C$2:$C$201,$A899)&gt;0,"Yes","NOT IN INVENTORY"))</f>
        <v/>
      </c>
    </row>
    <row r="900" customFormat="false" ht="15" hidden="false" customHeight="false" outlineLevel="0" collapsed="false">
      <c r="A900" s="46"/>
      <c r="B900" s="46"/>
      <c r="C900" s="47"/>
      <c r="D900" s="47"/>
      <c r="E900" s="46"/>
      <c r="F900" s="46"/>
      <c r="G900" s="47"/>
      <c r="H900" s="47"/>
      <c r="I900" s="47"/>
      <c r="J900" s="45" t="str">
        <f aca="false">IF($A900="","",IF(COUNTIF(Accounts!$C$2:$C$201,$A900)+COUNTIF('Service Principals'!$C$2:$C$201,$A900)+COUNTIF('Managed Identities'!$C$2:$C$201,$A900)&gt;0,"Yes","NOT IN INVENTORY"))</f>
        <v/>
      </c>
    </row>
    <row r="901" customFormat="false" ht="15" hidden="false" customHeight="false" outlineLevel="0" collapsed="false">
      <c r="A901" s="46"/>
      <c r="B901" s="46"/>
      <c r="C901" s="47"/>
      <c r="D901" s="47"/>
      <c r="E901" s="46"/>
      <c r="F901" s="46"/>
      <c r="G901" s="47"/>
      <c r="H901" s="47"/>
      <c r="I901" s="47"/>
      <c r="J901" s="45" t="str">
        <f aca="false">IF($A901="","",IF(COUNTIF(Accounts!$C$2:$C$201,$A901)+COUNTIF('Service Principals'!$C$2:$C$201,$A901)+COUNTIF('Managed Identities'!$C$2:$C$201,$A901)&gt;0,"Yes","NOT IN INVENTORY"))</f>
        <v/>
      </c>
    </row>
    <row r="902" customFormat="false" ht="15" hidden="false" customHeight="false" outlineLevel="0" collapsed="false">
      <c r="A902" s="46"/>
      <c r="B902" s="46"/>
      <c r="C902" s="47"/>
      <c r="D902" s="47"/>
      <c r="E902" s="46"/>
      <c r="F902" s="46"/>
      <c r="G902" s="47"/>
      <c r="H902" s="47"/>
      <c r="I902" s="47"/>
      <c r="J902" s="45" t="str">
        <f aca="false">IF($A902="","",IF(COUNTIF(Accounts!$C$2:$C$201,$A902)+COUNTIF('Service Principals'!$C$2:$C$201,$A902)+COUNTIF('Managed Identities'!$C$2:$C$201,$A902)&gt;0,"Yes","NOT IN INVENTORY"))</f>
        <v/>
      </c>
    </row>
    <row r="903" customFormat="false" ht="15" hidden="false" customHeight="false" outlineLevel="0" collapsed="false">
      <c r="A903" s="46"/>
      <c r="B903" s="46"/>
      <c r="C903" s="47"/>
      <c r="D903" s="47"/>
      <c r="E903" s="46"/>
      <c r="F903" s="46"/>
      <c r="G903" s="47"/>
      <c r="H903" s="47"/>
      <c r="I903" s="47"/>
      <c r="J903" s="45" t="str">
        <f aca="false">IF($A903="","",IF(COUNTIF(Accounts!$C$2:$C$201,$A903)+COUNTIF('Service Principals'!$C$2:$C$201,$A903)+COUNTIF('Managed Identities'!$C$2:$C$201,$A903)&gt;0,"Yes","NOT IN INVENTORY"))</f>
        <v/>
      </c>
    </row>
    <row r="904" customFormat="false" ht="15" hidden="false" customHeight="false" outlineLevel="0" collapsed="false">
      <c r="A904" s="46"/>
      <c r="B904" s="46"/>
      <c r="C904" s="47"/>
      <c r="D904" s="47"/>
      <c r="E904" s="46"/>
      <c r="F904" s="46"/>
      <c r="G904" s="47"/>
      <c r="H904" s="47"/>
      <c r="I904" s="47"/>
      <c r="J904" s="45" t="str">
        <f aca="false">IF($A904="","",IF(COUNTIF(Accounts!$C$2:$C$201,$A904)+COUNTIF('Service Principals'!$C$2:$C$201,$A904)+COUNTIF('Managed Identities'!$C$2:$C$201,$A904)&gt;0,"Yes","NOT IN INVENTORY"))</f>
        <v/>
      </c>
    </row>
    <row r="905" customFormat="false" ht="15" hidden="false" customHeight="false" outlineLevel="0" collapsed="false">
      <c r="A905" s="46"/>
      <c r="B905" s="46"/>
      <c r="C905" s="47"/>
      <c r="D905" s="47"/>
      <c r="E905" s="46"/>
      <c r="F905" s="46"/>
      <c r="G905" s="47"/>
      <c r="H905" s="47"/>
      <c r="I905" s="47"/>
      <c r="J905" s="45" t="str">
        <f aca="false">IF($A905="","",IF(COUNTIF(Accounts!$C$2:$C$201,$A905)+COUNTIF('Service Principals'!$C$2:$C$201,$A905)+COUNTIF('Managed Identities'!$C$2:$C$201,$A905)&gt;0,"Yes","NOT IN INVENTORY"))</f>
        <v/>
      </c>
    </row>
    <row r="906" customFormat="false" ht="15" hidden="false" customHeight="false" outlineLevel="0" collapsed="false">
      <c r="A906" s="46"/>
      <c r="B906" s="46"/>
      <c r="C906" s="47"/>
      <c r="D906" s="47"/>
      <c r="E906" s="46"/>
      <c r="F906" s="46"/>
      <c r="G906" s="47"/>
      <c r="H906" s="47"/>
      <c r="I906" s="47"/>
      <c r="J906" s="45" t="str">
        <f aca="false">IF($A906="","",IF(COUNTIF(Accounts!$C$2:$C$201,$A906)+COUNTIF('Service Principals'!$C$2:$C$201,$A906)+COUNTIF('Managed Identities'!$C$2:$C$201,$A906)&gt;0,"Yes","NOT IN INVENTORY"))</f>
        <v/>
      </c>
    </row>
    <row r="907" customFormat="false" ht="15" hidden="false" customHeight="false" outlineLevel="0" collapsed="false">
      <c r="A907" s="46"/>
      <c r="B907" s="46"/>
      <c r="C907" s="47"/>
      <c r="D907" s="47"/>
      <c r="E907" s="46"/>
      <c r="F907" s="46"/>
      <c r="G907" s="47"/>
      <c r="H907" s="47"/>
      <c r="I907" s="47"/>
      <c r="J907" s="45" t="str">
        <f aca="false">IF($A907="","",IF(COUNTIF(Accounts!$C$2:$C$201,$A907)+COUNTIF('Service Principals'!$C$2:$C$201,$A907)+COUNTIF('Managed Identities'!$C$2:$C$201,$A907)&gt;0,"Yes","NOT IN INVENTORY"))</f>
        <v/>
      </c>
    </row>
    <row r="908" customFormat="false" ht="15" hidden="false" customHeight="false" outlineLevel="0" collapsed="false">
      <c r="A908" s="46"/>
      <c r="B908" s="46"/>
      <c r="C908" s="47"/>
      <c r="D908" s="47"/>
      <c r="E908" s="46"/>
      <c r="F908" s="46"/>
      <c r="G908" s="47"/>
      <c r="H908" s="47"/>
      <c r="I908" s="47"/>
      <c r="J908" s="45" t="str">
        <f aca="false">IF($A908="","",IF(COUNTIF(Accounts!$C$2:$C$201,$A908)+COUNTIF('Service Principals'!$C$2:$C$201,$A908)+COUNTIF('Managed Identities'!$C$2:$C$201,$A908)&gt;0,"Yes","NOT IN INVENTORY"))</f>
        <v/>
      </c>
    </row>
    <row r="909" customFormat="false" ht="15" hidden="false" customHeight="false" outlineLevel="0" collapsed="false">
      <c r="A909" s="46"/>
      <c r="B909" s="46"/>
      <c r="C909" s="47"/>
      <c r="D909" s="47"/>
      <c r="E909" s="46"/>
      <c r="F909" s="46"/>
      <c r="G909" s="47"/>
      <c r="H909" s="47"/>
      <c r="I909" s="47"/>
      <c r="J909" s="45" t="str">
        <f aca="false">IF($A909="","",IF(COUNTIF(Accounts!$C$2:$C$201,$A909)+COUNTIF('Service Principals'!$C$2:$C$201,$A909)+COUNTIF('Managed Identities'!$C$2:$C$201,$A909)&gt;0,"Yes","NOT IN INVENTORY"))</f>
        <v/>
      </c>
    </row>
    <row r="910" customFormat="false" ht="15" hidden="false" customHeight="false" outlineLevel="0" collapsed="false">
      <c r="A910" s="46"/>
      <c r="B910" s="46"/>
      <c r="C910" s="47"/>
      <c r="D910" s="47"/>
      <c r="E910" s="46"/>
      <c r="F910" s="46"/>
      <c r="G910" s="47"/>
      <c r="H910" s="47"/>
      <c r="I910" s="47"/>
      <c r="J910" s="45" t="str">
        <f aca="false">IF($A910="","",IF(COUNTIF(Accounts!$C$2:$C$201,$A910)+COUNTIF('Service Principals'!$C$2:$C$201,$A910)+COUNTIF('Managed Identities'!$C$2:$C$201,$A910)&gt;0,"Yes","NOT IN INVENTORY"))</f>
        <v/>
      </c>
    </row>
    <row r="911" customFormat="false" ht="15" hidden="false" customHeight="false" outlineLevel="0" collapsed="false">
      <c r="A911" s="46"/>
      <c r="B911" s="46"/>
      <c r="C911" s="47"/>
      <c r="D911" s="47"/>
      <c r="E911" s="46"/>
      <c r="F911" s="46"/>
      <c r="G911" s="47"/>
      <c r="H911" s="47"/>
      <c r="I911" s="47"/>
      <c r="J911" s="45" t="str">
        <f aca="false">IF($A911="","",IF(COUNTIF(Accounts!$C$2:$C$201,$A911)+COUNTIF('Service Principals'!$C$2:$C$201,$A911)+COUNTIF('Managed Identities'!$C$2:$C$201,$A911)&gt;0,"Yes","NOT IN INVENTORY"))</f>
        <v/>
      </c>
    </row>
    <row r="912" customFormat="false" ht="15" hidden="false" customHeight="false" outlineLevel="0" collapsed="false">
      <c r="A912" s="46"/>
      <c r="B912" s="46"/>
      <c r="C912" s="47"/>
      <c r="D912" s="47"/>
      <c r="E912" s="46"/>
      <c r="F912" s="46"/>
      <c r="G912" s="47"/>
      <c r="H912" s="47"/>
      <c r="I912" s="47"/>
      <c r="J912" s="45" t="str">
        <f aca="false">IF($A912="","",IF(COUNTIF(Accounts!$C$2:$C$201,$A912)+COUNTIF('Service Principals'!$C$2:$C$201,$A912)+COUNTIF('Managed Identities'!$C$2:$C$201,$A912)&gt;0,"Yes","NOT IN INVENTORY"))</f>
        <v/>
      </c>
    </row>
    <row r="913" customFormat="false" ht="15" hidden="false" customHeight="false" outlineLevel="0" collapsed="false">
      <c r="A913" s="46"/>
      <c r="B913" s="46"/>
      <c r="C913" s="47"/>
      <c r="D913" s="47"/>
      <c r="E913" s="46"/>
      <c r="F913" s="46"/>
      <c r="G913" s="47"/>
      <c r="H913" s="47"/>
      <c r="I913" s="47"/>
      <c r="J913" s="45" t="str">
        <f aca="false">IF($A913="","",IF(COUNTIF(Accounts!$C$2:$C$201,$A913)+COUNTIF('Service Principals'!$C$2:$C$201,$A913)+COUNTIF('Managed Identities'!$C$2:$C$201,$A913)&gt;0,"Yes","NOT IN INVENTORY"))</f>
        <v/>
      </c>
    </row>
    <row r="914" customFormat="false" ht="15" hidden="false" customHeight="false" outlineLevel="0" collapsed="false">
      <c r="A914" s="46"/>
      <c r="B914" s="46"/>
      <c r="C914" s="47"/>
      <c r="D914" s="47"/>
      <c r="E914" s="46"/>
      <c r="F914" s="46"/>
      <c r="G914" s="47"/>
      <c r="H914" s="47"/>
      <c r="I914" s="47"/>
      <c r="J914" s="45" t="str">
        <f aca="false">IF($A914="","",IF(COUNTIF(Accounts!$C$2:$C$201,$A914)+COUNTIF('Service Principals'!$C$2:$C$201,$A914)+COUNTIF('Managed Identities'!$C$2:$C$201,$A914)&gt;0,"Yes","NOT IN INVENTORY"))</f>
        <v/>
      </c>
    </row>
    <row r="915" customFormat="false" ht="15" hidden="false" customHeight="false" outlineLevel="0" collapsed="false">
      <c r="A915" s="46"/>
      <c r="B915" s="46"/>
      <c r="C915" s="47"/>
      <c r="D915" s="47"/>
      <c r="E915" s="46"/>
      <c r="F915" s="46"/>
      <c r="G915" s="47"/>
      <c r="H915" s="47"/>
      <c r="I915" s="47"/>
      <c r="J915" s="45" t="str">
        <f aca="false">IF($A915="","",IF(COUNTIF(Accounts!$C$2:$C$201,$A915)+COUNTIF('Service Principals'!$C$2:$C$201,$A915)+COUNTIF('Managed Identities'!$C$2:$C$201,$A915)&gt;0,"Yes","NOT IN INVENTORY"))</f>
        <v/>
      </c>
    </row>
    <row r="916" customFormat="false" ht="15" hidden="false" customHeight="false" outlineLevel="0" collapsed="false">
      <c r="A916" s="46"/>
      <c r="B916" s="46"/>
      <c r="C916" s="47"/>
      <c r="D916" s="47"/>
      <c r="E916" s="46"/>
      <c r="F916" s="46"/>
      <c r="G916" s="47"/>
      <c r="H916" s="47"/>
      <c r="I916" s="47"/>
      <c r="J916" s="45" t="str">
        <f aca="false">IF($A916="","",IF(COUNTIF(Accounts!$C$2:$C$201,$A916)+COUNTIF('Service Principals'!$C$2:$C$201,$A916)+COUNTIF('Managed Identities'!$C$2:$C$201,$A916)&gt;0,"Yes","NOT IN INVENTORY"))</f>
        <v/>
      </c>
    </row>
    <row r="917" customFormat="false" ht="15" hidden="false" customHeight="false" outlineLevel="0" collapsed="false">
      <c r="A917" s="46"/>
      <c r="B917" s="46"/>
      <c r="C917" s="47"/>
      <c r="D917" s="47"/>
      <c r="E917" s="46"/>
      <c r="F917" s="46"/>
      <c r="G917" s="47"/>
      <c r="H917" s="47"/>
      <c r="I917" s="47"/>
      <c r="J917" s="45" t="str">
        <f aca="false">IF($A917="","",IF(COUNTIF(Accounts!$C$2:$C$201,$A917)+COUNTIF('Service Principals'!$C$2:$C$201,$A917)+COUNTIF('Managed Identities'!$C$2:$C$201,$A917)&gt;0,"Yes","NOT IN INVENTORY"))</f>
        <v/>
      </c>
    </row>
    <row r="918" customFormat="false" ht="15" hidden="false" customHeight="false" outlineLevel="0" collapsed="false">
      <c r="A918" s="46"/>
      <c r="B918" s="46"/>
      <c r="C918" s="47"/>
      <c r="D918" s="47"/>
      <c r="E918" s="46"/>
      <c r="F918" s="46"/>
      <c r="G918" s="47"/>
      <c r="H918" s="47"/>
      <c r="I918" s="47"/>
      <c r="J918" s="45" t="str">
        <f aca="false">IF($A918="","",IF(COUNTIF(Accounts!$C$2:$C$201,$A918)+COUNTIF('Service Principals'!$C$2:$C$201,$A918)+COUNTIF('Managed Identities'!$C$2:$C$201,$A918)&gt;0,"Yes","NOT IN INVENTORY"))</f>
        <v/>
      </c>
    </row>
    <row r="919" customFormat="false" ht="15" hidden="false" customHeight="false" outlineLevel="0" collapsed="false">
      <c r="A919" s="46"/>
      <c r="B919" s="46"/>
      <c r="C919" s="47"/>
      <c r="D919" s="47"/>
      <c r="E919" s="46"/>
      <c r="F919" s="46"/>
      <c r="G919" s="47"/>
      <c r="H919" s="47"/>
      <c r="I919" s="47"/>
      <c r="J919" s="45" t="str">
        <f aca="false">IF($A919="","",IF(COUNTIF(Accounts!$C$2:$C$201,$A919)+COUNTIF('Service Principals'!$C$2:$C$201,$A919)+COUNTIF('Managed Identities'!$C$2:$C$201,$A919)&gt;0,"Yes","NOT IN INVENTORY"))</f>
        <v/>
      </c>
    </row>
    <row r="920" customFormat="false" ht="15" hidden="false" customHeight="false" outlineLevel="0" collapsed="false">
      <c r="A920" s="46"/>
      <c r="B920" s="46"/>
      <c r="C920" s="47"/>
      <c r="D920" s="47"/>
      <c r="E920" s="46"/>
      <c r="F920" s="46"/>
      <c r="G920" s="47"/>
      <c r="H920" s="47"/>
      <c r="I920" s="47"/>
      <c r="J920" s="45" t="str">
        <f aca="false">IF($A920="","",IF(COUNTIF(Accounts!$C$2:$C$201,$A920)+COUNTIF('Service Principals'!$C$2:$C$201,$A920)+COUNTIF('Managed Identities'!$C$2:$C$201,$A920)&gt;0,"Yes","NOT IN INVENTORY"))</f>
        <v/>
      </c>
    </row>
    <row r="921" customFormat="false" ht="15" hidden="false" customHeight="false" outlineLevel="0" collapsed="false">
      <c r="A921" s="46"/>
      <c r="B921" s="46"/>
      <c r="C921" s="47"/>
      <c r="D921" s="47"/>
      <c r="E921" s="46"/>
      <c r="F921" s="46"/>
      <c r="G921" s="47"/>
      <c r="H921" s="47"/>
      <c r="I921" s="47"/>
      <c r="J921" s="45" t="str">
        <f aca="false">IF($A921="","",IF(COUNTIF(Accounts!$C$2:$C$201,$A921)+COUNTIF('Service Principals'!$C$2:$C$201,$A921)+COUNTIF('Managed Identities'!$C$2:$C$201,$A921)&gt;0,"Yes","NOT IN INVENTORY"))</f>
        <v/>
      </c>
    </row>
    <row r="922" customFormat="false" ht="15" hidden="false" customHeight="false" outlineLevel="0" collapsed="false">
      <c r="A922" s="46"/>
      <c r="B922" s="46"/>
      <c r="C922" s="47"/>
      <c r="D922" s="47"/>
      <c r="E922" s="46"/>
      <c r="F922" s="46"/>
      <c r="G922" s="47"/>
      <c r="H922" s="47"/>
      <c r="I922" s="47"/>
      <c r="J922" s="45" t="str">
        <f aca="false">IF($A922="","",IF(COUNTIF(Accounts!$C$2:$C$201,$A922)+COUNTIF('Service Principals'!$C$2:$C$201,$A922)+COUNTIF('Managed Identities'!$C$2:$C$201,$A922)&gt;0,"Yes","NOT IN INVENTORY"))</f>
        <v/>
      </c>
    </row>
    <row r="923" customFormat="false" ht="15" hidden="false" customHeight="false" outlineLevel="0" collapsed="false">
      <c r="A923" s="46"/>
      <c r="B923" s="46"/>
      <c r="C923" s="47"/>
      <c r="D923" s="47"/>
      <c r="E923" s="46"/>
      <c r="F923" s="46"/>
      <c r="G923" s="47"/>
      <c r="H923" s="47"/>
      <c r="I923" s="47"/>
      <c r="J923" s="45" t="str">
        <f aca="false">IF($A923="","",IF(COUNTIF(Accounts!$C$2:$C$201,$A923)+COUNTIF('Service Principals'!$C$2:$C$201,$A923)+COUNTIF('Managed Identities'!$C$2:$C$201,$A923)&gt;0,"Yes","NOT IN INVENTORY"))</f>
        <v/>
      </c>
    </row>
    <row r="924" customFormat="false" ht="15" hidden="false" customHeight="false" outlineLevel="0" collapsed="false">
      <c r="A924" s="46"/>
      <c r="B924" s="46"/>
      <c r="C924" s="47"/>
      <c r="D924" s="47"/>
      <c r="E924" s="46"/>
      <c r="F924" s="46"/>
      <c r="G924" s="47"/>
      <c r="H924" s="47"/>
      <c r="I924" s="47"/>
      <c r="J924" s="45" t="str">
        <f aca="false">IF($A924="","",IF(COUNTIF(Accounts!$C$2:$C$201,$A924)+COUNTIF('Service Principals'!$C$2:$C$201,$A924)+COUNTIF('Managed Identities'!$C$2:$C$201,$A924)&gt;0,"Yes","NOT IN INVENTORY"))</f>
        <v/>
      </c>
    </row>
    <row r="925" customFormat="false" ht="15" hidden="false" customHeight="false" outlineLevel="0" collapsed="false">
      <c r="A925" s="46"/>
      <c r="B925" s="46"/>
      <c r="C925" s="47"/>
      <c r="D925" s="47"/>
      <c r="E925" s="46"/>
      <c r="F925" s="46"/>
      <c r="G925" s="47"/>
      <c r="H925" s="47"/>
      <c r="I925" s="47"/>
      <c r="J925" s="45" t="str">
        <f aca="false">IF($A925="","",IF(COUNTIF(Accounts!$C$2:$C$201,$A925)+COUNTIF('Service Principals'!$C$2:$C$201,$A925)+COUNTIF('Managed Identities'!$C$2:$C$201,$A925)&gt;0,"Yes","NOT IN INVENTORY"))</f>
        <v/>
      </c>
    </row>
    <row r="926" customFormat="false" ht="15" hidden="false" customHeight="false" outlineLevel="0" collapsed="false">
      <c r="A926" s="46"/>
      <c r="B926" s="46"/>
      <c r="C926" s="47"/>
      <c r="D926" s="47"/>
      <c r="E926" s="46"/>
      <c r="F926" s="46"/>
      <c r="G926" s="47"/>
      <c r="H926" s="47"/>
      <c r="I926" s="47"/>
      <c r="J926" s="45" t="str">
        <f aca="false">IF($A926="","",IF(COUNTIF(Accounts!$C$2:$C$201,$A926)+COUNTIF('Service Principals'!$C$2:$C$201,$A926)+COUNTIF('Managed Identities'!$C$2:$C$201,$A926)&gt;0,"Yes","NOT IN INVENTORY"))</f>
        <v/>
      </c>
    </row>
    <row r="927" customFormat="false" ht="15" hidden="false" customHeight="false" outlineLevel="0" collapsed="false">
      <c r="A927" s="46"/>
      <c r="B927" s="46"/>
      <c r="C927" s="47"/>
      <c r="D927" s="47"/>
      <c r="E927" s="46"/>
      <c r="F927" s="46"/>
      <c r="G927" s="47"/>
      <c r="H927" s="47"/>
      <c r="I927" s="47"/>
      <c r="J927" s="45" t="str">
        <f aca="false">IF($A927="","",IF(COUNTIF(Accounts!$C$2:$C$201,$A927)+COUNTIF('Service Principals'!$C$2:$C$201,$A927)+COUNTIF('Managed Identities'!$C$2:$C$201,$A927)&gt;0,"Yes","NOT IN INVENTORY"))</f>
        <v/>
      </c>
    </row>
    <row r="928" customFormat="false" ht="15" hidden="false" customHeight="false" outlineLevel="0" collapsed="false">
      <c r="A928" s="46"/>
      <c r="B928" s="46"/>
      <c r="C928" s="47"/>
      <c r="D928" s="47"/>
      <c r="E928" s="46"/>
      <c r="F928" s="46"/>
      <c r="G928" s="47"/>
      <c r="H928" s="47"/>
      <c r="I928" s="47"/>
      <c r="J928" s="45" t="str">
        <f aca="false">IF($A928="","",IF(COUNTIF(Accounts!$C$2:$C$201,$A928)+COUNTIF('Service Principals'!$C$2:$C$201,$A928)+COUNTIF('Managed Identities'!$C$2:$C$201,$A928)&gt;0,"Yes","NOT IN INVENTORY"))</f>
        <v/>
      </c>
    </row>
    <row r="929" customFormat="false" ht="15" hidden="false" customHeight="false" outlineLevel="0" collapsed="false">
      <c r="A929" s="46"/>
      <c r="B929" s="46"/>
      <c r="C929" s="47"/>
      <c r="D929" s="47"/>
      <c r="E929" s="46"/>
      <c r="F929" s="46"/>
      <c r="G929" s="47"/>
      <c r="H929" s="47"/>
      <c r="I929" s="47"/>
      <c r="J929" s="45" t="str">
        <f aca="false">IF($A929="","",IF(COUNTIF(Accounts!$C$2:$C$201,$A929)+COUNTIF('Service Principals'!$C$2:$C$201,$A929)+COUNTIF('Managed Identities'!$C$2:$C$201,$A929)&gt;0,"Yes","NOT IN INVENTORY"))</f>
        <v/>
      </c>
    </row>
    <row r="930" customFormat="false" ht="15" hidden="false" customHeight="false" outlineLevel="0" collapsed="false">
      <c r="A930" s="46"/>
      <c r="B930" s="46"/>
      <c r="C930" s="47"/>
      <c r="D930" s="47"/>
      <c r="E930" s="46"/>
      <c r="F930" s="46"/>
      <c r="G930" s="47"/>
      <c r="H930" s="47"/>
      <c r="I930" s="47"/>
      <c r="J930" s="45" t="str">
        <f aca="false">IF($A930="","",IF(COUNTIF(Accounts!$C$2:$C$201,$A930)+COUNTIF('Service Principals'!$C$2:$C$201,$A930)+COUNTIF('Managed Identities'!$C$2:$C$201,$A930)&gt;0,"Yes","NOT IN INVENTORY"))</f>
        <v/>
      </c>
    </row>
    <row r="931" customFormat="false" ht="15" hidden="false" customHeight="false" outlineLevel="0" collapsed="false">
      <c r="A931" s="46"/>
      <c r="B931" s="46"/>
      <c r="C931" s="47"/>
      <c r="D931" s="47"/>
      <c r="E931" s="46"/>
      <c r="F931" s="46"/>
      <c r="G931" s="47"/>
      <c r="H931" s="47"/>
      <c r="I931" s="47"/>
      <c r="J931" s="45" t="str">
        <f aca="false">IF($A931="","",IF(COUNTIF(Accounts!$C$2:$C$201,$A931)+COUNTIF('Service Principals'!$C$2:$C$201,$A931)+COUNTIF('Managed Identities'!$C$2:$C$201,$A931)&gt;0,"Yes","NOT IN INVENTORY"))</f>
        <v/>
      </c>
    </row>
    <row r="932" customFormat="false" ht="15" hidden="false" customHeight="false" outlineLevel="0" collapsed="false">
      <c r="A932" s="46"/>
      <c r="B932" s="46"/>
      <c r="C932" s="47"/>
      <c r="D932" s="47"/>
      <c r="E932" s="46"/>
      <c r="F932" s="46"/>
      <c r="G932" s="47"/>
      <c r="H932" s="47"/>
      <c r="I932" s="47"/>
      <c r="J932" s="45" t="str">
        <f aca="false">IF($A932="","",IF(COUNTIF(Accounts!$C$2:$C$201,$A932)+COUNTIF('Service Principals'!$C$2:$C$201,$A932)+COUNTIF('Managed Identities'!$C$2:$C$201,$A932)&gt;0,"Yes","NOT IN INVENTORY"))</f>
        <v/>
      </c>
    </row>
    <row r="933" customFormat="false" ht="15" hidden="false" customHeight="false" outlineLevel="0" collapsed="false">
      <c r="A933" s="46"/>
      <c r="B933" s="46"/>
      <c r="C933" s="47"/>
      <c r="D933" s="47"/>
      <c r="E933" s="46"/>
      <c r="F933" s="46"/>
      <c r="G933" s="47"/>
      <c r="H933" s="47"/>
      <c r="I933" s="47"/>
      <c r="J933" s="45" t="str">
        <f aca="false">IF($A933="","",IF(COUNTIF(Accounts!$C$2:$C$201,$A933)+COUNTIF('Service Principals'!$C$2:$C$201,$A933)+COUNTIF('Managed Identities'!$C$2:$C$201,$A933)&gt;0,"Yes","NOT IN INVENTORY"))</f>
        <v/>
      </c>
    </row>
    <row r="934" customFormat="false" ht="15" hidden="false" customHeight="false" outlineLevel="0" collapsed="false">
      <c r="A934" s="46"/>
      <c r="B934" s="46"/>
      <c r="C934" s="47"/>
      <c r="D934" s="47"/>
      <c r="E934" s="46"/>
      <c r="F934" s="46"/>
      <c r="G934" s="47"/>
      <c r="H934" s="47"/>
      <c r="I934" s="47"/>
      <c r="J934" s="45" t="str">
        <f aca="false">IF($A934="","",IF(COUNTIF(Accounts!$C$2:$C$201,$A934)+COUNTIF('Service Principals'!$C$2:$C$201,$A934)+COUNTIF('Managed Identities'!$C$2:$C$201,$A934)&gt;0,"Yes","NOT IN INVENTORY"))</f>
        <v/>
      </c>
    </row>
    <row r="935" customFormat="false" ht="15" hidden="false" customHeight="false" outlineLevel="0" collapsed="false">
      <c r="A935" s="46"/>
      <c r="B935" s="46"/>
      <c r="C935" s="47"/>
      <c r="D935" s="47"/>
      <c r="E935" s="46"/>
      <c r="F935" s="46"/>
      <c r="G935" s="47"/>
      <c r="H935" s="47"/>
      <c r="I935" s="47"/>
      <c r="J935" s="45" t="str">
        <f aca="false">IF($A935="","",IF(COUNTIF(Accounts!$C$2:$C$201,$A935)+COUNTIF('Service Principals'!$C$2:$C$201,$A935)+COUNTIF('Managed Identities'!$C$2:$C$201,$A935)&gt;0,"Yes","NOT IN INVENTORY"))</f>
        <v/>
      </c>
    </row>
    <row r="936" customFormat="false" ht="15" hidden="false" customHeight="false" outlineLevel="0" collapsed="false">
      <c r="A936" s="46"/>
      <c r="B936" s="46"/>
      <c r="C936" s="47"/>
      <c r="D936" s="47"/>
      <c r="E936" s="46"/>
      <c r="F936" s="46"/>
      <c r="G936" s="47"/>
      <c r="H936" s="47"/>
      <c r="I936" s="47"/>
      <c r="J936" s="45" t="str">
        <f aca="false">IF($A936="","",IF(COUNTIF(Accounts!$C$2:$C$201,$A936)+COUNTIF('Service Principals'!$C$2:$C$201,$A936)+COUNTIF('Managed Identities'!$C$2:$C$201,$A936)&gt;0,"Yes","NOT IN INVENTORY"))</f>
        <v/>
      </c>
    </row>
    <row r="937" customFormat="false" ht="15" hidden="false" customHeight="false" outlineLevel="0" collapsed="false">
      <c r="A937" s="46"/>
      <c r="B937" s="46"/>
      <c r="C937" s="47"/>
      <c r="D937" s="47"/>
      <c r="E937" s="46"/>
      <c r="F937" s="46"/>
      <c r="G937" s="47"/>
      <c r="H937" s="47"/>
      <c r="I937" s="47"/>
      <c r="J937" s="45" t="str">
        <f aca="false">IF($A937="","",IF(COUNTIF(Accounts!$C$2:$C$201,$A937)+COUNTIF('Service Principals'!$C$2:$C$201,$A937)+COUNTIF('Managed Identities'!$C$2:$C$201,$A937)&gt;0,"Yes","NOT IN INVENTORY"))</f>
        <v/>
      </c>
    </row>
    <row r="938" customFormat="false" ht="15" hidden="false" customHeight="false" outlineLevel="0" collapsed="false">
      <c r="A938" s="46"/>
      <c r="B938" s="46"/>
      <c r="C938" s="47"/>
      <c r="D938" s="47"/>
      <c r="E938" s="46"/>
      <c r="F938" s="46"/>
      <c r="G938" s="47"/>
      <c r="H938" s="47"/>
      <c r="I938" s="47"/>
      <c r="J938" s="45" t="str">
        <f aca="false">IF($A938="","",IF(COUNTIF(Accounts!$C$2:$C$201,$A938)+COUNTIF('Service Principals'!$C$2:$C$201,$A938)+COUNTIF('Managed Identities'!$C$2:$C$201,$A938)&gt;0,"Yes","NOT IN INVENTORY"))</f>
        <v/>
      </c>
    </row>
    <row r="939" customFormat="false" ht="15" hidden="false" customHeight="false" outlineLevel="0" collapsed="false">
      <c r="A939" s="46"/>
      <c r="B939" s="46"/>
      <c r="C939" s="47"/>
      <c r="D939" s="47"/>
      <c r="E939" s="46"/>
      <c r="F939" s="46"/>
      <c r="G939" s="47"/>
      <c r="H939" s="47"/>
      <c r="I939" s="47"/>
      <c r="J939" s="45" t="str">
        <f aca="false">IF($A939="","",IF(COUNTIF(Accounts!$C$2:$C$201,$A939)+COUNTIF('Service Principals'!$C$2:$C$201,$A939)+COUNTIF('Managed Identities'!$C$2:$C$201,$A939)&gt;0,"Yes","NOT IN INVENTORY"))</f>
        <v/>
      </c>
    </row>
    <row r="940" customFormat="false" ht="15" hidden="false" customHeight="false" outlineLevel="0" collapsed="false">
      <c r="A940" s="46"/>
      <c r="B940" s="46"/>
      <c r="C940" s="47"/>
      <c r="D940" s="47"/>
      <c r="E940" s="46"/>
      <c r="F940" s="46"/>
      <c r="G940" s="47"/>
      <c r="H940" s="47"/>
      <c r="I940" s="47"/>
      <c r="J940" s="45" t="str">
        <f aca="false">IF($A940="","",IF(COUNTIF(Accounts!$C$2:$C$201,$A940)+COUNTIF('Service Principals'!$C$2:$C$201,$A940)+COUNTIF('Managed Identities'!$C$2:$C$201,$A940)&gt;0,"Yes","NOT IN INVENTORY"))</f>
        <v/>
      </c>
    </row>
    <row r="941" customFormat="false" ht="15" hidden="false" customHeight="false" outlineLevel="0" collapsed="false">
      <c r="A941" s="46"/>
      <c r="B941" s="46"/>
      <c r="C941" s="47"/>
      <c r="D941" s="47"/>
      <c r="E941" s="46"/>
      <c r="F941" s="46"/>
      <c r="G941" s="47"/>
      <c r="H941" s="47"/>
      <c r="I941" s="47"/>
      <c r="J941" s="45" t="str">
        <f aca="false">IF($A941="","",IF(COUNTIF(Accounts!$C$2:$C$201,$A941)+COUNTIF('Service Principals'!$C$2:$C$201,$A941)+COUNTIF('Managed Identities'!$C$2:$C$201,$A941)&gt;0,"Yes","NOT IN INVENTORY"))</f>
        <v/>
      </c>
    </row>
    <row r="942" customFormat="false" ht="15" hidden="false" customHeight="false" outlineLevel="0" collapsed="false">
      <c r="A942" s="46"/>
      <c r="B942" s="46"/>
      <c r="C942" s="47"/>
      <c r="D942" s="47"/>
      <c r="E942" s="46"/>
      <c r="F942" s="46"/>
      <c r="G942" s="47"/>
      <c r="H942" s="47"/>
      <c r="I942" s="47"/>
      <c r="J942" s="45" t="str">
        <f aca="false">IF($A942="","",IF(COUNTIF(Accounts!$C$2:$C$201,$A942)+COUNTIF('Service Principals'!$C$2:$C$201,$A942)+COUNTIF('Managed Identities'!$C$2:$C$201,$A942)&gt;0,"Yes","NOT IN INVENTORY"))</f>
        <v/>
      </c>
    </row>
    <row r="943" customFormat="false" ht="15" hidden="false" customHeight="false" outlineLevel="0" collapsed="false">
      <c r="A943" s="46"/>
      <c r="B943" s="46"/>
      <c r="C943" s="47"/>
      <c r="D943" s="47"/>
      <c r="E943" s="46"/>
      <c r="F943" s="46"/>
      <c r="G943" s="47"/>
      <c r="H943" s="47"/>
      <c r="I943" s="47"/>
      <c r="J943" s="45" t="str">
        <f aca="false">IF($A943="","",IF(COUNTIF(Accounts!$C$2:$C$201,$A943)+COUNTIF('Service Principals'!$C$2:$C$201,$A943)+COUNTIF('Managed Identities'!$C$2:$C$201,$A943)&gt;0,"Yes","NOT IN INVENTORY"))</f>
        <v/>
      </c>
    </row>
    <row r="944" customFormat="false" ht="15" hidden="false" customHeight="false" outlineLevel="0" collapsed="false">
      <c r="A944" s="46"/>
      <c r="B944" s="46"/>
      <c r="C944" s="47"/>
      <c r="D944" s="47"/>
      <c r="E944" s="46"/>
      <c r="F944" s="46"/>
      <c r="G944" s="47"/>
      <c r="H944" s="47"/>
      <c r="I944" s="47"/>
      <c r="J944" s="45" t="str">
        <f aca="false">IF($A944="","",IF(COUNTIF(Accounts!$C$2:$C$201,$A944)+COUNTIF('Service Principals'!$C$2:$C$201,$A944)+COUNTIF('Managed Identities'!$C$2:$C$201,$A944)&gt;0,"Yes","NOT IN INVENTORY"))</f>
        <v/>
      </c>
    </row>
    <row r="945" customFormat="false" ht="15" hidden="false" customHeight="false" outlineLevel="0" collapsed="false">
      <c r="A945" s="46"/>
      <c r="B945" s="46"/>
      <c r="C945" s="47"/>
      <c r="D945" s="47"/>
      <c r="E945" s="46"/>
      <c r="F945" s="46"/>
      <c r="G945" s="47"/>
      <c r="H945" s="47"/>
      <c r="I945" s="47"/>
      <c r="J945" s="45" t="str">
        <f aca="false">IF($A945="","",IF(COUNTIF(Accounts!$C$2:$C$201,$A945)+COUNTIF('Service Principals'!$C$2:$C$201,$A945)+COUNTIF('Managed Identities'!$C$2:$C$201,$A945)&gt;0,"Yes","NOT IN INVENTORY"))</f>
        <v/>
      </c>
    </row>
    <row r="946" customFormat="false" ht="15" hidden="false" customHeight="false" outlineLevel="0" collapsed="false">
      <c r="A946" s="46"/>
      <c r="B946" s="46"/>
      <c r="C946" s="47"/>
      <c r="D946" s="47"/>
      <c r="E946" s="46"/>
      <c r="F946" s="46"/>
      <c r="G946" s="47"/>
      <c r="H946" s="47"/>
      <c r="I946" s="47"/>
      <c r="J946" s="45" t="str">
        <f aca="false">IF($A946="","",IF(COUNTIF(Accounts!$C$2:$C$201,$A946)+COUNTIF('Service Principals'!$C$2:$C$201,$A946)+COUNTIF('Managed Identities'!$C$2:$C$201,$A946)&gt;0,"Yes","NOT IN INVENTORY"))</f>
        <v/>
      </c>
    </row>
    <row r="947" customFormat="false" ht="15" hidden="false" customHeight="false" outlineLevel="0" collapsed="false">
      <c r="A947" s="46"/>
      <c r="B947" s="46"/>
      <c r="C947" s="47"/>
      <c r="D947" s="47"/>
      <c r="E947" s="46"/>
      <c r="F947" s="46"/>
      <c r="G947" s="47"/>
      <c r="H947" s="47"/>
      <c r="I947" s="47"/>
      <c r="J947" s="45" t="str">
        <f aca="false">IF($A947="","",IF(COUNTIF(Accounts!$C$2:$C$201,$A947)+COUNTIF('Service Principals'!$C$2:$C$201,$A947)+COUNTIF('Managed Identities'!$C$2:$C$201,$A947)&gt;0,"Yes","NOT IN INVENTORY"))</f>
        <v/>
      </c>
    </row>
    <row r="948" customFormat="false" ht="15" hidden="false" customHeight="false" outlineLevel="0" collapsed="false">
      <c r="A948" s="46"/>
      <c r="B948" s="46"/>
      <c r="C948" s="47"/>
      <c r="D948" s="47"/>
      <c r="E948" s="46"/>
      <c r="F948" s="46"/>
      <c r="G948" s="47"/>
      <c r="H948" s="47"/>
      <c r="I948" s="47"/>
      <c r="J948" s="45" t="str">
        <f aca="false">IF($A948="","",IF(COUNTIF(Accounts!$C$2:$C$201,$A948)+COUNTIF('Service Principals'!$C$2:$C$201,$A948)+COUNTIF('Managed Identities'!$C$2:$C$201,$A948)&gt;0,"Yes","NOT IN INVENTORY"))</f>
        <v/>
      </c>
    </row>
    <row r="949" customFormat="false" ht="15" hidden="false" customHeight="false" outlineLevel="0" collapsed="false">
      <c r="A949" s="46"/>
      <c r="B949" s="46"/>
      <c r="C949" s="47"/>
      <c r="D949" s="47"/>
      <c r="E949" s="46"/>
      <c r="F949" s="46"/>
      <c r="G949" s="47"/>
      <c r="H949" s="47"/>
      <c r="I949" s="47"/>
      <c r="J949" s="45" t="str">
        <f aca="false">IF($A949="","",IF(COUNTIF(Accounts!$C$2:$C$201,$A949)+COUNTIF('Service Principals'!$C$2:$C$201,$A949)+COUNTIF('Managed Identities'!$C$2:$C$201,$A949)&gt;0,"Yes","NOT IN INVENTORY"))</f>
        <v/>
      </c>
    </row>
    <row r="950" customFormat="false" ht="15" hidden="false" customHeight="false" outlineLevel="0" collapsed="false">
      <c r="A950" s="46"/>
      <c r="B950" s="46"/>
      <c r="C950" s="47"/>
      <c r="D950" s="47"/>
      <c r="E950" s="46"/>
      <c r="F950" s="46"/>
      <c r="G950" s="47"/>
      <c r="H950" s="47"/>
      <c r="I950" s="47"/>
      <c r="J950" s="45" t="str">
        <f aca="false">IF($A950="","",IF(COUNTIF(Accounts!$C$2:$C$201,$A950)+COUNTIF('Service Principals'!$C$2:$C$201,$A950)+COUNTIF('Managed Identities'!$C$2:$C$201,$A950)&gt;0,"Yes","NOT IN INVENTORY"))</f>
        <v/>
      </c>
    </row>
    <row r="951" customFormat="false" ht="15" hidden="false" customHeight="false" outlineLevel="0" collapsed="false">
      <c r="A951" s="46"/>
      <c r="B951" s="46"/>
      <c r="C951" s="47"/>
      <c r="D951" s="47"/>
      <c r="E951" s="46"/>
      <c r="F951" s="46"/>
      <c r="G951" s="47"/>
      <c r="H951" s="47"/>
      <c r="I951" s="47"/>
      <c r="J951" s="45" t="str">
        <f aca="false">IF($A951="","",IF(COUNTIF(Accounts!$C$2:$C$201,$A951)+COUNTIF('Service Principals'!$C$2:$C$201,$A951)+COUNTIF('Managed Identities'!$C$2:$C$201,$A951)&gt;0,"Yes","NOT IN INVENTORY"))</f>
        <v/>
      </c>
    </row>
    <row r="952" customFormat="false" ht="15" hidden="false" customHeight="false" outlineLevel="0" collapsed="false">
      <c r="A952" s="46"/>
      <c r="B952" s="46"/>
      <c r="C952" s="47"/>
      <c r="D952" s="47"/>
      <c r="E952" s="46"/>
      <c r="F952" s="46"/>
      <c r="G952" s="47"/>
      <c r="H952" s="47"/>
      <c r="I952" s="47"/>
      <c r="J952" s="45" t="str">
        <f aca="false">IF($A952="","",IF(COUNTIF(Accounts!$C$2:$C$201,$A952)+COUNTIF('Service Principals'!$C$2:$C$201,$A952)+COUNTIF('Managed Identities'!$C$2:$C$201,$A952)&gt;0,"Yes","NOT IN INVENTORY"))</f>
        <v/>
      </c>
    </row>
    <row r="953" customFormat="false" ht="15" hidden="false" customHeight="false" outlineLevel="0" collapsed="false">
      <c r="A953" s="46"/>
      <c r="B953" s="46"/>
      <c r="C953" s="47"/>
      <c r="D953" s="47"/>
      <c r="E953" s="46"/>
      <c r="F953" s="46"/>
      <c r="G953" s="47"/>
      <c r="H953" s="47"/>
      <c r="I953" s="47"/>
      <c r="J953" s="45" t="str">
        <f aca="false">IF($A953="","",IF(COUNTIF(Accounts!$C$2:$C$201,$A953)+COUNTIF('Service Principals'!$C$2:$C$201,$A953)+COUNTIF('Managed Identities'!$C$2:$C$201,$A953)&gt;0,"Yes","NOT IN INVENTORY"))</f>
        <v/>
      </c>
    </row>
    <row r="954" customFormat="false" ht="15" hidden="false" customHeight="false" outlineLevel="0" collapsed="false">
      <c r="A954" s="46"/>
      <c r="B954" s="46"/>
      <c r="C954" s="47"/>
      <c r="D954" s="47"/>
      <c r="E954" s="46"/>
      <c r="F954" s="46"/>
      <c r="G954" s="47"/>
      <c r="H954" s="47"/>
      <c r="I954" s="47"/>
      <c r="J954" s="45" t="str">
        <f aca="false">IF($A954="","",IF(COUNTIF(Accounts!$C$2:$C$201,$A954)+COUNTIF('Service Principals'!$C$2:$C$201,$A954)+COUNTIF('Managed Identities'!$C$2:$C$201,$A954)&gt;0,"Yes","NOT IN INVENTORY"))</f>
        <v/>
      </c>
    </row>
    <row r="955" customFormat="false" ht="15" hidden="false" customHeight="false" outlineLevel="0" collapsed="false">
      <c r="A955" s="46"/>
      <c r="B955" s="46"/>
      <c r="C955" s="47"/>
      <c r="D955" s="47"/>
      <c r="E955" s="46"/>
      <c r="F955" s="46"/>
      <c r="G955" s="47"/>
      <c r="H955" s="47"/>
      <c r="I955" s="47"/>
      <c r="J955" s="45" t="str">
        <f aca="false">IF($A955="","",IF(COUNTIF(Accounts!$C$2:$C$201,$A955)+COUNTIF('Service Principals'!$C$2:$C$201,$A955)+COUNTIF('Managed Identities'!$C$2:$C$201,$A955)&gt;0,"Yes","NOT IN INVENTORY"))</f>
        <v/>
      </c>
    </row>
    <row r="956" customFormat="false" ht="15" hidden="false" customHeight="false" outlineLevel="0" collapsed="false">
      <c r="A956" s="46"/>
      <c r="B956" s="46"/>
      <c r="C956" s="47"/>
      <c r="D956" s="47"/>
      <c r="E956" s="46"/>
      <c r="F956" s="46"/>
      <c r="G956" s="47"/>
      <c r="H956" s="47"/>
      <c r="I956" s="47"/>
      <c r="J956" s="45" t="str">
        <f aca="false">IF($A956="","",IF(COUNTIF(Accounts!$C$2:$C$201,$A956)+COUNTIF('Service Principals'!$C$2:$C$201,$A956)+COUNTIF('Managed Identities'!$C$2:$C$201,$A956)&gt;0,"Yes","NOT IN INVENTORY"))</f>
        <v/>
      </c>
    </row>
    <row r="957" customFormat="false" ht="15" hidden="false" customHeight="false" outlineLevel="0" collapsed="false">
      <c r="A957" s="46"/>
      <c r="B957" s="46"/>
      <c r="C957" s="47"/>
      <c r="D957" s="47"/>
      <c r="E957" s="46"/>
      <c r="F957" s="46"/>
      <c r="G957" s="47"/>
      <c r="H957" s="47"/>
      <c r="I957" s="47"/>
      <c r="J957" s="45" t="str">
        <f aca="false">IF($A957="","",IF(COUNTIF(Accounts!$C$2:$C$201,$A957)+COUNTIF('Service Principals'!$C$2:$C$201,$A957)+COUNTIF('Managed Identities'!$C$2:$C$201,$A957)&gt;0,"Yes","NOT IN INVENTORY"))</f>
        <v/>
      </c>
    </row>
    <row r="958" customFormat="false" ht="15" hidden="false" customHeight="false" outlineLevel="0" collapsed="false">
      <c r="A958" s="46"/>
      <c r="B958" s="46"/>
      <c r="C958" s="47"/>
      <c r="D958" s="47"/>
      <c r="E958" s="46"/>
      <c r="F958" s="46"/>
      <c r="G958" s="47"/>
      <c r="H958" s="47"/>
      <c r="I958" s="47"/>
      <c r="J958" s="45" t="str">
        <f aca="false">IF($A958="","",IF(COUNTIF(Accounts!$C$2:$C$201,$A958)+COUNTIF('Service Principals'!$C$2:$C$201,$A958)+COUNTIF('Managed Identities'!$C$2:$C$201,$A958)&gt;0,"Yes","NOT IN INVENTORY"))</f>
        <v/>
      </c>
    </row>
    <row r="959" customFormat="false" ht="15" hidden="false" customHeight="false" outlineLevel="0" collapsed="false">
      <c r="A959" s="46"/>
      <c r="B959" s="46"/>
      <c r="C959" s="47"/>
      <c r="D959" s="47"/>
      <c r="E959" s="46"/>
      <c r="F959" s="46"/>
      <c r="G959" s="47"/>
      <c r="H959" s="47"/>
      <c r="I959" s="47"/>
      <c r="J959" s="45" t="str">
        <f aca="false">IF($A959="","",IF(COUNTIF(Accounts!$C$2:$C$201,$A959)+COUNTIF('Service Principals'!$C$2:$C$201,$A959)+COUNTIF('Managed Identities'!$C$2:$C$201,$A959)&gt;0,"Yes","NOT IN INVENTORY"))</f>
        <v/>
      </c>
    </row>
    <row r="960" customFormat="false" ht="15" hidden="false" customHeight="false" outlineLevel="0" collapsed="false">
      <c r="A960" s="46"/>
      <c r="B960" s="46"/>
      <c r="C960" s="47"/>
      <c r="D960" s="47"/>
      <c r="E960" s="46"/>
      <c r="F960" s="46"/>
      <c r="G960" s="47"/>
      <c r="H960" s="47"/>
      <c r="I960" s="47"/>
      <c r="J960" s="45" t="str">
        <f aca="false">IF($A960="","",IF(COUNTIF(Accounts!$C$2:$C$201,$A960)+COUNTIF('Service Principals'!$C$2:$C$201,$A960)+COUNTIF('Managed Identities'!$C$2:$C$201,$A960)&gt;0,"Yes","NOT IN INVENTORY"))</f>
        <v/>
      </c>
    </row>
    <row r="961" customFormat="false" ht="15" hidden="false" customHeight="false" outlineLevel="0" collapsed="false">
      <c r="A961" s="46"/>
      <c r="B961" s="46"/>
      <c r="C961" s="47"/>
      <c r="D961" s="47"/>
      <c r="E961" s="46"/>
      <c r="F961" s="46"/>
      <c r="G961" s="47"/>
      <c r="H961" s="47"/>
      <c r="I961" s="47"/>
      <c r="J961" s="45" t="str">
        <f aca="false">IF($A961="","",IF(COUNTIF(Accounts!$C$2:$C$201,$A961)+COUNTIF('Service Principals'!$C$2:$C$201,$A961)+COUNTIF('Managed Identities'!$C$2:$C$201,$A961)&gt;0,"Yes","NOT IN INVENTORY"))</f>
        <v/>
      </c>
    </row>
    <row r="962" customFormat="false" ht="15" hidden="false" customHeight="false" outlineLevel="0" collapsed="false">
      <c r="A962" s="46"/>
      <c r="B962" s="46"/>
      <c r="C962" s="47"/>
      <c r="D962" s="47"/>
      <c r="E962" s="46"/>
      <c r="F962" s="46"/>
      <c r="G962" s="47"/>
      <c r="H962" s="47"/>
      <c r="I962" s="47"/>
      <c r="J962" s="45" t="str">
        <f aca="false">IF($A962="","",IF(COUNTIF(Accounts!$C$2:$C$201,$A962)+COUNTIF('Service Principals'!$C$2:$C$201,$A962)+COUNTIF('Managed Identities'!$C$2:$C$201,$A962)&gt;0,"Yes","NOT IN INVENTORY"))</f>
        <v/>
      </c>
    </row>
    <row r="963" customFormat="false" ht="15" hidden="false" customHeight="false" outlineLevel="0" collapsed="false">
      <c r="A963" s="46"/>
      <c r="B963" s="46"/>
      <c r="C963" s="47"/>
      <c r="D963" s="47"/>
      <c r="E963" s="46"/>
      <c r="F963" s="46"/>
      <c r="G963" s="47"/>
      <c r="H963" s="47"/>
      <c r="I963" s="47"/>
      <c r="J963" s="45" t="str">
        <f aca="false">IF($A963="","",IF(COUNTIF(Accounts!$C$2:$C$201,$A963)+COUNTIF('Service Principals'!$C$2:$C$201,$A963)+COUNTIF('Managed Identities'!$C$2:$C$201,$A963)&gt;0,"Yes","NOT IN INVENTORY"))</f>
        <v/>
      </c>
    </row>
    <row r="964" customFormat="false" ht="15" hidden="false" customHeight="false" outlineLevel="0" collapsed="false">
      <c r="A964" s="46"/>
      <c r="B964" s="46"/>
      <c r="C964" s="47"/>
      <c r="D964" s="47"/>
      <c r="E964" s="46"/>
      <c r="F964" s="46"/>
      <c r="G964" s="47"/>
      <c r="H964" s="47"/>
      <c r="I964" s="47"/>
      <c r="J964" s="45" t="str">
        <f aca="false">IF($A964="","",IF(COUNTIF(Accounts!$C$2:$C$201,$A964)+COUNTIF('Service Principals'!$C$2:$C$201,$A964)+COUNTIF('Managed Identities'!$C$2:$C$201,$A964)&gt;0,"Yes","NOT IN INVENTORY"))</f>
        <v/>
      </c>
    </row>
    <row r="965" customFormat="false" ht="15" hidden="false" customHeight="false" outlineLevel="0" collapsed="false">
      <c r="A965" s="46"/>
      <c r="B965" s="46"/>
      <c r="C965" s="47"/>
      <c r="D965" s="47"/>
      <c r="E965" s="46"/>
      <c r="F965" s="46"/>
      <c r="G965" s="47"/>
      <c r="H965" s="47"/>
      <c r="I965" s="47"/>
      <c r="J965" s="45" t="str">
        <f aca="false">IF($A965="","",IF(COUNTIF(Accounts!$C$2:$C$201,$A965)+COUNTIF('Service Principals'!$C$2:$C$201,$A965)+COUNTIF('Managed Identities'!$C$2:$C$201,$A965)&gt;0,"Yes","NOT IN INVENTORY"))</f>
        <v/>
      </c>
    </row>
    <row r="966" customFormat="false" ht="15" hidden="false" customHeight="false" outlineLevel="0" collapsed="false">
      <c r="A966" s="46"/>
      <c r="B966" s="46"/>
      <c r="C966" s="47"/>
      <c r="D966" s="47"/>
      <c r="E966" s="46"/>
      <c r="F966" s="46"/>
      <c r="G966" s="47"/>
      <c r="H966" s="47"/>
      <c r="I966" s="47"/>
      <c r="J966" s="45" t="str">
        <f aca="false">IF($A966="","",IF(COUNTIF(Accounts!$C$2:$C$201,$A966)+COUNTIF('Service Principals'!$C$2:$C$201,$A966)+COUNTIF('Managed Identities'!$C$2:$C$201,$A966)&gt;0,"Yes","NOT IN INVENTORY"))</f>
        <v/>
      </c>
    </row>
    <row r="967" customFormat="false" ht="15" hidden="false" customHeight="false" outlineLevel="0" collapsed="false">
      <c r="A967" s="46"/>
      <c r="B967" s="46"/>
      <c r="C967" s="47"/>
      <c r="D967" s="47"/>
      <c r="E967" s="46"/>
      <c r="F967" s="46"/>
      <c r="G967" s="47"/>
      <c r="H967" s="47"/>
      <c r="I967" s="47"/>
      <c r="J967" s="45" t="str">
        <f aca="false">IF($A967="","",IF(COUNTIF(Accounts!$C$2:$C$201,$A967)+COUNTIF('Service Principals'!$C$2:$C$201,$A967)+COUNTIF('Managed Identities'!$C$2:$C$201,$A967)&gt;0,"Yes","NOT IN INVENTORY"))</f>
        <v/>
      </c>
    </row>
    <row r="968" customFormat="false" ht="15" hidden="false" customHeight="false" outlineLevel="0" collapsed="false">
      <c r="A968" s="46"/>
      <c r="B968" s="46"/>
      <c r="C968" s="47"/>
      <c r="D968" s="47"/>
      <c r="E968" s="46"/>
      <c r="F968" s="46"/>
      <c r="G968" s="47"/>
      <c r="H968" s="47"/>
      <c r="I968" s="47"/>
      <c r="J968" s="45" t="str">
        <f aca="false">IF($A968="","",IF(COUNTIF(Accounts!$C$2:$C$201,$A968)+COUNTIF('Service Principals'!$C$2:$C$201,$A968)+COUNTIF('Managed Identities'!$C$2:$C$201,$A968)&gt;0,"Yes","NOT IN INVENTORY"))</f>
        <v/>
      </c>
    </row>
    <row r="969" customFormat="false" ht="15" hidden="false" customHeight="false" outlineLevel="0" collapsed="false">
      <c r="A969" s="46"/>
      <c r="B969" s="46"/>
      <c r="C969" s="47"/>
      <c r="D969" s="47"/>
      <c r="E969" s="46"/>
      <c r="F969" s="46"/>
      <c r="G969" s="47"/>
      <c r="H969" s="47"/>
      <c r="I969" s="47"/>
      <c r="J969" s="45" t="str">
        <f aca="false">IF($A969="","",IF(COUNTIF(Accounts!$C$2:$C$201,$A969)+COUNTIF('Service Principals'!$C$2:$C$201,$A969)+COUNTIF('Managed Identities'!$C$2:$C$201,$A969)&gt;0,"Yes","NOT IN INVENTORY"))</f>
        <v/>
      </c>
    </row>
    <row r="970" customFormat="false" ht="15" hidden="false" customHeight="false" outlineLevel="0" collapsed="false">
      <c r="A970" s="46"/>
      <c r="B970" s="46"/>
      <c r="C970" s="47"/>
      <c r="D970" s="47"/>
      <c r="E970" s="46"/>
      <c r="F970" s="46"/>
      <c r="G970" s="47"/>
      <c r="H970" s="47"/>
      <c r="I970" s="47"/>
      <c r="J970" s="45" t="str">
        <f aca="false">IF($A970="","",IF(COUNTIF(Accounts!$C$2:$C$201,$A970)+COUNTIF('Service Principals'!$C$2:$C$201,$A970)+COUNTIF('Managed Identities'!$C$2:$C$201,$A970)&gt;0,"Yes","NOT IN INVENTORY"))</f>
        <v/>
      </c>
    </row>
    <row r="971" customFormat="false" ht="15" hidden="false" customHeight="false" outlineLevel="0" collapsed="false">
      <c r="A971" s="46"/>
      <c r="B971" s="46"/>
      <c r="C971" s="47"/>
      <c r="D971" s="47"/>
      <c r="E971" s="46"/>
      <c r="F971" s="46"/>
      <c r="G971" s="47"/>
      <c r="H971" s="47"/>
      <c r="I971" s="47"/>
      <c r="J971" s="45" t="str">
        <f aca="false">IF($A971="","",IF(COUNTIF(Accounts!$C$2:$C$201,$A971)+COUNTIF('Service Principals'!$C$2:$C$201,$A971)+COUNTIF('Managed Identities'!$C$2:$C$201,$A971)&gt;0,"Yes","NOT IN INVENTORY"))</f>
        <v/>
      </c>
    </row>
    <row r="972" customFormat="false" ht="15" hidden="false" customHeight="false" outlineLevel="0" collapsed="false">
      <c r="A972" s="46"/>
      <c r="B972" s="46"/>
      <c r="C972" s="47"/>
      <c r="D972" s="47"/>
      <c r="E972" s="46"/>
      <c r="F972" s="46"/>
      <c r="G972" s="47"/>
      <c r="H972" s="47"/>
      <c r="I972" s="47"/>
      <c r="J972" s="45" t="str">
        <f aca="false">IF($A972="","",IF(COUNTIF(Accounts!$C$2:$C$201,$A972)+COUNTIF('Service Principals'!$C$2:$C$201,$A972)+COUNTIF('Managed Identities'!$C$2:$C$201,$A972)&gt;0,"Yes","NOT IN INVENTORY"))</f>
        <v/>
      </c>
    </row>
    <row r="973" customFormat="false" ht="15" hidden="false" customHeight="false" outlineLevel="0" collapsed="false">
      <c r="A973" s="46"/>
      <c r="B973" s="46"/>
      <c r="C973" s="47"/>
      <c r="D973" s="47"/>
      <c r="E973" s="46"/>
      <c r="F973" s="46"/>
      <c r="G973" s="47"/>
      <c r="H973" s="47"/>
      <c r="I973" s="47"/>
      <c r="J973" s="45" t="str">
        <f aca="false">IF($A973="","",IF(COUNTIF(Accounts!$C$2:$C$201,$A973)+COUNTIF('Service Principals'!$C$2:$C$201,$A973)+COUNTIF('Managed Identities'!$C$2:$C$201,$A973)&gt;0,"Yes","NOT IN INVENTORY"))</f>
        <v/>
      </c>
    </row>
    <row r="974" customFormat="false" ht="15" hidden="false" customHeight="false" outlineLevel="0" collapsed="false">
      <c r="A974" s="46"/>
      <c r="B974" s="46"/>
      <c r="C974" s="47"/>
      <c r="D974" s="47"/>
      <c r="E974" s="46"/>
      <c r="F974" s="46"/>
      <c r="G974" s="47"/>
      <c r="H974" s="47"/>
      <c r="I974" s="47"/>
      <c r="J974" s="45" t="str">
        <f aca="false">IF($A974="","",IF(COUNTIF(Accounts!$C$2:$C$201,$A974)+COUNTIF('Service Principals'!$C$2:$C$201,$A974)+COUNTIF('Managed Identities'!$C$2:$C$201,$A974)&gt;0,"Yes","NOT IN INVENTORY"))</f>
        <v/>
      </c>
    </row>
    <row r="975" customFormat="false" ht="15" hidden="false" customHeight="false" outlineLevel="0" collapsed="false">
      <c r="A975" s="46"/>
      <c r="B975" s="46"/>
      <c r="C975" s="47"/>
      <c r="D975" s="47"/>
      <c r="E975" s="46"/>
      <c r="F975" s="46"/>
      <c r="G975" s="47"/>
      <c r="H975" s="47"/>
      <c r="I975" s="47"/>
      <c r="J975" s="45" t="str">
        <f aca="false">IF($A975="","",IF(COUNTIF(Accounts!$C$2:$C$201,$A975)+COUNTIF('Service Principals'!$C$2:$C$201,$A975)+COUNTIF('Managed Identities'!$C$2:$C$201,$A975)&gt;0,"Yes","NOT IN INVENTORY"))</f>
        <v/>
      </c>
    </row>
    <row r="976" customFormat="false" ht="15" hidden="false" customHeight="false" outlineLevel="0" collapsed="false">
      <c r="A976" s="46"/>
      <c r="B976" s="46"/>
      <c r="C976" s="47"/>
      <c r="D976" s="47"/>
      <c r="E976" s="46"/>
      <c r="F976" s="46"/>
      <c r="G976" s="47"/>
      <c r="H976" s="47"/>
      <c r="I976" s="47"/>
      <c r="J976" s="45" t="str">
        <f aca="false">IF($A976="","",IF(COUNTIF(Accounts!$C$2:$C$201,$A976)+COUNTIF('Service Principals'!$C$2:$C$201,$A976)+COUNTIF('Managed Identities'!$C$2:$C$201,$A976)&gt;0,"Yes","NOT IN INVENTORY"))</f>
        <v/>
      </c>
    </row>
    <row r="977" customFormat="false" ht="15" hidden="false" customHeight="false" outlineLevel="0" collapsed="false">
      <c r="A977" s="46"/>
      <c r="B977" s="46"/>
      <c r="C977" s="47"/>
      <c r="D977" s="47"/>
      <c r="E977" s="46"/>
      <c r="F977" s="46"/>
      <c r="G977" s="47"/>
      <c r="H977" s="47"/>
      <c r="I977" s="47"/>
      <c r="J977" s="45" t="str">
        <f aca="false">IF($A977="","",IF(COUNTIF(Accounts!$C$2:$C$201,$A977)+COUNTIF('Service Principals'!$C$2:$C$201,$A977)+COUNTIF('Managed Identities'!$C$2:$C$201,$A977)&gt;0,"Yes","NOT IN INVENTORY"))</f>
        <v/>
      </c>
    </row>
    <row r="978" customFormat="false" ht="15" hidden="false" customHeight="false" outlineLevel="0" collapsed="false">
      <c r="A978" s="46"/>
      <c r="B978" s="46"/>
      <c r="C978" s="47"/>
      <c r="D978" s="47"/>
      <c r="E978" s="46"/>
      <c r="F978" s="46"/>
      <c r="G978" s="47"/>
      <c r="H978" s="47"/>
      <c r="I978" s="47"/>
      <c r="J978" s="45" t="str">
        <f aca="false">IF($A978="","",IF(COUNTIF(Accounts!$C$2:$C$201,$A978)+COUNTIF('Service Principals'!$C$2:$C$201,$A978)+COUNTIF('Managed Identities'!$C$2:$C$201,$A978)&gt;0,"Yes","NOT IN INVENTORY"))</f>
        <v/>
      </c>
    </row>
    <row r="979" customFormat="false" ht="15" hidden="false" customHeight="false" outlineLevel="0" collapsed="false">
      <c r="A979" s="46"/>
      <c r="B979" s="46"/>
      <c r="C979" s="47"/>
      <c r="D979" s="47"/>
      <c r="E979" s="46"/>
      <c r="F979" s="46"/>
      <c r="G979" s="47"/>
      <c r="H979" s="47"/>
      <c r="I979" s="47"/>
      <c r="J979" s="45" t="str">
        <f aca="false">IF($A979="","",IF(COUNTIF(Accounts!$C$2:$C$201,$A979)+COUNTIF('Service Principals'!$C$2:$C$201,$A979)+COUNTIF('Managed Identities'!$C$2:$C$201,$A979)&gt;0,"Yes","NOT IN INVENTORY"))</f>
        <v/>
      </c>
    </row>
    <row r="980" customFormat="false" ht="15" hidden="false" customHeight="false" outlineLevel="0" collapsed="false">
      <c r="A980" s="46"/>
      <c r="B980" s="46"/>
      <c r="C980" s="47"/>
      <c r="D980" s="47"/>
      <c r="E980" s="46"/>
      <c r="F980" s="46"/>
      <c r="G980" s="47"/>
      <c r="H980" s="47"/>
      <c r="I980" s="47"/>
      <c r="J980" s="45" t="str">
        <f aca="false">IF($A980="","",IF(COUNTIF(Accounts!$C$2:$C$201,$A980)+COUNTIF('Service Principals'!$C$2:$C$201,$A980)+COUNTIF('Managed Identities'!$C$2:$C$201,$A980)&gt;0,"Yes","NOT IN INVENTORY"))</f>
        <v/>
      </c>
    </row>
    <row r="981" customFormat="false" ht="15" hidden="false" customHeight="false" outlineLevel="0" collapsed="false">
      <c r="A981" s="46"/>
      <c r="B981" s="46"/>
      <c r="C981" s="47"/>
      <c r="D981" s="47"/>
      <c r="E981" s="46"/>
      <c r="F981" s="46"/>
      <c r="G981" s="47"/>
      <c r="H981" s="47"/>
      <c r="I981" s="47"/>
      <c r="J981" s="45" t="str">
        <f aca="false">IF($A981="","",IF(COUNTIF(Accounts!$C$2:$C$201,$A981)+COUNTIF('Service Principals'!$C$2:$C$201,$A981)+COUNTIF('Managed Identities'!$C$2:$C$201,$A981)&gt;0,"Yes","NOT IN INVENTORY"))</f>
        <v/>
      </c>
    </row>
    <row r="982" customFormat="false" ht="15" hidden="false" customHeight="false" outlineLevel="0" collapsed="false">
      <c r="A982" s="46"/>
      <c r="B982" s="46"/>
      <c r="C982" s="47"/>
      <c r="D982" s="47"/>
      <c r="E982" s="46"/>
      <c r="F982" s="46"/>
      <c r="G982" s="47"/>
      <c r="H982" s="47"/>
      <c r="I982" s="47"/>
      <c r="J982" s="45" t="str">
        <f aca="false">IF($A982="","",IF(COUNTIF(Accounts!$C$2:$C$201,$A982)+COUNTIF('Service Principals'!$C$2:$C$201,$A982)+COUNTIF('Managed Identities'!$C$2:$C$201,$A982)&gt;0,"Yes","NOT IN INVENTORY"))</f>
        <v/>
      </c>
    </row>
    <row r="983" customFormat="false" ht="15" hidden="false" customHeight="false" outlineLevel="0" collapsed="false">
      <c r="A983" s="46"/>
      <c r="B983" s="46"/>
      <c r="C983" s="47"/>
      <c r="D983" s="47"/>
      <c r="E983" s="46"/>
      <c r="F983" s="46"/>
      <c r="G983" s="47"/>
      <c r="H983" s="47"/>
      <c r="I983" s="47"/>
      <c r="J983" s="45" t="str">
        <f aca="false">IF($A983="","",IF(COUNTIF(Accounts!$C$2:$C$201,$A983)+COUNTIF('Service Principals'!$C$2:$C$201,$A983)+COUNTIF('Managed Identities'!$C$2:$C$201,$A983)&gt;0,"Yes","NOT IN INVENTORY"))</f>
        <v/>
      </c>
    </row>
    <row r="984" customFormat="false" ht="15" hidden="false" customHeight="false" outlineLevel="0" collapsed="false">
      <c r="A984" s="46"/>
      <c r="B984" s="46"/>
      <c r="C984" s="47"/>
      <c r="D984" s="47"/>
      <c r="E984" s="46"/>
      <c r="F984" s="46"/>
      <c r="G984" s="47"/>
      <c r="H984" s="47"/>
      <c r="I984" s="47"/>
      <c r="J984" s="45" t="str">
        <f aca="false">IF($A984="","",IF(COUNTIF(Accounts!$C$2:$C$201,$A984)+COUNTIF('Service Principals'!$C$2:$C$201,$A984)+COUNTIF('Managed Identities'!$C$2:$C$201,$A984)&gt;0,"Yes","NOT IN INVENTORY"))</f>
        <v/>
      </c>
    </row>
    <row r="985" customFormat="false" ht="15" hidden="false" customHeight="false" outlineLevel="0" collapsed="false">
      <c r="A985" s="46"/>
      <c r="B985" s="46"/>
      <c r="C985" s="47"/>
      <c r="D985" s="47"/>
      <c r="E985" s="46"/>
      <c r="F985" s="46"/>
      <c r="G985" s="47"/>
      <c r="H985" s="47"/>
      <c r="I985" s="47"/>
      <c r="J985" s="45" t="str">
        <f aca="false">IF($A985="","",IF(COUNTIF(Accounts!$C$2:$C$201,$A985)+COUNTIF('Service Principals'!$C$2:$C$201,$A985)+COUNTIF('Managed Identities'!$C$2:$C$201,$A985)&gt;0,"Yes","NOT IN INVENTORY"))</f>
        <v/>
      </c>
    </row>
    <row r="986" customFormat="false" ht="15" hidden="false" customHeight="false" outlineLevel="0" collapsed="false">
      <c r="A986" s="46"/>
      <c r="B986" s="46"/>
      <c r="C986" s="47"/>
      <c r="D986" s="47"/>
      <c r="E986" s="46"/>
      <c r="F986" s="46"/>
      <c r="G986" s="47"/>
      <c r="H986" s="47"/>
      <c r="I986" s="47"/>
      <c r="J986" s="45" t="str">
        <f aca="false">IF($A986="","",IF(COUNTIF(Accounts!$C$2:$C$201,$A986)+COUNTIF('Service Principals'!$C$2:$C$201,$A986)+COUNTIF('Managed Identities'!$C$2:$C$201,$A986)&gt;0,"Yes","NOT IN INVENTORY"))</f>
        <v/>
      </c>
    </row>
    <row r="987" customFormat="false" ht="15" hidden="false" customHeight="false" outlineLevel="0" collapsed="false">
      <c r="A987" s="46"/>
      <c r="B987" s="46"/>
      <c r="C987" s="47"/>
      <c r="D987" s="47"/>
      <c r="E987" s="46"/>
      <c r="F987" s="46"/>
      <c r="G987" s="47"/>
      <c r="H987" s="47"/>
      <c r="I987" s="47"/>
      <c r="J987" s="45" t="str">
        <f aca="false">IF($A987="","",IF(COUNTIF(Accounts!$C$2:$C$201,$A987)+COUNTIF('Service Principals'!$C$2:$C$201,$A987)+COUNTIF('Managed Identities'!$C$2:$C$201,$A987)&gt;0,"Yes","NOT IN INVENTORY"))</f>
        <v/>
      </c>
    </row>
    <row r="988" customFormat="false" ht="15" hidden="false" customHeight="false" outlineLevel="0" collapsed="false">
      <c r="A988" s="46"/>
      <c r="B988" s="46"/>
      <c r="C988" s="47"/>
      <c r="D988" s="47"/>
      <c r="E988" s="46"/>
      <c r="F988" s="46"/>
      <c r="G988" s="47"/>
      <c r="H988" s="47"/>
      <c r="I988" s="47"/>
      <c r="J988" s="45" t="str">
        <f aca="false">IF($A988="","",IF(COUNTIF(Accounts!$C$2:$C$201,$A988)+COUNTIF('Service Principals'!$C$2:$C$201,$A988)+COUNTIF('Managed Identities'!$C$2:$C$201,$A988)&gt;0,"Yes","NOT IN INVENTORY"))</f>
        <v/>
      </c>
    </row>
    <row r="989" customFormat="false" ht="15" hidden="false" customHeight="false" outlineLevel="0" collapsed="false">
      <c r="A989" s="46"/>
      <c r="B989" s="46"/>
      <c r="C989" s="47"/>
      <c r="D989" s="47"/>
      <c r="E989" s="46"/>
      <c r="F989" s="46"/>
      <c r="G989" s="47"/>
      <c r="H989" s="47"/>
      <c r="I989" s="47"/>
      <c r="J989" s="45" t="str">
        <f aca="false">IF($A989="","",IF(COUNTIF(Accounts!$C$2:$C$201,$A989)+COUNTIF('Service Principals'!$C$2:$C$201,$A989)+COUNTIF('Managed Identities'!$C$2:$C$201,$A989)&gt;0,"Yes","NOT IN INVENTORY"))</f>
        <v/>
      </c>
    </row>
    <row r="990" customFormat="false" ht="15" hidden="false" customHeight="false" outlineLevel="0" collapsed="false">
      <c r="A990" s="46"/>
      <c r="B990" s="46"/>
      <c r="C990" s="47"/>
      <c r="D990" s="47"/>
      <c r="E990" s="46"/>
      <c r="F990" s="46"/>
      <c r="G990" s="47"/>
      <c r="H990" s="47"/>
      <c r="I990" s="47"/>
      <c r="J990" s="45" t="str">
        <f aca="false">IF($A990="","",IF(COUNTIF(Accounts!$C$2:$C$201,$A990)+COUNTIF('Service Principals'!$C$2:$C$201,$A990)+COUNTIF('Managed Identities'!$C$2:$C$201,$A990)&gt;0,"Yes","NOT IN INVENTORY"))</f>
        <v/>
      </c>
    </row>
    <row r="991" customFormat="false" ht="15" hidden="false" customHeight="false" outlineLevel="0" collapsed="false">
      <c r="A991" s="46"/>
      <c r="B991" s="46"/>
      <c r="C991" s="47"/>
      <c r="D991" s="47"/>
      <c r="E991" s="46"/>
      <c r="F991" s="46"/>
      <c r="G991" s="47"/>
      <c r="H991" s="47"/>
      <c r="I991" s="47"/>
      <c r="J991" s="45" t="str">
        <f aca="false">IF($A991="","",IF(COUNTIF(Accounts!$C$2:$C$201,$A991)+COUNTIF('Service Principals'!$C$2:$C$201,$A991)+COUNTIF('Managed Identities'!$C$2:$C$201,$A991)&gt;0,"Yes","NOT IN INVENTORY"))</f>
        <v/>
      </c>
    </row>
    <row r="992" customFormat="false" ht="15" hidden="false" customHeight="false" outlineLevel="0" collapsed="false">
      <c r="A992" s="46"/>
      <c r="B992" s="46"/>
      <c r="C992" s="47"/>
      <c r="D992" s="47"/>
      <c r="E992" s="46"/>
      <c r="F992" s="46"/>
      <c r="G992" s="47"/>
      <c r="H992" s="47"/>
      <c r="I992" s="47"/>
      <c r="J992" s="45" t="str">
        <f aca="false">IF($A992="","",IF(COUNTIF(Accounts!$C$2:$C$201,$A992)+COUNTIF('Service Principals'!$C$2:$C$201,$A992)+COUNTIF('Managed Identities'!$C$2:$C$201,$A992)&gt;0,"Yes","NOT IN INVENTORY"))</f>
        <v/>
      </c>
    </row>
    <row r="993" customFormat="false" ht="15" hidden="false" customHeight="false" outlineLevel="0" collapsed="false">
      <c r="A993" s="46"/>
      <c r="B993" s="46"/>
      <c r="C993" s="47"/>
      <c r="D993" s="47"/>
      <c r="E993" s="46"/>
      <c r="F993" s="46"/>
      <c r="G993" s="47"/>
      <c r="H993" s="47"/>
      <c r="I993" s="47"/>
      <c r="J993" s="45" t="str">
        <f aca="false">IF($A993="","",IF(COUNTIF(Accounts!$C$2:$C$201,$A993)+COUNTIF('Service Principals'!$C$2:$C$201,$A993)+COUNTIF('Managed Identities'!$C$2:$C$201,$A993)&gt;0,"Yes","NOT IN INVENTORY"))</f>
        <v/>
      </c>
    </row>
    <row r="994" customFormat="false" ht="15" hidden="false" customHeight="false" outlineLevel="0" collapsed="false">
      <c r="A994" s="46"/>
      <c r="B994" s="46"/>
      <c r="C994" s="47"/>
      <c r="D994" s="47"/>
      <c r="E994" s="46"/>
      <c r="F994" s="46"/>
      <c r="G994" s="47"/>
      <c r="H994" s="47"/>
      <c r="I994" s="47"/>
      <c r="J994" s="45" t="str">
        <f aca="false">IF($A994="","",IF(COUNTIF(Accounts!$C$2:$C$201,$A994)+COUNTIF('Service Principals'!$C$2:$C$201,$A994)+COUNTIF('Managed Identities'!$C$2:$C$201,$A994)&gt;0,"Yes","NOT IN INVENTORY"))</f>
        <v/>
      </c>
    </row>
    <row r="995" customFormat="false" ht="15" hidden="false" customHeight="false" outlineLevel="0" collapsed="false">
      <c r="A995" s="46"/>
      <c r="B995" s="46"/>
      <c r="C995" s="47"/>
      <c r="D995" s="47"/>
      <c r="E995" s="46"/>
      <c r="F995" s="46"/>
      <c r="G995" s="47"/>
      <c r="H995" s="47"/>
      <c r="I995" s="47"/>
      <c r="J995" s="45" t="str">
        <f aca="false">IF($A995="","",IF(COUNTIF(Accounts!$C$2:$C$201,$A995)+COUNTIF('Service Principals'!$C$2:$C$201,$A995)+COUNTIF('Managed Identities'!$C$2:$C$201,$A995)&gt;0,"Yes","NOT IN INVENTORY"))</f>
        <v/>
      </c>
    </row>
    <row r="996" customFormat="false" ht="15" hidden="false" customHeight="false" outlineLevel="0" collapsed="false">
      <c r="A996" s="46"/>
      <c r="B996" s="46"/>
      <c r="C996" s="47"/>
      <c r="D996" s="47"/>
      <c r="E996" s="46"/>
      <c r="F996" s="46"/>
      <c r="G996" s="47"/>
      <c r="H996" s="47"/>
      <c r="I996" s="47"/>
      <c r="J996" s="45" t="str">
        <f aca="false">IF($A996="","",IF(COUNTIF(Accounts!$C$2:$C$201,$A996)+COUNTIF('Service Principals'!$C$2:$C$201,$A996)+COUNTIF('Managed Identities'!$C$2:$C$201,$A996)&gt;0,"Yes","NOT IN INVENTORY"))</f>
        <v/>
      </c>
    </row>
    <row r="997" customFormat="false" ht="15" hidden="false" customHeight="false" outlineLevel="0" collapsed="false">
      <c r="A997" s="46"/>
      <c r="B997" s="46"/>
      <c r="C997" s="47"/>
      <c r="D997" s="47"/>
      <c r="E997" s="46"/>
      <c r="F997" s="46"/>
      <c r="G997" s="47"/>
      <c r="H997" s="47"/>
      <c r="I997" s="47"/>
      <c r="J997" s="45" t="str">
        <f aca="false">IF($A997="","",IF(COUNTIF(Accounts!$C$2:$C$201,$A997)+COUNTIF('Service Principals'!$C$2:$C$201,$A997)+COUNTIF('Managed Identities'!$C$2:$C$201,$A997)&gt;0,"Yes","NOT IN INVENTORY"))</f>
        <v/>
      </c>
    </row>
    <row r="998" customFormat="false" ht="15" hidden="false" customHeight="false" outlineLevel="0" collapsed="false">
      <c r="A998" s="46"/>
      <c r="B998" s="46"/>
      <c r="C998" s="47"/>
      <c r="D998" s="47"/>
      <c r="E998" s="46"/>
      <c r="F998" s="46"/>
      <c r="G998" s="47"/>
      <c r="H998" s="47"/>
      <c r="I998" s="47"/>
      <c r="J998" s="45" t="str">
        <f aca="false">IF($A998="","",IF(COUNTIF(Accounts!$C$2:$C$201,$A998)+COUNTIF('Service Principals'!$C$2:$C$201,$A998)+COUNTIF('Managed Identities'!$C$2:$C$201,$A998)&gt;0,"Yes","NOT IN INVENTORY"))</f>
        <v/>
      </c>
    </row>
    <row r="999" customFormat="false" ht="15" hidden="false" customHeight="false" outlineLevel="0" collapsed="false">
      <c r="A999" s="46"/>
      <c r="B999" s="46"/>
      <c r="C999" s="47"/>
      <c r="D999" s="47"/>
      <c r="E999" s="46"/>
      <c r="F999" s="46"/>
      <c r="G999" s="47"/>
      <c r="H999" s="47"/>
      <c r="I999" s="47"/>
      <c r="J999" s="45" t="str">
        <f aca="false">IF($A999="","",IF(COUNTIF(Accounts!$C$2:$C$201,$A999)+COUNTIF('Service Principals'!$C$2:$C$201,$A999)+COUNTIF('Managed Identities'!$C$2:$C$201,$A999)&gt;0,"Yes","NOT IN INVENTORY"))</f>
        <v/>
      </c>
    </row>
    <row r="1000" customFormat="false" ht="15" hidden="false" customHeight="false" outlineLevel="0" collapsed="false">
      <c r="A1000" s="46"/>
      <c r="B1000" s="46"/>
      <c r="C1000" s="47"/>
      <c r="D1000" s="47"/>
      <c r="E1000" s="46"/>
      <c r="F1000" s="46"/>
      <c r="G1000" s="47"/>
      <c r="H1000" s="47"/>
      <c r="I1000" s="47"/>
      <c r="J1000" s="45" t="str">
        <f aca="false">IF($A1000="","",IF(COUNTIF(Accounts!$C$2:$C$201,$A1000)+COUNTIF('Service Principals'!$C$2:$C$201,$A1000)+COUNTIF('Managed Identities'!$C$2:$C$201,$A1000)&gt;0,"Yes","NOT IN INVENTORY"))</f>
        <v/>
      </c>
    </row>
    <row r="1001" customFormat="false" ht="15" hidden="false" customHeight="false" outlineLevel="0" collapsed="false">
      <c r="A1001" s="46"/>
      <c r="B1001" s="46"/>
      <c r="C1001" s="47"/>
      <c r="D1001" s="47"/>
      <c r="E1001" s="46"/>
      <c r="F1001" s="46"/>
      <c r="G1001" s="47"/>
      <c r="H1001" s="47"/>
      <c r="I1001" s="47"/>
      <c r="J1001" s="45" t="str">
        <f aca="false">IF($A1001="","",IF(COUNTIF(Accounts!$C$2:$C$201,$A1001)+COUNTIF('Service Principals'!$C$2:$C$201,$A1001)+COUNTIF('Managed Identities'!$C$2:$C$201,$A1001)&gt;0,"Yes","NOT IN INVENTORY"))</f>
        <v/>
      </c>
    </row>
    <row r="1002" customFormat="false" ht="15" hidden="false" customHeight="false" outlineLevel="0" collapsed="false">
      <c r="A1002" s="46"/>
      <c r="B1002" s="46"/>
      <c r="C1002" s="47"/>
      <c r="D1002" s="47"/>
      <c r="E1002" s="46"/>
      <c r="F1002" s="46"/>
      <c r="G1002" s="47"/>
      <c r="H1002" s="47"/>
      <c r="I1002" s="47"/>
      <c r="J1002" s="45" t="str">
        <f aca="false">IF($A1002="","",IF(COUNTIF(Accounts!$C$2:$C$201,$A1002)+COUNTIF('Service Principals'!$C$2:$C$201,$A1002)+COUNTIF('Managed Identities'!$C$2:$C$201,$A1002)&gt;0,"Yes","NOT IN INVENTORY"))</f>
        <v/>
      </c>
    </row>
    <row r="1003" customFormat="false" ht="15" hidden="false" customHeight="false" outlineLevel="0" collapsed="false">
      <c r="A1003" s="46"/>
      <c r="B1003" s="46"/>
      <c r="C1003" s="47"/>
      <c r="D1003" s="47"/>
      <c r="E1003" s="46"/>
      <c r="F1003" s="46"/>
      <c r="G1003" s="47"/>
      <c r="H1003" s="47"/>
      <c r="I1003" s="47"/>
      <c r="J1003" s="45" t="str">
        <f aca="false">IF($A1003="","",IF(COUNTIF(Accounts!$C$2:$C$201,$A1003)+COUNTIF('Service Principals'!$C$2:$C$201,$A1003)+COUNTIF('Managed Identities'!$C$2:$C$201,$A1003)&gt;0,"Yes","NOT IN INVENTORY"))</f>
        <v/>
      </c>
    </row>
    <row r="1004" customFormat="false" ht="15" hidden="false" customHeight="false" outlineLevel="0" collapsed="false">
      <c r="A1004" s="46"/>
      <c r="B1004" s="46"/>
      <c r="C1004" s="47"/>
      <c r="D1004" s="47"/>
      <c r="E1004" s="46"/>
      <c r="F1004" s="46"/>
      <c r="G1004" s="47"/>
      <c r="H1004" s="47"/>
      <c r="I1004" s="47"/>
      <c r="J1004" s="45" t="str">
        <f aca="false">IF($A1004="","",IF(COUNTIF(Accounts!$C$2:$C$201,$A1004)+COUNTIF('Service Principals'!$C$2:$C$201,$A1004)+COUNTIF('Managed Identities'!$C$2:$C$201,$A1004)&gt;0,"Yes","NOT IN INVENTORY"))</f>
        <v/>
      </c>
    </row>
    <row r="1005" customFormat="false" ht="15" hidden="false" customHeight="false" outlineLevel="0" collapsed="false">
      <c r="A1005" s="46"/>
      <c r="B1005" s="46"/>
      <c r="C1005" s="47"/>
      <c r="D1005" s="47"/>
      <c r="E1005" s="46"/>
      <c r="F1005" s="46"/>
      <c r="G1005" s="47"/>
      <c r="H1005" s="47"/>
      <c r="I1005" s="47"/>
      <c r="J1005" s="45" t="str">
        <f aca="false">IF($A1005="","",IF(COUNTIF(Accounts!$C$2:$C$201,$A1005)+COUNTIF('Service Principals'!$C$2:$C$201,$A1005)+COUNTIF('Managed Identities'!$C$2:$C$201,$A1005)&gt;0,"Yes","NOT IN INVENTORY"))</f>
        <v/>
      </c>
    </row>
    <row r="1006" customFormat="false" ht="15" hidden="false" customHeight="false" outlineLevel="0" collapsed="false">
      <c r="A1006" s="46"/>
      <c r="B1006" s="46"/>
      <c r="C1006" s="47"/>
      <c r="D1006" s="47"/>
      <c r="E1006" s="46"/>
      <c r="F1006" s="46"/>
      <c r="G1006" s="47"/>
      <c r="H1006" s="47"/>
      <c r="I1006" s="47"/>
      <c r="J1006" s="45" t="str">
        <f aca="false">IF($A1006="","",IF(COUNTIF(Accounts!$C$2:$C$201,$A1006)+COUNTIF('Service Principals'!$C$2:$C$201,$A1006)+COUNTIF('Managed Identities'!$C$2:$C$201,$A1006)&gt;0,"Yes","NOT IN INVENTORY"))</f>
        <v/>
      </c>
    </row>
    <row r="1007" customFormat="false" ht="15" hidden="false" customHeight="false" outlineLevel="0" collapsed="false">
      <c r="A1007" s="46"/>
      <c r="B1007" s="46"/>
      <c r="C1007" s="47"/>
      <c r="D1007" s="47"/>
      <c r="E1007" s="46"/>
      <c r="F1007" s="46"/>
      <c r="G1007" s="47"/>
      <c r="H1007" s="47"/>
      <c r="I1007" s="47"/>
      <c r="J1007" s="45" t="str">
        <f aca="false">IF($A1007="","",IF(COUNTIF(Accounts!$C$2:$C$201,$A1007)+COUNTIF('Service Principals'!$C$2:$C$201,$A1007)+COUNTIF('Managed Identities'!$C$2:$C$201,$A1007)&gt;0,"Yes","NOT IN INVENTORY"))</f>
        <v/>
      </c>
    </row>
    <row r="1008" customFormat="false" ht="15" hidden="false" customHeight="false" outlineLevel="0" collapsed="false">
      <c r="A1008" s="46"/>
      <c r="B1008" s="46"/>
      <c r="C1008" s="47"/>
      <c r="D1008" s="47"/>
      <c r="E1008" s="46"/>
      <c r="F1008" s="46"/>
      <c r="G1008" s="47"/>
      <c r="H1008" s="47"/>
      <c r="I1008" s="47"/>
      <c r="J1008" s="45" t="str">
        <f aca="false">IF($A1008="","",IF(COUNTIF(Accounts!$C$2:$C$201,$A1008)+COUNTIF('Service Principals'!$C$2:$C$201,$A1008)+COUNTIF('Managed Identities'!$C$2:$C$201,$A1008)&gt;0,"Yes","NOT IN INVENTORY"))</f>
        <v/>
      </c>
    </row>
    <row r="1009" customFormat="false" ht="15" hidden="false" customHeight="false" outlineLevel="0" collapsed="false">
      <c r="A1009" s="46"/>
      <c r="B1009" s="46"/>
      <c r="C1009" s="47"/>
      <c r="D1009" s="47"/>
      <c r="E1009" s="46"/>
      <c r="F1009" s="46"/>
      <c r="G1009" s="47"/>
      <c r="H1009" s="47"/>
      <c r="I1009" s="47"/>
      <c r="J1009" s="45" t="str">
        <f aca="false">IF($A1009="","",IF(COUNTIF(Accounts!$C$2:$C$201,$A1009)+COUNTIF('Service Principals'!$C$2:$C$201,$A1009)+COUNTIF('Managed Identities'!$C$2:$C$201,$A1009)&gt;0,"Yes","NOT IN INVENTORY"))</f>
        <v/>
      </c>
    </row>
    <row r="1010" customFormat="false" ht="15" hidden="false" customHeight="false" outlineLevel="0" collapsed="false">
      <c r="A1010" s="46"/>
      <c r="B1010" s="46"/>
      <c r="C1010" s="47"/>
      <c r="D1010" s="47"/>
      <c r="E1010" s="46"/>
      <c r="F1010" s="46"/>
      <c r="G1010" s="47"/>
      <c r="H1010" s="47"/>
      <c r="I1010" s="47"/>
      <c r="J1010" s="45" t="str">
        <f aca="false">IF($A1010="","",IF(COUNTIF(Accounts!$C$2:$C$201,$A1010)+COUNTIF('Service Principals'!$C$2:$C$201,$A1010)+COUNTIF('Managed Identities'!$C$2:$C$201,$A1010)&gt;0,"Yes","NOT IN INVENTORY"))</f>
        <v/>
      </c>
    </row>
    <row r="1011" customFormat="false" ht="15" hidden="false" customHeight="false" outlineLevel="0" collapsed="false">
      <c r="A1011" s="46"/>
      <c r="B1011" s="46"/>
      <c r="C1011" s="47"/>
      <c r="D1011" s="47"/>
      <c r="E1011" s="46"/>
      <c r="F1011" s="46"/>
      <c r="G1011" s="47"/>
      <c r="H1011" s="47"/>
      <c r="I1011" s="47"/>
      <c r="J1011" s="45" t="str">
        <f aca="false">IF($A1011="","",IF(COUNTIF(Accounts!$C$2:$C$201,$A1011)+COUNTIF('Service Principals'!$C$2:$C$201,$A1011)+COUNTIF('Managed Identities'!$C$2:$C$201,$A1011)&gt;0,"Yes","NOT IN INVENTORY"))</f>
        <v/>
      </c>
    </row>
    <row r="1012" customFormat="false" ht="15" hidden="false" customHeight="false" outlineLevel="0" collapsed="false">
      <c r="A1012" s="46"/>
      <c r="B1012" s="46"/>
      <c r="C1012" s="47"/>
      <c r="D1012" s="47"/>
      <c r="E1012" s="46"/>
      <c r="F1012" s="46"/>
      <c r="G1012" s="47"/>
      <c r="H1012" s="47"/>
      <c r="I1012" s="47"/>
      <c r="J1012" s="45" t="str">
        <f aca="false">IF($A1012="","",IF(COUNTIF(Accounts!$C$2:$C$201,$A1012)+COUNTIF('Service Principals'!$C$2:$C$201,$A1012)+COUNTIF('Managed Identities'!$C$2:$C$201,$A1012)&gt;0,"Yes","NOT IN INVENTORY"))</f>
        <v/>
      </c>
    </row>
    <row r="1013" customFormat="false" ht="15" hidden="false" customHeight="false" outlineLevel="0" collapsed="false">
      <c r="A1013" s="46"/>
      <c r="B1013" s="46"/>
      <c r="C1013" s="47"/>
      <c r="D1013" s="47"/>
      <c r="E1013" s="46"/>
      <c r="F1013" s="46"/>
      <c r="G1013" s="47"/>
      <c r="H1013" s="47"/>
      <c r="I1013" s="47"/>
      <c r="J1013" s="45" t="str">
        <f aca="false">IF($A1013="","",IF(COUNTIF(Accounts!$C$2:$C$201,$A1013)+COUNTIF('Service Principals'!$C$2:$C$201,$A1013)+COUNTIF('Managed Identities'!$C$2:$C$201,$A1013)&gt;0,"Yes","NOT IN INVENTORY"))</f>
        <v/>
      </c>
    </row>
    <row r="1014" customFormat="false" ht="15" hidden="false" customHeight="false" outlineLevel="0" collapsed="false">
      <c r="A1014" s="46"/>
      <c r="B1014" s="46"/>
      <c r="C1014" s="47"/>
      <c r="D1014" s="47"/>
      <c r="E1014" s="46"/>
      <c r="F1014" s="46"/>
      <c r="G1014" s="47"/>
      <c r="H1014" s="47"/>
      <c r="I1014" s="47"/>
      <c r="J1014" s="45" t="str">
        <f aca="false">IF($A1014="","",IF(COUNTIF(Accounts!$C$2:$C$201,$A1014)+COUNTIF('Service Principals'!$C$2:$C$201,$A1014)+COUNTIF('Managed Identities'!$C$2:$C$201,$A1014)&gt;0,"Yes","NOT IN INVENTORY"))</f>
        <v/>
      </c>
    </row>
    <row r="1015" customFormat="false" ht="15" hidden="false" customHeight="false" outlineLevel="0" collapsed="false">
      <c r="A1015" s="46"/>
      <c r="B1015" s="46"/>
      <c r="C1015" s="47"/>
      <c r="D1015" s="47"/>
      <c r="E1015" s="46"/>
      <c r="F1015" s="46"/>
      <c r="G1015" s="47"/>
      <c r="H1015" s="47"/>
      <c r="I1015" s="47"/>
      <c r="J1015" s="45" t="str">
        <f aca="false">IF($A1015="","",IF(COUNTIF(Accounts!$C$2:$C$201,$A1015)+COUNTIF('Service Principals'!$C$2:$C$201,$A1015)+COUNTIF('Managed Identities'!$C$2:$C$201,$A1015)&gt;0,"Yes","NOT IN INVENTORY"))</f>
        <v/>
      </c>
    </row>
    <row r="1016" customFormat="false" ht="15" hidden="false" customHeight="false" outlineLevel="0" collapsed="false">
      <c r="A1016" s="46"/>
      <c r="B1016" s="46"/>
      <c r="C1016" s="47"/>
      <c r="D1016" s="47"/>
      <c r="E1016" s="46"/>
      <c r="F1016" s="46"/>
      <c r="G1016" s="47"/>
      <c r="H1016" s="47"/>
      <c r="I1016" s="47"/>
      <c r="J1016" s="45" t="str">
        <f aca="false">IF($A1016="","",IF(COUNTIF(Accounts!$C$2:$C$201,$A1016)+COUNTIF('Service Principals'!$C$2:$C$201,$A1016)+COUNTIF('Managed Identities'!$C$2:$C$201,$A1016)&gt;0,"Yes","NOT IN INVENTORY"))</f>
        <v/>
      </c>
    </row>
    <row r="1017" customFormat="false" ht="15" hidden="false" customHeight="false" outlineLevel="0" collapsed="false">
      <c r="A1017" s="46"/>
      <c r="B1017" s="46"/>
      <c r="C1017" s="47"/>
      <c r="D1017" s="47"/>
      <c r="E1017" s="46"/>
      <c r="F1017" s="46"/>
      <c r="G1017" s="47"/>
      <c r="H1017" s="47"/>
      <c r="I1017" s="47"/>
      <c r="J1017" s="45" t="str">
        <f aca="false">IF($A1017="","",IF(COUNTIF(Accounts!$C$2:$C$201,$A1017)+COUNTIF('Service Principals'!$C$2:$C$201,$A1017)+COUNTIF('Managed Identities'!$C$2:$C$201,$A1017)&gt;0,"Yes","NOT IN INVENTORY"))</f>
        <v/>
      </c>
    </row>
    <row r="1018" customFormat="false" ht="15" hidden="false" customHeight="false" outlineLevel="0" collapsed="false">
      <c r="A1018" s="46"/>
      <c r="B1018" s="46"/>
      <c r="C1018" s="47"/>
      <c r="D1018" s="47"/>
      <c r="E1018" s="46"/>
      <c r="F1018" s="46"/>
      <c r="G1018" s="47"/>
      <c r="H1018" s="47"/>
      <c r="I1018" s="47"/>
      <c r="J1018" s="45" t="str">
        <f aca="false">IF($A1018="","",IF(COUNTIF(Accounts!$C$2:$C$201,$A1018)+COUNTIF('Service Principals'!$C$2:$C$201,$A1018)+COUNTIF('Managed Identities'!$C$2:$C$201,$A1018)&gt;0,"Yes","NOT IN INVENTORY"))</f>
        <v/>
      </c>
    </row>
    <row r="1019" customFormat="false" ht="15" hidden="false" customHeight="false" outlineLevel="0" collapsed="false">
      <c r="A1019" s="46"/>
      <c r="B1019" s="46"/>
      <c r="C1019" s="47"/>
      <c r="D1019" s="47"/>
      <c r="E1019" s="46"/>
      <c r="F1019" s="46"/>
      <c r="G1019" s="47"/>
      <c r="H1019" s="47"/>
      <c r="I1019" s="47"/>
      <c r="J1019" s="45" t="str">
        <f aca="false">IF($A1019="","",IF(COUNTIF(Accounts!$C$2:$C$201,$A1019)+COUNTIF('Service Principals'!$C$2:$C$201,$A1019)+COUNTIF('Managed Identities'!$C$2:$C$201,$A1019)&gt;0,"Yes","NOT IN INVENTORY"))</f>
        <v/>
      </c>
    </row>
    <row r="1020" customFormat="false" ht="15" hidden="false" customHeight="false" outlineLevel="0" collapsed="false">
      <c r="A1020" s="46"/>
      <c r="B1020" s="46"/>
      <c r="C1020" s="47"/>
      <c r="D1020" s="47"/>
      <c r="E1020" s="46"/>
      <c r="F1020" s="46"/>
      <c r="G1020" s="47"/>
      <c r="H1020" s="47"/>
      <c r="I1020" s="47"/>
      <c r="J1020" s="45" t="str">
        <f aca="false">IF($A1020="","",IF(COUNTIF(Accounts!$C$2:$C$201,$A1020)+COUNTIF('Service Principals'!$C$2:$C$201,$A1020)+COUNTIF('Managed Identities'!$C$2:$C$201,$A1020)&gt;0,"Yes","NOT IN INVENTORY"))</f>
        <v/>
      </c>
    </row>
    <row r="1021" customFormat="false" ht="15" hidden="false" customHeight="false" outlineLevel="0" collapsed="false">
      <c r="A1021" s="46"/>
      <c r="B1021" s="46"/>
      <c r="C1021" s="47"/>
      <c r="D1021" s="47"/>
      <c r="E1021" s="46"/>
      <c r="F1021" s="46"/>
      <c r="G1021" s="47"/>
      <c r="H1021" s="47"/>
      <c r="I1021" s="47"/>
      <c r="J1021" s="45" t="str">
        <f aca="false">IF($A1021="","",IF(COUNTIF(Accounts!$C$2:$C$201,$A1021)+COUNTIF('Service Principals'!$C$2:$C$201,$A1021)+COUNTIF('Managed Identities'!$C$2:$C$201,$A1021)&gt;0,"Yes","NOT IN INVENTORY"))</f>
        <v/>
      </c>
    </row>
    <row r="1022" customFormat="false" ht="15" hidden="false" customHeight="false" outlineLevel="0" collapsed="false">
      <c r="A1022" s="46"/>
      <c r="B1022" s="46"/>
      <c r="C1022" s="47"/>
      <c r="D1022" s="47"/>
      <c r="E1022" s="46"/>
      <c r="F1022" s="46"/>
      <c r="G1022" s="47"/>
      <c r="H1022" s="47"/>
      <c r="I1022" s="47"/>
      <c r="J1022" s="45" t="str">
        <f aca="false">IF($A1022="","",IF(COUNTIF(Accounts!$C$2:$C$201,$A1022)+COUNTIF('Service Principals'!$C$2:$C$201,$A1022)+COUNTIF('Managed Identities'!$C$2:$C$201,$A1022)&gt;0,"Yes","NOT IN INVENTORY"))</f>
        <v/>
      </c>
    </row>
    <row r="1023" customFormat="false" ht="15" hidden="false" customHeight="false" outlineLevel="0" collapsed="false">
      <c r="A1023" s="46"/>
      <c r="B1023" s="46"/>
      <c r="C1023" s="47"/>
      <c r="D1023" s="47"/>
      <c r="E1023" s="46"/>
      <c r="F1023" s="46"/>
      <c r="G1023" s="47"/>
      <c r="H1023" s="47"/>
      <c r="I1023" s="47"/>
      <c r="J1023" s="45" t="str">
        <f aca="false">IF($A1023="","",IF(COUNTIF(Accounts!$C$2:$C$201,$A1023)+COUNTIF('Service Principals'!$C$2:$C$201,$A1023)+COUNTIF('Managed Identities'!$C$2:$C$201,$A1023)&gt;0,"Yes","NOT IN INVENTORY"))</f>
        <v/>
      </c>
    </row>
    <row r="1024" customFormat="false" ht="15" hidden="false" customHeight="false" outlineLevel="0" collapsed="false">
      <c r="A1024" s="46"/>
      <c r="B1024" s="46"/>
      <c r="C1024" s="47"/>
      <c r="D1024" s="47"/>
      <c r="E1024" s="46"/>
      <c r="F1024" s="46"/>
      <c r="G1024" s="47"/>
      <c r="H1024" s="47"/>
      <c r="I1024" s="47"/>
      <c r="J1024" s="45" t="str">
        <f aca="false">IF($A1024="","",IF(COUNTIF(Accounts!$C$2:$C$201,$A1024)+COUNTIF('Service Principals'!$C$2:$C$201,$A1024)+COUNTIF('Managed Identities'!$C$2:$C$201,$A1024)&gt;0,"Yes","NOT IN INVENTORY"))</f>
        <v/>
      </c>
    </row>
    <row r="1025" customFormat="false" ht="15" hidden="false" customHeight="false" outlineLevel="0" collapsed="false">
      <c r="A1025" s="46"/>
      <c r="B1025" s="46"/>
      <c r="C1025" s="47"/>
      <c r="D1025" s="47"/>
      <c r="E1025" s="46"/>
      <c r="F1025" s="46"/>
      <c r="G1025" s="47"/>
      <c r="H1025" s="47"/>
      <c r="I1025" s="47"/>
      <c r="J1025" s="45" t="str">
        <f aca="false">IF($A1025="","",IF(COUNTIF(Accounts!$C$2:$C$201,$A1025)+COUNTIF('Service Principals'!$C$2:$C$201,$A1025)+COUNTIF('Managed Identities'!$C$2:$C$201,$A1025)&gt;0,"Yes","NOT IN INVENTORY"))</f>
        <v/>
      </c>
    </row>
    <row r="1026" customFormat="false" ht="15" hidden="false" customHeight="false" outlineLevel="0" collapsed="false">
      <c r="A1026" s="46"/>
      <c r="B1026" s="46"/>
      <c r="C1026" s="47"/>
      <c r="D1026" s="47"/>
      <c r="E1026" s="46"/>
      <c r="F1026" s="46"/>
      <c r="G1026" s="47"/>
      <c r="H1026" s="47"/>
      <c r="I1026" s="47"/>
      <c r="J1026" s="45" t="str">
        <f aca="false">IF($A1026="","",IF(COUNTIF(Accounts!$C$2:$C$201,$A1026)+COUNTIF('Service Principals'!$C$2:$C$201,$A1026)+COUNTIF('Managed Identities'!$C$2:$C$201,$A1026)&gt;0,"Yes","NOT IN INVENTORY"))</f>
        <v/>
      </c>
    </row>
    <row r="1027" customFormat="false" ht="15" hidden="false" customHeight="false" outlineLevel="0" collapsed="false">
      <c r="A1027" s="46"/>
      <c r="B1027" s="46"/>
      <c r="C1027" s="47"/>
      <c r="D1027" s="47"/>
      <c r="E1027" s="46"/>
      <c r="F1027" s="46"/>
      <c r="G1027" s="47"/>
      <c r="H1027" s="47"/>
      <c r="I1027" s="47"/>
      <c r="J1027" s="45" t="str">
        <f aca="false">IF($A1027="","",IF(COUNTIF(Accounts!$C$2:$C$201,$A1027)+COUNTIF('Service Principals'!$C$2:$C$201,$A1027)+COUNTIF('Managed Identities'!$C$2:$C$201,$A1027)&gt;0,"Yes","NOT IN INVENTORY"))</f>
        <v/>
      </c>
    </row>
    <row r="1028" customFormat="false" ht="15" hidden="false" customHeight="false" outlineLevel="0" collapsed="false">
      <c r="A1028" s="46"/>
      <c r="B1028" s="46"/>
      <c r="C1028" s="47"/>
      <c r="D1028" s="47"/>
      <c r="E1028" s="46"/>
      <c r="F1028" s="46"/>
      <c r="G1028" s="47"/>
      <c r="H1028" s="47"/>
      <c r="I1028" s="47"/>
      <c r="J1028" s="45" t="str">
        <f aca="false">IF($A1028="","",IF(COUNTIF(Accounts!$C$2:$C$201,$A1028)+COUNTIF('Service Principals'!$C$2:$C$201,$A1028)+COUNTIF('Managed Identities'!$C$2:$C$201,$A1028)&gt;0,"Yes","NOT IN INVENTORY"))</f>
        <v/>
      </c>
    </row>
    <row r="1029" customFormat="false" ht="15" hidden="false" customHeight="false" outlineLevel="0" collapsed="false">
      <c r="A1029" s="46"/>
      <c r="B1029" s="46"/>
      <c r="C1029" s="47"/>
      <c r="D1029" s="47"/>
      <c r="E1029" s="46"/>
      <c r="F1029" s="46"/>
      <c r="G1029" s="47"/>
      <c r="H1029" s="47"/>
      <c r="I1029" s="47"/>
      <c r="J1029" s="45" t="str">
        <f aca="false">IF($A1029="","",IF(COUNTIF(Accounts!$C$2:$C$201,$A1029)+COUNTIF('Service Principals'!$C$2:$C$201,$A1029)+COUNTIF('Managed Identities'!$C$2:$C$201,$A1029)&gt;0,"Yes","NOT IN INVENTORY"))</f>
        <v/>
      </c>
    </row>
    <row r="1030" customFormat="false" ht="15" hidden="false" customHeight="false" outlineLevel="0" collapsed="false">
      <c r="A1030" s="46"/>
      <c r="B1030" s="46"/>
      <c r="C1030" s="47"/>
      <c r="D1030" s="47"/>
      <c r="E1030" s="46"/>
      <c r="F1030" s="46"/>
      <c r="G1030" s="47"/>
      <c r="H1030" s="47"/>
      <c r="I1030" s="47"/>
      <c r="J1030" s="45" t="str">
        <f aca="false">IF($A1030="","",IF(COUNTIF(Accounts!$C$2:$C$201,$A1030)+COUNTIF('Service Principals'!$C$2:$C$201,$A1030)+COUNTIF('Managed Identities'!$C$2:$C$201,$A1030)&gt;0,"Yes","NOT IN INVENTORY"))</f>
        <v/>
      </c>
    </row>
    <row r="1031" customFormat="false" ht="15" hidden="false" customHeight="false" outlineLevel="0" collapsed="false">
      <c r="A1031" s="46"/>
      <c r="B1031" s="46"/>
      <c r="C1031" s="47"/>
      <c r="D1031" s="47"/>
      <c r="E1031" s="46"/>
      <c r="F1031" s="46"/>
      <c r="G1031" s="47"/>
      <c r="H1031" s="47"/>
      <c r="I1031" s="47"/>
      <c r="J1031" s="45" t="str">
        <f aca="false">IF($A1031="","",IF(COUNTIF(Accounts!$C$2:$C$201,$A1031)+COUNTIF('Service Principals'!$C$2:$C$201,$A1031)+COUNTIF('Managed Identities'!$C$2:$C$201,$A1031)&gt;0,"Yes","NOT IN INVENTORY"))</f>
        <v/>
      </c>
    </row>
    <row r="1032" customFormat="false" ht="15" hidden="false" customHeight="false" outlineLevel="0" collapsed="false">
      <c r="A1032" s="46"/>
      <c r="B1032" s="46"/>
      <c r="C1032" s="47"/>
      <c r="D1032" s="47"/>
      <c r="E1032" s="46"/>
      <c r="F1032" s="46"/>
      <c r="G1032" s="47"/>
      <c r="H1032" s="47"/>
      <c r="I1032" s="47"/>
      <c r="J1032" s="45" t="str">
        <f aca="false">IF($A1032="","",IF(COUNTIF(Accounts!$C$2:$C$201,$A1032)+COUNTIF('Service Principals'!$C$2:$C$201,$A1032)+COUNTIF('Managed Identities'!$C$2:$C$201,$A1032)&gt;0,"Yes","NOT IN INVENTORY"))</f>
        <v/>
      </c>
    </row>
    <row r="1033" customFormat="false" ht="15" hidden="false" customHeight="false" outlineLevel="0" collapsed="false">
      <c r="A1033" s="46"/>
      <c r="B1033" s="46"/>
      <c r="C1033" s="47"/>
      <c r="D1033" s="47"/>
      <c r="E1033" s="46"/>
      <c r="F1033" s="46"/>
      <c r="G1033" s="47"/>
      <c r="H1033" s="47"/>
      <c r="I1033" s="47"/>
      <c r="J1033" s="45" t="str">
        <f aca="false">IF($A1033="","",IF(COUNTIF(Accounts!$C$2:$C$201,$A1033)+COUNTIF('Service Principals'!$C$2:$C$201,$A1033)+COUNTIF('Managed Identities'!$C$2:$C$201,$A1033)&gt;0,"Yes","NOT IN INVENTORY"))</f>
        <v/>
      </c>
    </row>
    <row r="1034" customFormat="false" ht="15" hidden="false" customHeight="false" outlineLevel="0" collapsed="false">
      <c r="A1034" s="46"/>
      <c r="B1034" s="46"/>
      <c r="C1034" s="47"/>
      <c r="D1034" s="47"/>
      <c r="E1034" s="46"/>
      <c r="F1034" s="46"/>
      <c r="G1034" s="47"/>
      <c r="H1034" s="47"/>
      <c r="I1034" s="47"/>
      <c r="J1034" s="45" t="str">
        <f aca="false">IF($A1034="","",IF(COUNTIF(Accounts!$C$2:$C$201,$A1034)+COUNTIF('Service Principals'!$C$2:$C$201,$A1034)+COUNTIF('Managed Identities'!$C$2:$C$201,$A1034)&gt;0,"Yes","NOT IN INVENTORY"))</f>
        <v/>
      </c>
    </row>
    <row r="1035" customFormat="false" ht="15" hidden="false" customHeight="false" outlineLevel="0" collapsed="false">
      <c r="A1035" s="46"/>
      <c r="B1035" s="46"/>
      <c r="C1035" s="47"/>
      <c r="D1035" s="47"/>
      <c r="E1035" s="46"/>
      <c r="F1035" s="46"/>
      <c r="G1035" s="47"/>
      <c r="H1035" s="47"/>
      <c r="I1035" s="47"/>
      <c r="J1035" s="45" t="str">
        <f aca="false">IF($A1035="","",IF(COUNTIF(Accounts!$C$2:$C$201,$A1035)+COUNTIF('Service Principals'!$C$2:$C$201,$A1035)+COUNTIF('Managed Identities'!$C$2:$C$201,$A1035)&gt;0,"Yes","NOT IN INVENTORY"))</f>
        <v/>
      </c>
    </row>
    <row r="1036" customFormat="false" ht="15" hidden="false" customHeight="false" outlineLevel="0" collapsed="false">
      <c r="A1036" s="46"/>
      <c r="B1036" s="46"/>
      <c r="C1036" s="47"/>
      <c r="D1036" s="47"/>
      <c r="E1036" s="46"/>
      <c r="F1036" s="46"/>
      <c r="G1036" s="47"/>
      <c r="H1036" s="47"/>
      <c r="I1036" s="47"/>
      <c r="J1036" s="45" t="str">
        <f aca="false">IF($A1036="","",IF(COUNTIF(Accounts!$C$2:$C$201,$A1036)+COUNTIF('Service Principals'!$C$2:$C$201,$A1036)+COUNTIF('Managed Identities'!$C$2:$C$201,$A1036)&gt;0,"Yes","NOT IN INVENTORY"))</f>
        <v/>
      </c>
    </row>
    <row r="1037" customFormat="false" ht="15" hidden="false" customHeight="false" outlineLevel="0" collapsed="false">
      <c r="A1037" s="46"/>
      <c r="B1037" s="46"/>
      <c r="C1037" s="47"/>
      <c r="D1037" s="47"/>
      <c r="E1037" s="46"/>
      <c r="F1037" s="46"/>
      <c r="G1037" s="47"/>
      <c r="H1037" s="47"/>
      <c r="I1037" s="47"/>
      <c r="J1037" s="45" t="str">
        <f aca="false">IF($A1037="","",IF(COUNTIF(Accounts!$C$2:$C$201,$A1037)+COUNTIF('Service Principals'!$C$2:$C$201,$A1037)+COUNTIF('Managed Identities'!$C$2:$C$201,$A1037)&gt;0,"Yes","NOT IN INVENTORY"))</f>
        <v/>
      </c>
    </row>
    <row r="1038" customFormat="false" ht="15" hidden="false" customHeight="false" outlineLevel="0" collapsed="false">
      <c r="A1038" s="46"/>
      <c r="B1038" s="46"/>
      <c r="C1038" s="47"/>
      <c r="D1038" s="47"/>
      <c r="E1038" s="46"/>
      <c r="F1038" s="46"/>
      <c r="G1038" s="47"/>
      <c r="H1038" s="47"/>
      <c r="I1038" s="47"/>
      <c r="J1038" s="45" t="str">
        <f aca="false">IF($A1038="","",IF(COUNTIF(Accounts!$C$2:$C$201,$A1038)+COUNTIF('Service Principals'!$C$2:$C$201,$A1038)+COUNTIF('Managed Identities'!$C$2:$C$201,$A1038)&gt;0,"Yes","NOT IN INVENTORY"))</f>
        <v/>
      </c>
    </row>
    <row r="1039" customFormat="false" ht="15" hidden="false" customHeight="false" outlineLevel="0" collapsed="false">
      <c r="A1039" s="46"/>
      <c r="B1039" s="46"/>
      <c r="C1039" s="47"/>
      <c r="D1039" s="47"/>
      <c r="E1039" s="46"/>
      <c r="F1039" s="46"/>
      <c r="G1039" s="47"/>
      <c r="H1039" s="47"/>
      <c r="I1039" s="47"/>
      <c r="J1039" s="45" t="str">
        <f aca="false">IF($A1039="","",IF(COUNTIF(Accounts!$C$2:$C$201,$A1039)+COUNTIF('Service Principals'!$C$2:$C$201,$A1039)+COUNTIF('Managed Identities'!$C$2:$C$201,$A1039)&gt;0,"Yes","NOT IN INVENTORY"))</f>
        <v/>
      </c>
    </row>
    <row r="1040" customFormat="false" ht="15" hidden="false" customHeight="false" outlineLevel="0" collapsed="false">
      <c r="A1040" s="46"/>
      <c r="B1040" s="46"/>
      <c r="C1040" s="47"/>
      <c r="D1040" s="47"/>
      <c r="E1040" s="46"/>
      <c r="F1040" s="46"/>
      <c r="G1040" s="47"/>
      <c r="H1040" s="47"/>
      <c r="I1040" s="47"/>
      <c r="J1040" s="45" t="str">
        <f aca="false">IF($A1040="","",IF(COUNTIF(Accounts!$C$2:$C$201,$A1040)+COUNTIF('Service Principals'!$C$2:$C$201,$A1040)+COUNTIF('Managed Identities'!$C$2:$C$201,$A1040)&gt;0,"Yes","NOT IN INVENTORY"))</f>
        <v/>
      </c>
    </row>
    <row r="1041" customFormat="false" ht="15" hidden="false" customHeight="false" outlineLevel="0" collapsed="false">
      <c r="A1041" s="46"/>
      <c r="B1041" s="46"/>
      <c r="C1041" s="47"/>
      <c r="D1041" s="47"/>
      <c r="E1041" s="46"/>
      <c r="F1041" s="46"/>
      <c r="G1041" s="47"/>
      <c r="H1041" s="47"/>
      <c r="I1041" s="47"/>
      <c r="J1041" s="45" t="str">
        <f aca="false">IF($A1041="","",IF(COUNTIF(Accounts!$C$2:$C$201,$A1041)+COUNTIF('Service Principals'!$C$2:$C$201,$A1041)+COUNTIF('Managed Identities'!$C$2:$C$201,$A1041)&gt;0,"Yes","NOT IN INVENTORY"))</f>
        <v/>
      </c>
    </row>
    <row r="1042" customFormat="false" ht="15" hidden="false" customHeight="false" outlineLevel="0" collapsed="false">
      <c r="A1042" s="46"/>
      <c r="B1042" s="46"/>
      <c r="C1042" s="47"/>
      <c r="D1042" s="47"/>
      <c r="E1042" s="46"/>
      <c r="F1042" s="46"/>
      <c r="G1042" s="47"/>
      <c r="H1042" s="47"/>
      <c r="I1042" s="47"/>
      <c r="J1042" s="45" t="str">
        <f aca="false">IF($A1042="","",IF(COUNTIF(Accounts!$C$2:$C$201,$A1042)+COUNTIF('Service Principals'!$C$2:$C$201,$A1042)+COUNTIF('Managed Identities'!$C$2:$C$201,$A1042)&gt;0,"Yes","NOT IN INVENTORY"))</f>
        <v/>
      </c>
    </row>
    <row r="1043" customFormat="false" ht="15" hidden="false" customHeight="false" outlineLevel="0" collapsed="false">
      <c r="A1043" s="46"/>
      <c r="B1043" s="46"/>
      <c r="C1043" s="47"/>
      <c r="D1043" s="47"/>
      <c r="E1043" s="46"/>
      <c r="F1043" s="46"/>
      <c r="G1043" s="47"/>
      <c r="H1043" s="47"/>
      <c r="I1043" s="47"/>
      <c r="J1043" s="45" t="str">
        <f aca="false">IF($A1043="","",IF(COUNTIF(Accounts!$C$2:$C$201,$A1043)+COUNTIF('Service Principals'!$C$2:$C$201,$A1043)+COUNTIF('Managed Identities'!$C$2:$C$201,$A1043)&gt;0,"Yes","NOT IN INVENTORY"))</f>
        <v/>
      </c>
    </row>
    <row r="1044" customFormat="false" ht="15" hidden="false" customHeight="false" outlineLevel="0" collapsed="false">
      <c r="A1044" s="46"/>
      <c r="B1044" s="46"/>
      <c r="C1044" s="47"/>
      <c r="D1044" s="47"/>
      <c r="E1044" s="46"/>
      <c r="F1044" s="46"/>
      <c r="G1044" s="47"/>
      <c r="H1044" s="47"/>
      <c r="I1044" s="47"/>
      <c r="J1044" s="45" t="str">
        <f aca="false">IF($A1044="","",IF(COUNTIF(Accounts!$C$2:$C$201,$A1044)+COUNTIF('Service Principals'!$C$2:$C$201,$A1044)+COUNTIF('Managed Identities'!$C$2:$C$201,$A1044)&gt;0,"Yes","NOT IN INVENTORY"))</f>
        <v/>
      </c>
    </row>
    <row r="1045" customFormat="false" ht="15" hidden="false" customHeight="false" outlineLevel="0" collapsed="false">
      <c r="A1045" s="46"/>
      <c r="B1045" s="46"/>
      <c r="C1045" s="47"/>
      <c r="D1045" s="47"/>
      <c r="E1045" s="46"/>
      <c r="F1045" s="46"/>
      <c r="G1045" s="47"/>
      <c r="H1045" s="47"/>
      <c r="I1045" s="47"/>
      <c r="J1045" s="45" t="str">
        <f aca="false">IF($A1045="","",IF(COUNTIF(Accounts!$C$2:$C$201,$A1045)+COUNTIF('Service Principals'!$C$2:$C$201,$A1045)+COUNTIF('Managed Identities'!$C$2:$C$201,$A1045)&gt;0,"Yes","NOT IN INVENTORY"))</f>
        <v/>
      </c>
    </row>
    <row r="1046" customFormat="false" ht="15" hidden="false" customHeight="false" outlineLevel="0" collapsed="false">
      <c r="A1046" s="46"/>
      <c r="B1046" s="46"/>
      <c r="C1046" s="47"/>
      <c r="D1046" s="47"/>
      <c r="E1046" s="46"/>
      <c r="F1046" s="46"/>
      <c r="G1046" s="47"/>
      <c r="H1046" s="47"/>
      <c r="I1046" s="47"/>
      <c r="J1046" s="45" t="str">
        <f aca="false">IF($A1046="","",IF(COUNTIF(Accounts!$C$2:$C$201,$A1046)+COUNTIF('Service Principals'!$C$2:$C$201,$A1046)+COUNTIF('Managed Identities'!$C$2:$C$201,$A1046)&gt;0,"Yes","NOT IN INVENTORY"))</f>
        <v/>
      </c>
    </row>
    <row r="1047" customFormat="false" ht="15" hidden="false" customHeight="false" outlineLevel="0" collapsed="false">
      <c r="A1047" s="46"/>
      <c r="B1047" s="46"/>
      <c r="C1047" s="47"/>
      <c r="D1047" s="47"/>
      <c r="E1047" s="46"/>
      <c r="F1047" s="46"/>
      <c r="G1047" s="47"/>
      <c r="H1047" s="47"/>
      <c r="I1047" s="47"/>
      <c r="J1047" s="45" t="str">
        <f aca="false">IF($A1047="","",IF(COUNTIF(Accounts!$C$2:$C$201,$A1047)+COUNTIF('Service Principals'!$C$2:$C$201,$A1047)+COUNTIF('Managed Identities'!$C$2:$C$201,$A1047)&gt;0,"Yes","NOT IN INVENTORY"))</f>
        <v/>
      </c>
    </row>
    <row r="1048" customFormat="false" ht="15" hidden="false" customHeight="false" outlineLevel="0" collapsed="false">
      <c r="A1048" s="46"/>
      <c r="B1048" s="46"/>
      <c r="C1048" s="47"/>
      <c r="D1048" s="47"/>
      <c r="E1048" s="46"/>
      <c r="F1048" s="46"/>
      <c r="G1048" s="47"/>
      <c r="H1048" s="47"/>
      <c r="I1048" s="47"/>
      <c r="J1048" s="45" t="str">
        <f aca="false">IF($A1048="","",IF(COUNTIF(Accounts!$C$2:$C$201,$A1048)+COUNTIF('Service Principals'!$C$2:$C$201,$A1048)+COUNTIF('Managed Identities'!$C$2:$C$201,$A1048)&gt;0,"Yes","NOT IN INVENTORY"))</f>
        <v/>
      </c>
    </row>
    <row r="1049" customFormat="false" ht="15" hidden="false" customHeight="false" outlineLevel="0" collapsed="false">
      <c r="A1049" s="46"/>
      <c r="B1049" s="46"/>
      <c r="C1049" s="47"/>
      <c r="D1049" s="47"/>
      <c r="E1049" s="46"/>
      <c r="F1049" s="46"/>
      <c r="G1049" s="47"/>
      <c r="H1049" s="47"/>
      <c r="I1049" s="47"/>
      <c r="J1049" s="45" t="str">
        <f aca="false">IF($A1049="","",IF(COUNTIF(Accounts!$C$2:$C$201,$A1049)+COUNTIF('Service Principals'!$C$2:$C$201,$A1049)+COUNTIF('Managed Identities'!$C$2:$C$201,$A1049)&gt;0,"Yes","NOT IN INVENTORY"))</f>
        <v/>
      </c>
    </row>
    <row r="1050" customFormat="false" ht="15" hidden="false" customHeight="false" outlineLevel="0" collapsed="false">
      <c r="A1050" s="46"/>
      <c r="B1050" s="46"/>
      <c r="C1050" s="47"/>
      <c r="D1050" s="47"/>
      <c r="E1050" s="46"/>
      <c r="F1050" s="46"/>
      <c r="G1050" s="47"/>
      <c r="H1050" s="47"/>
      <c r="I1050" s="47"/>
      <c r="J1050" s="45" t="str">
        <f aca="false">IF($A1050="","",IF(COUNTIF(Accounts!$C$2:$C$201,$A1050)+COUNTIF('Service Principals'!$C$2:$C$201,$A1050)+COUNTIF('Managed Identities'!$C$2:$C$201,$A1050)&gt;0,"Yes","NOT IN INVENTORY"))</f>
        <v/>
      </c>
    </row>
    <row r="1051" customFormat="false" ht="15" hidden="false" customHeight="false" outlineLevel="0" collapsed="false">
      <c r="A1051" s="46"/>
      <c r="B1051" s="46"/>
      <c r="C1051" s="47"/>
      <c r="D1051" s="47"/>
      <c r="E1051" s="46"/>
      <c r="F1051" s="46"/>
      <c r="G1051" s="47"/>
      <c r="H1051" s="47"/>
      <c r="I1051" s="47"/>
      <c r="J1051" s="45" t="str">
        <f aca="false">IF($A1051="","",IF(COUNTIF(Accounts!$C$2:$C$201,$A1051)+COUNTIF('Service Principals'!$C$2:$C$201,$A1051)+COUNTIF('Managed Identities'!$C$2:$C$201,$A1051)&gt;0,"Yes","NOT IN INVENTORY"))</f>
        <v/>
      </c>
    </row>
    <row r="1052" customFormat="false" ht="15" hidden="false" customHeight="false" outlineLevel="0" collapsed="false">
      <c r="A1052" s="46"/>
      <c r="B1052" s="46"/>
      <c r="C1052" s="47"/>
      <c r="D1052" s="47"/>
      <c r="E1052" s="46"/>
      <c r="F1052" s="46"/>
      <c r="G1052" s="47"/>
      <c r="H1052" s="47"/>
      <c r="I1052" s="47"/>
      <c r="J1052" s="45" t="str">
        <f aca="false">IF($A1052="","",IF(COUNTIF(Accounts!$C$2:$C$201,$A1052)+COUNTIF('Service Principals'!$C$2:$C$201,$A1052)+COUNTIF('Managed Identities'!$C$2:$C$201,$A1052)&gt;0,"Yes","NOT IN INVENTORY"))</f>
        <v/>
      </c>
    </row>
    <row r="1053" customFormat="false" ht="15" hidden="false" customHeight="false" outlineLevel="0" collapsed="false">
      <c r="A1053" s="46"/>
      <c r="B1053" s="46"/>
      <c r="C1053" s="47"/>
      <c r="D1053" s="47"/>
      <c r="E1053" s="46"/>
      <c r="F1053" s="46"/>
      <c r="G1053" s="47"/>
      <c r="H1053" s="47"/>
      <c r="I1053" s="47"/>
      <c r="J1053" s="45" t="str">
        <f aca="false">IF($A1053="","",IF(COUNTIF(Accounts!$C$2:$C$201,$A1053)+COUNTIF('Service Principals'!$C$2:$C$201,$A1053)+COUNTIF('Managed Identities'!$C$2:$C$201,$A1053)&gt;0,"Yes","NOT IN INVENTORY"))</f>
        <v/>
      </c>
    </row>
    <row r="1054" customFormat="false" ht="15" hidden="false" customHeight="false" outlineLevel="0" collapsed="false">
      <c r="A1054" s="46"/>
      <c r="B1054" s="46"/>
      <c r="C1054" s="47"/>
      <c r="D1054" s="47"/>
      <c r="E1054" s="46"/>
      <c r="F1054" s="46"/>
      <c r="G1054" s="47"/>
      <c r="H1054" s="47"/>
      <c r="I1054" s="47"/>
      <c r="J1054" s="45" t="str">
        <f aca="false">IF($A1054="","",IF(COUNTIF(Accounts!$C$2:$C$201,$A1054)+COUNTIF('Service Principals'!$C$2:$C$201,$A1054)+COUNTIF('Managed Identities'!$C$2:$C$201,$A1054)&gt;0,"Yes","NOT IN INVENTORY"))</f>
        <v/>
      </c>
    </row>
    <row r="1055" customFormat="false" ht="15" hidden="false" customHeight="false" outlineLevel="0" collapsed="false">
      <c r="A1055" s="46"/>
      <c r="B1055" s="46"/>
      <c r="C1055" s="47"/>
      <c r="D1055" s="47"/>
      <c r="E1055" s="46"/>
      <c r="F1055" s="46"/>
      <c r="G1055" s="47"/>
      <c r="H1055" s="47"/>
      <c r="I1055" s="47"/>
      <c r="J1055" s="45" t="str">
        <f aca="false">IF($A1055="","",IF(COUNTIF(Accounts!$C$2:$C$201,$A1055)+COUNTIF('Service Principals'!$C$2:$C$201,$A1055)+COUNTIF('Managed Identities'!$C$2:$C$201,$A1055)&gt;0,"Yes","NOT IN INVENTORY"))</f>
        <v/>
      </c>
    </row>
    <row r="1056" customFormat="false" ht="15" hidden="false" customHeight="false" outlineLevel="0" collapsed="false">
      <c r="A1056" s="46"/>
      <c r="B1056" s="46"/>
      <c r="C1056" s="47"/>
      <c r="D1056" s="47"/>
      <c r="E1056" s="46"/>
      <c r="F1056" s="46"/>
      <c r="G1056" s="47"/>
      <c r="H1056" s="47"/>
      <c r="I1056" s="47"/>
      <c r="J1056" s="45" t="str">
        <f aca="false">IF($A1056="","",IF(COUNTIF(Accounts!$C$2:$C$201,$A1056)+COUNTIF('Service Principals'!$C$2:$C$201,$A1056)+COUNTIF('Managed Identities'!$C$2:$C$201,$A1056)&gt;0,"Yes","NOT IN INVENTORY"))</f>
        <v/>
      </c>
    </row>
    <row r="1057" customFormat="false" ht="15" hidden="false" customHeight="false" outlineLevel="0" collapsed="false">
      <c r="A1057" s="46"/>
      <c r="B1057" s="46"/>
      <c r="C1057" s="47"/>
      <c r="D1057" s="47"/>
      <c r="E1057" s="46"/>
      <c r="F1057" s="46"/>
      <c r="G1057" s="47"/>
      <c r="H1057" s="47"/>
      <c r="I1057" s="47"/>
      <c r="J1057" s="45" t="str">
        <f aca="false">IF($A1057="","",IF(COUNTIF(Accounts!$C$2:$C$201,$A1057)+COUNTIF('Service Principals'!$C$2:$C$201,$A1057)+COUNTIF('Managed Identities'!$C$2:$C$201,$A1057)&gt;0,"Yes","NOT IN INVENTORY"))</f>
        <v/>
      </c>
    </row>
    <row r="1058" customFormat="false" ht="15" hidden="false" customHeight="false" outlineLevel="0" collapsed="false">
      <c r="A1058" s="46"/>
      <c r="B1058" s="46"/>
      <c r="C1058" s="47"/>
      <c r="D1058" s="47"/>
      <c r="E1058" s="46"/>
      <c r="F1058" s="46"/>
      <c r="G1058" s="47"/>
      <c r="H1058" s="47"/>
      <c r="I1058" s="47"/>
      <c r="J1058" s="45" t="str">
        <f aca="false">IF($A1058="","",IF(COUNTIF(Accounts!$C$2:$C$201,$A1058)+COUNTIF('Service Principals'!$C$2:$C$201,$A1058)+COUNTIF('Managed Identities'!$C$2:$C$201,$A1058)&gt;0,"Yes","NOT IN INVENTORY"))</f>
        <v/>
      </c>
    </row>
    <row r="1059" customFormat="false" ht="15" hidden="false" customHeight="false" outlineLevel="0" collapsed="false">
      <c r="A1059" s="46"/>
      <c r="B1059" s="46"/>
      <c r="C1059" s="47"/>
      <c r="D1059" s="47"/>
      <c r="E1059" s="46"/>
      <c r="F1059" s="46"/>
      <c r="G1059" s="47"/>
      <c r="H1059" s="47"/>
      <c r="I1059" s="47"/>
      <c r="J1059" s="45" t="str">
        <f aca="false">IF($A1059="","",IF(COUNTIF(Accounts!$C$2:$C$201,$A1059)+COUNTIF('Service Principals'!$C$2:$C$201,$A1059)+COUNTIF('Managed Identities'!$C$2:$C$201,$A1059)&gt;0,"Yes","NOT IN INVENTORY"))</f>
        <v/>
      </c>
    </row>
    <row r="1060" customFormat="false" ht="15" hidden="false" customHeight="false" outlineLevel="0" collapsed="false">
      <c r="A1060" s="46"/>
      <c r="B1060" s="46"/>
      <c r="C1060" s="47"/>
      <c r="D1060" s="47"/>
      <c r="E1060" s="46"/>
      <c r="F1060" s="46"/>
      <c r="G1060" s="47"/>
      <c r="H1060" s="47"/>
      <c r="I1060" s="47"/>
      <c r="J1060" s="45" t="str">
        <f aca="false">IF($A1060="","",IF(COUNTIF(Accounts!$C$2:$C$201,$A1060)+COUNTIF('Service Principals'!$C$2:$C$201,$A1060)+COUNTIF('Managed Identities'!$C$2:$C$201,$A1060)&gt;0,"Yes","NOT IN INVENTORY"))</f>
        <v/>
      </c>
    </row>
    <row r="1061" customFormat="false" ht="15" hidden="false" customHeight="false" outlineLevel="0" collapsed="false">
      <c r="A1061" s="46"/>
      <c r="B1061" s="46"/>
      <c r="C1061" s="47"/>
      <c r="D1061" s="47"/>
      <c r="E1061" s="46"/>
      <c r="F1061" s="46"/>
      <c r="G1061" s="47"/>
      <c r="H1061" s="47"/>
      <c r="I1061" s="47"/>
      <c r="J1061" s="45" t="str">
        <f aca="false">IF($A1061="","",IF(COUNTIF(Accounts!$C$2:$C$201,$A1061)+COUNTIF('Service Principals'!$C$2:$C$201,$A1061)+COUNTIF('Managed Identities'!$C$2:$C$201,$A1061)&gt;0,"Yes","NOT IN INVENTORY"))</f>
        <v/>
      </c>
    </row>
    <row r="1062" customFormat="false" ht="15" hidden="false" customHeight="false" outlineLevel="0" collapsed="false">
      <c r="A1062" s="46"/>
      <c r="B1062" s="46"/>
      <c r="C1062" s="47"/>
      <c r="D1062" s="47"/>
      <c r="E1062" s="46"/>
      <c r="F1062" s="46"/>
      <c r="G1062" s="47"/>
      <c r="H1062" s="47"/>
      <c r="I1062" s="47"/>
      <c r="J1062" s="45" t="str">
        <f aca="false">IF($A1062="","",IF(COUNTIF(Accounts!$C$2:$C$201,$A1062)+COUNTIF('Service Principals'!$C$2:$C$201,$A1062)+COUNTIF('Managed Identities'!$C$2:$C$201,$A1062)&gt;0,"Yes","NOT IN INVENTORY"))</f>
        <v/>
      </c>
    </row>
    <row r="1063" customFormat="false" ht="15" hidden="false" customHeight="false" outlineLevel="0" collapsed="false">
      <c r="A1063" s="46"/>
      <c r="B1063" s="46"/>
      <c r="C1063" s="47"/>
      <c r="D1063" s="47"/>
      <c r="E1063" s="46"/>
      <c r="F1063" s="46"/>
      <c r="G1063" s="47"/>
      <c r="H1063" s="47"/>
      <c r="I1063" s="47"/>
      <c r="J1063" s="45" t="str">
        <f aca="false">IF($A1063="","",IF(COUNTIF(Accounts!$C$2:$C$201,$A1063)+COUNTIF('Service Principals'!$C$2:$C$201,$A1063)+COUNTIF('Managed Identities'!$C$2:$C$201,$A1063)&gt;0,"Yes","NOT IN INVENTORY"))</f>
        <v/>
      </c>
    </row>
    <row r="1064" customFormat="false" ht="15" hidden="false" customHeight="false" outlineLevel="0" collapsed="false">
      <c r="A1064" s="46"/>
      <c r="B1064" s="46"/>
      <c r="C1064" s="47"/>
      <c r="D1064" s="47"/>
      <c r="E1064" s="46"/>
      <c r="F1064" s="46"/>
      <c r="G1064" s="47"/>
      <c r="H1064" s="47"/>
      <c r="I1064" s="47"/>
      <c r="J1064" s="45" t="str">
        <f aca="false">IF($A1064="","",IF(COUNTIF(Accounts!$C$2:$C$201,$A1064)+COUNTIF('Service Principals'!$C$2:$C$201,$A1064)+COUNTIF('Managed Identities'!$C$2:$C$201,$A1064)&gt;0,"Yes","NOT IN INVENTORY"))</f>
        <v/>
      </c>
    </row>
    <row r="1065" customFormat="false" ht="15" hidden="false" customHeight="false" outlineLevel="0" collapsed="false">
      <c r="A1065" s="46"/>
      <c r="B1065" s="46"/>
      <c r="C1065" s="47"/>
      <c r="D1065" s="47"/>
      <c r="E1065" s="46"/>
      <c r="F1065" s="46"/>
      <c r="G1065" s="47"/>
      <c r="H1065" s="47"/>
      <c r="I1065" s="47"/>
      <c r="J1065" s="45" t="str">
        <f aca="false">IF($A1065="","",IF(COUNTIF(Accounts!$C$2:$C$201,$A1065)+COUNTIF('Service Principals'!$C$2:$C$201,$A1065)+COUNTIF('Managed Identities'!$C$2:$C$201,$A1065)&gt;0,"Yes","NOT IN INVENTORY"))</f>
        <v/>
      </c>
    </row>
    <row r="1066" customFormat="false" ht="15" hidden="false" customHeight="false" outlineLevel="0" collapsed="false">
      <c r="A1066" s="46"/>
      <c r="B1066" s="46"/>
      <c r="C1066" s="47"/>
      <c r="D1066" s="47"/>
      <c r="E1066" s="46"/>
      <c r="F1066" s="46"/>
      <c r="G1066" s="47"/>
      <c r="H1066" s="47"/>
      <c r="I1066" s="47"/>
      <c r="J1066" s="45" t="str">
        <f aca="false">IF($A1066="","",IF(COUNTIF(Accounts!$C$2:$C$201,$A1066)+COUNTIF('Service Principals'!$C$2:$C$201,$A1066)+COUNTIF('Managed Identities'!$C$2:$C$201,$A1066)&gt;0,"Yes","NOT IN INVENTORY"))</f>
        <v/>
      </c>
    </row>
    <row r="1067" customFormat="false" ht="15" hidden="false" customHeight="false" outlineLevel="0" collapsed="false">
      <c r="A1067" s="46"/>
      <c r="B1067" s="46"/>
      <c r="C1067" s="47"/>
      <c r="D1067" s="47"/>
      <c r="E1067" s="46"/>
      <c r="F1067" s="46"/>
      <c r="G1067" s="47"/>
      <c r="H1067" s="47"/>
      <c r="I1067" s="47"/>
      <c r="J1067" s="45" t="str">
        <f aca="false">IF($A1067="","",IF(COUNTIF(Accounts!$C$2:$C$201,$A1067)+COUNTIF('Service Principals'!$C$2:$C$201,$A1067)+COUNTIF('Managed Identities'!$C$2:$C$201,$A1067)&gt;0,"Yes","NOT IN INVENTORY"))</f>
        <v/>
      </c>
    </row>
    <row r="1068" customFormat="false" ht="15" hidden="false" customHeight="false" outlineLevel="0" collapsed="false">
      <c r="A1068" s="46"/>
      <c r="B1068" s="46"/>
      <c r="C1068" s="47"/>
      <c r="D1068" s="47"/>
      <c r="E1068" s="46"/>
      <c r="F1068" s="46"/>
      <c r="G1068" s="47"/>
      <c r="H1068" s="47"/>
      <c r="I1068" s="47"/>
      <c r="J1068" s="45" t="str">
        <f aca="false">IF($A1068="","",IF(COUNTIF(Accounts!$C$2:$C$201,$A1068)+COUNTIF('Service Principals'!$C$2:$C$201,$A1068)+COUNTIF('Managed Identities'!$C$2:$C$201,$A1068)&gt;0,"Yes","NOT IN INVENTORY"))</f>
        <v/>
      </c>
    </row>
    <row r="1069" customFormat="false" ht="15" hidden="false" customHeight="false" outlineLevel="0" collapsed="false">
      <c r="A1069" s="46"/>
      <c r="B1069" s="46"/>
      <c r="C1069" s="47"/>
      <c r="D1069" s="47"/>
      <c r="E1069" s="46"/>
      <c r="F1069" s="46"/>
      <c r="G1069" s="47"/>
      <c r="H1069" s="47"/>
      <c r="I1069" s="47"/>
      <c r="J1069" s="45" t="str">
        <f aca="false">IF($A1069="","",IF(COUNTIF(Accounts!$C$2:$C$201,$A1069)+COUNTIF('Service Principals'!$C$2:$C$201,$A1069)+COUNTIF('Managed Identities'!$C$2:$C$201,$A1069)&gt;0,"Yes","NOT IN INVENTORY"))</f>
        <v/>
      </c>
    </row>
    <row r="1070" customFormat="false" ht="15" hidden="false" customHeight="false" outlineLevel="0" collapsed="false">
      <c r="A1070" s="46"/>
      <c r="B1070" s="46"/>
      <c r="C1070" s="47"/>
      <c r="D1070" s="47"/>
      <c r="E1070" s="46"/>
      <c r="F1070" s="46"/>
      <c r="G1070" s="47"/>
      <c r="H1070" s="47"/>
      <c r="I1070" s="47"/>
      <c r="J1070" s="45" t="str">
        <f aca="false">IF($A1070="","",IF(COUNTIF(Accounts!$C$2:$C$201,$A1070)+COUNTIF('Service Principals'!$C$2:$C$201,$A1070)+COUNTIF('Managed Identities'!$C$2:$C$201,$A1070)&gt;0,"Yes","NOT IN INVENTORY"))</f>
        <v/>
      </c>
    </row>
    <row r="1071" customFormat="false" ht="15" hidden="false" customHeight="false" outlineLevel="0" collapsed="false">
      <c r="A1071" s="46"/>
      <c r="B1071" s="46"/>
      <c r="C1071" s="47"/>
      <c r="D1071" s="47"/>
      <c r="E1071" s="46"/>
      <c r="F1071" s="46"/>
      <c r="G1071" s="47"/>
      <c r="H1071" s="47"/>
      <c r="I1071" s="47"/>
      <c r="J1071" s="45" t="str">
        <f aca="false">IF($A1071="","",IF(COUNTIF(Accounts!$C$2:$C$201,$A1071)+COUNTIF('Service Principals'!$C$2:$C$201,$A1071)+COUNTIF('Managed Identities'!$C$2:$C$201,$A1071)&gt;0,"Yes","NOT IN INVENTORY"))</f>
        <v/>
      </c>
    </row>
    <row r="1072" customFormat="false" ht="15" hidden="false" customHeight="false" outlineLevel="0" collapsed="false">
      <c r="A1072" s="46"/>
      <c r="B1072" s="46"/>
      <c r="C1072" s="47"/>
      <c r="D1072" s="47"/>
      <c r="E1072" s="46"/>
      <c r="F1072" s="46"/>
      <c r="G1072" s="47"/>
      <c r="H1072" s="47"/>
      <c r="I1072" s="47"/>
      <c r="J1072" s="45" t="str">
        <f aca="false">IF($A1072="","",IF(COUNTIF(Accounts!$C$2:$C$201,$A1072)+COUNTIF('Service Principals'!$C$2:$C$201,$A1072)+COUNTIF('Managed Identities'!$C$2:$C$201,$A1072)&gt;0,"Yes","NOT IN INVENTORY"))</f>
        <v/>
      </c>
    </row>
    <row r="1073" customFormat="false" ht="15" hidden="false" customHeight="false" outlineLevel="0" collapsed="false">
      <c r="A1073" s="46"/>
      <c r="B1073" s="46"/>
      <c r="C1073" s="47"/>
      <c r="D1073" s="47"/>
      <c r="E1073" s="46"/>
      <c r="F1073" s="46"/>
      <c r="G1073" s="47"/>
      <c r="H1073" s="47"/>
      <c r="I1073" s="47"/>
      <c r="J1073" s="45" t="str">
        <f aca="false">IF($A1073="","",IF(COUNTIF(Accounts!$C$2:$C$201,$A1073)+COUNTIF('Service Principals'!$C$2:$C$201,$A1073)+COUNTIF('Managed Identities'!$C$2:$C$201,$A1073)&gt;0,"Yes","NOT IN INVENTORY"))</f>
        <v/>
      </c>
    </row>
    <row r="1074" customFormat="false" ht="15" hidden="false" customHeight="false" outlineLevel="0" collapsed="false">
      <c r="A1074" s="46"/>
      <c r="B1074" s="46"/>
      <c r="C1074" s="47"/>
      <c r="D1074" s="47"/>
      <c r="E1074" s="46"/>
      <c r="F1074" s="46"/>
      <c r="G1074" s="47"/>
      <c r="H1074" s="47"/>
      <c r="I1074" s="47"/>
      <c r="J1074" s="45" t="str">
        <f aca="false">IF($A1074="","",IF(COUNTIF(Accounts!$C$2:$C$201,$A1074)+COUNTIF('Service Principals'!$C$2:$C$201,$A1074)+COUNTIF('Managed Identities'!$C$2:$C$201,$A1074)&gt;0,"Yes","NOT IN INVENTORY"))</f>
        <v/>
      </c>
    </row>
    <row r="1075" customFormat="false" ht="15" hidden="false" customHeight="false" outlineLevel="0" collapsed="false">
      <c r="A1075" s="46"/>
      <c r="B1075" s="46"/>
      <c r="C1075" s="47"/>
      <c r="D1075" s="47"/>
      <c r="E1075" s="46"/>
      <c r="F1075" s="46"/>
      <c r="G1075" s="47"/>
      <c r="H1075" s="47"/>
      <c r="I1075" s="47"/>
      <c r="J1075" s="45" t="str">
        <f aca="false">IF($A1075="","",IF(COUNTIF(Accounts!$C$2:$C$201,$A1075)+COUNTIF('Service Principals'!$C$2:$C$201,$A1075)+COUNTIF('Managed Identities'!$C$2:$C$201,$A1075)&gt;0,"Yes","NOT IN INVENTORY"))</f>
        <v/>
      </c>
    </row>
    <row r="1076" customFormat="false" ht="15" hidden="false" customHeight="false" outlineLevel="0" collapsed="false">
      <c r="A1076" s="46"/>
      <c r="B1076" s="46"/>
      <c r="C1076" s="47"/>
      <c r="D1076" s="47"/>
      <c r="E1076" s="46"/>
      <c r="F1076" s="46"/>
      <c r="G1076" s="47"/>
      <c r="H1076" s="47"/>
      <c r="I1076" s="47"/>
      <c r="J1076" s="45" t="str">
        <f aca="false">IF($A1076="","",IF(COUNTIF(Accounts!$C$2:$C$201,$A1076)+COUNTIF('Service Principals'!$C$2:$C$201,$A1076)+COUNTIF('Managed Identities'!$C$2:$C$201,$A1076)&gt;0,"Yes","NOT IN INVENTORY"))</f>
        <v/>
      </c>
    </row>
    <row r="1077" customFormat="false" ht="15" hidden="false" customHeight="false" outlineLevel="0" collapsed="false">
      <c r="A1077" s="46"/>
      <c r="B1077" s="46"/>
      <c r="C1077" s="47"/>
      <c r="D1077" s="47"/>
      <c r="E1077" s="46"/>
      <c r="F1077" s="46"/>
      <c r="G1077" s="47"/>
      <c r="H1077" s="47"/>
      <c r="I1077" s="47"/>
      <c r="J1077" s="45" t="str">
        <f aca="false">IF($A1077="","",IF(COUNTIF(Accounts!$C$2:$C$201,$A1077)+COUNTIF('Service Principals'!$C$2:$C$201,$A1077)+COUNTIF('Managed Identities'!$C$2:$C$201,$A1077)&gt;0,"Yes","NOT IN INVENTORY"))</f>
        <v/>
      </c>
    </row>
    <row r="1078" customFormat="false" ht="15" hidden="false" customHeight="false" outlineLevel="0" collapsed="false">
      <c r="A1078" s="46"/>
      <c r="B1078" s="46"/>
      <c r="C1078" s="47"/>
      <c r="D1078" s="47"/>
      <c r="E1078" s="46"/>
      <c r="F1078" s="46"/>
      <c r="G1078" s="47"/>
      <c r="H1078" s="47"/>
      <c r="I1078" s="47"/>
      <c r="J1078" s="45" t="str">
        <f aca="false">IF($A1078="","",IF(COUNTIF(Accounts!$C$2:$C$201,$A1078)+COUNTIF('Service Principals'!$C$2:$C$201,$A1078)+COUNTIF('Managed Identities'!$C$2:$C$201,$A1078)&gt;0,"Yes","NOT IN INVENTORY"))</f>
        <v/>
      </c>
    </row>
    <row r="1079" customFormat="false" ht="15" hidden="false" customHeight="false" outlineLevel="0" collapsed="false">
      <c r="A1079" s="46"/>
      <c r="B1079" s="46"/>
      <c r="C1079" s="47"/>
      <c r="D1079" s="47"/>
      <c r="E1079" s="46"/>
      <c r="F1079" s="46"/>
      <c r="G1079" s="47"/>
      <c r="H1079" s="47"/>
      <c r="I1079" s="47"/>
      <c r="J1079" s="45" t="str">
        <f aca="false">IF($A1079="","",IF(COUNTIF(Accounts!$C$2:$C$201,$A1079)+COUNTIF('Service Principals'!$C$2:$C$201,$A1079)+COUNTIF('Managed Identities'!$C$2:$C$201,$A1079)&gt;0,"Yes","NOT IN INVENTORY"))</f>
        <v/>
      </c>
    </row>
    <row r="1080" customFormat="false" ht="15" hidden="false" customHeight="false" outlineLevel="0" collapsed="false">
      <c r="A1080" s="46"/>
      <c r="B1080" s="46"/>
      <c r="C1080" s="47"/>
      <c r="D1080" s="47"/>
      <c r="E1080" s="46"/>
      <c r="F1080" s="46"/>
      <c r="G1080" s="47"/>
      <c r="H1080" s="47"/>
      <c r="I1080" s="47"/>
      <c r="J1080" s="45" t="str">
        <f aca="false">IF($A1080="","",IF(COUNTIF(Accounts!$C$2:$C$201,$A1080)+COUNTIF('Service Principals'!$C$2:$C$201,$A1080)+COUNTIF('Managed Identities'!$C$2:$C$201,$A1080)&gt;0,"Yes","NOT IN INVENTORY"))</f>
        <v/>
      </c>
    </row>
    <row r="1081" customFormat="false" ht="15" hidden="false" customHeight="false" outlineLevel="0" collapsed="false">
      <c r="A1081" s="46"/>
      <c r="B1081" s="46"/>
      <c r="C1081" s="47"/>
      <c r="D1081" s="47"/>
      <c r="E1081" s="46"/>
      <c r="F1081" s="46"/>
      <c r="G1081" s="47"/>
      <c r="H1081" s="47"/>
      <c r="I1081" s="47"/>
      <c r="J1081" s="45" t="str">
        <f aca="false">IF($A1081="","",IF(COUNTIF(Accounts!$C$2:$C$201,$A1081)+COUNTIF('Service Principals'!$C$2:$C$201,$A1081)+COUNTIF('Managed Identities'!$C$2:$C$201,$A1081)&gt;0,"Yes","NOT IN INVENTORY"))</f>
        <v/>
      </c>
    </row>
    <row r="1082" customFormat="false" ht="15" hidden="false" customHeight="false" outlineLevel="0" collapsed="false">
      <c r="A1082" s="46"/>
      <c r="B1082" s="46"/>
      <c r="C1082" s="47"/>
      <c r="D1082" s="47"/>
      <c r="E1082" s="46"/>
      <c r="F1082" s="46"/>
      <c r="G1082" s="47"/>
      <c r="H1082" s="47"/>
      <c r="I1082" s="47"/>
      <c r="J1082" s="45" t="str">
        <f aca="false">IF($A1082="","",IF(COUNTIF(Accounts!$C$2:$C$201,$A1082)+COUNTIF('Service Principals'!$C$2:$C$201,$A1082)+COUNTIF('Managed Identities'!$C$2:$C$201,$A1082)&gt;0,"Yes","NOT IN INVENTORY"))</f>
        <v/>
      </c>
    </row>
    <row r="1083" customFormat="false" ht="15" hidden="false" customHeight="false" outlineLevel="0" collapsed="false">
      <c r="A1083" s="46"/>
      <c r="B1083" s="46"/>
      <c r="C1083" s="47"/>
      <c r="D1083" s="47"/>
      <c r="E1083" s="46"/>
      <c r="F1083" s="46"/>
      <c r="G1083" s="47"/>
      <c r="H1083" s="47"/>
      <c r="I1083" s="47"/>
      <c r="J1083" s="45" t="str">
        <f aca="false">IF($A1083="","",IF(COUNTIF(Accounts!$C$2:$C$201,$A1083)+COUNTIF('Service Principals'!$C$2:$C$201,$A1083)+COUNTIF('Managed Identities'!$C$2:$C$201,$A1083)&gt;0,"Yes","NOT IN INVENTORY"))</f>
        <v/>
      </c>
    </row>
    <row r="1084" customFormat="false" ht="15" hidden="false" customHeight="false" outlineLevel="0" collapsed="false">
      <c r="A1084" s="46"/>
      <c r="B1084" s="46"/>
      <c r="C1084" s="47"/>
      <c r="D1084" s="47"/>
      <c r="E1084" s="46"/>
      <c r="F1084" s="46"/>
      <c r="G1084" s="47"/>
      <c r="H1084" s="47"/>
      <c r="I1084" s="47"/>
      <c r="J1084" s="45" t="str">
        <f aca="false">IF($A1084="","",IF(COUNTIF(Accounts!$C$2:$C$201,$A1084)+COUNTIF('Service Principals'!$C$2:$C$201,$A1084)+COUNTIF('Managed Identities'!$C$2:$C$201,$A1084)&gt;0,"Yes","NOT IN INVENTORY"))</f>
        <v/>
      </c>
    </row>
    <row r="1085" customFormat="false" ht="15" hidden="false" customHeight="false" outlineLevel="0" collapsed="false">
      <c r="A1085" s="46"/>
      <c r="B1085" s="46"/>
      <c r="C1085" s="47"/>
      <c r="D1085" s="47"/>
      <c r="E1085" s="46"/>
      <c r="F1085" s="46"/>
      <c r="G1085" s="47"/>
      <c r="H1085" s="47"/>
      <c r="I1085" s="47"/>
      <c r="J1085" s="45" t="str">
        <f aca="false">IF($A1085="","",IF(COUNTIF(Accounts!$C$2:$C$201,$A1085)+COUNTIF('Service Principals'!$C$2:$C$201,$A1085)+COUNTIF('Managed Identities'!$C$2:$C$201,$A1085)&gt;0,"Yes","NOT IN INVENTORY"))</f>
        <v/>
      </c>
    </row>
    <row r="1086" customFormat="false" ht="15" hidden="false" customHeight="false" outlineLevel="0" collapsed="false">
      <c r="A1086" s="46"/>
      <c r="B1086" s="46"/>
      <c r="C1086" s="47"/>
      <c r="D1086" s="47"/>
      <c r="E1086" s="46"/>
      <c r="F1086" s="46"/>
      <c r="G1086" s="47"/>
      <c r="H1086" s="47"/>
      <c r="I1086" s="47"/>
      <c r="J1086" s="45" t="str">
        <f aca="false">IF($A1086="","",IF(COUNTIF(Accounts!$C$2:$C$201,$A1086)+COUNTIF('Service Principals'!$C$2:$C$201,$A1086)+COUNTIF('Managed Identities'!$C$2:$C$201,$A1086)&gt;0,"Yes","NOT IN INVENTORY"))</f>
        <v/>
      </c>
    </row>
    <row r="1087" customFormat="false" ht="15" hidden="false" customHeight="false" outlineLevel="0" collapsed="false">
      <c r="A1087" s="46"/>
      <c r="B1087" s="46"/>
      <c r="C1087" s="47"/>
      <c r="D1087" s="47"/>
      <c r="E1087" s="46"/>
      <c r="F1087" s="46"/>
      <c r="G1087" s="47"/>
      <c r="H1087" s="47"/>
      <c r="I1087" s="47"/>
      <c r="J1087" s="45" t="str">
        <f aca="false">IF($A1087="","",IF(COUNTIF(Accounts!$C$2:$C$201,$A1087)+COUNTIF('Service Principals'!$C$2:$C$201,$A1087)+COUNTIF('Managed Identities'!$C$2:$C$201,$A1087)&gt;0,"Yes","NOT IN INVENTORY"))</f>
        <v/>
      </c>
    </row>
    <row r="1088" customFormat="false" ht="15" hidden="false" customHeight="false" outlineLevel="0" collapsed="false">
      <c r="A1088" s="46"/>
      <c r="B1088" s="46"/>
      <c r="C1088" s="47"/>
      <c r="D1088" s="47"/>
      <c r="E1088" s="46"/>
      <c r="F1088" s="46"/>
      <c r="G1088" s="47"/>
      <c r="H1088" s="47"/>
      <c r="I1088" s="47"/>
      <c r="J1088" s="45" t="str">
        <f aca="false">IF($A1088="","",IF(COUNTIF(Accounts!$C$2:$C$201,$A1088)+COUNTIF('Service Principals'!$C$2:$C$201,$A1088)+COUNTIF('Managed Identities'!$C$2:$C$201,$A1088)&gt;0,"Yes","NOT IN INVENTORY"))</f>
        <v/>
      </c>
    </row>
    <row r="1089" customFormat="false" ht="15" hidden="false" customHeight="false" outlineLevel="0" collapsed="false">
      <c r="A1089" s="46"/>
      <c r="B1089" s="46"/>
      <c r="C1089" s="47"/>
      <c r="D1089" s="47"/>
      <c r="E1089" s="46"/>
      <c r="F1089" s="46"/>
      <c r="G1089" s="47"/>
      <c r="H1089" s="47"/>
      <c r="I1089" s="47"/>
      <c r="J1089" s="45" t="str">
        <f aca="false">IF($A1089="","",IF(COUNTIF(Accounts!$C$2:$C$201,$A1089)+COUNTIF('Service Principals'!$C$2:$C$201,$A1089)+COUNTIF('Managed Identities'!$C$2:$C$201,$A1089)&gt;0,"Yes","NOT IN INVENTORY"))</f>
        <v/>
      </c>
    </row>
    <row r="1090" customFormat="false" ht="15" hidden="false" customHeight="false" outlineLevel="0" collapsed="false">
      <c r="A1090" s="46"/>
      <c r="B1090" s="46"/>
      <c r="C1090" s="47"/>
      <c r="D1090" s="47"/>
      <c r="E1090" s="46"/>
      <c r="F1090" s="46"/>
      <c r="G1090" s="47"/>
      <c r="H1090" s="47"/>
      <c r="I1090" s="47"/>
      <c r="J1090" s="45" t="str">
        <f aca="false">IF($A1090="","",IF(COUNTIF(Accounts!$C$2:$C$201,$A1090)+COUNTIF('Service Principals'!$C$2:$C$201,$A1090)+COUNTIF('Managed Identities'!$C$2:$C$201,$A1090)&gt;0,"Yes","NOT IN INVENTORY"))</f>
        <v/>
      </c>
    </row>
    <row r="1091" customFormat="false" ht="15" hidden="false" customHeight="false" outlineLevel="0" collapsed="false">
      <c r="A1091" s="46"/>
      <c r="B1091" s="46"/>
      <c r="C1091" s="47"/>
      <c r="D1091" s="47"/>
      <c r="E1091" s="46"/>
      <c r="F1091" s="46"/>
      <c r="G1091" s="47"/>
      <c r="H1091" s="47"/>
      <c r="I1091" s="47"/>
      <c r="J1091" s="45" t="str">
        <f aca="false">IF($A1091="","",IF(COUNTIF(Accounts!$C$2:$C$201,$A1091)+COUNTIF('Service Principals'!$C$2:$C$201,$A1091)+COUNTIF('Managed Identities'!$C$2:$C$201,$A1091)&gt;0,"Yes","NOT IN INVENTORY"))</f>
        <v/>
      </c>
    </row>
    <row r="1092" customFormat="false" ht="15" hidden="false" customHeight="false" outlineLevel="0" collapsed="false">
      <c r="A1092" s="46"/>
      <c r="B1092" s="46"/>
      <c r="C1092" s="47"/>
      <c r="D1092" s="47"/>
      <c r="E1092" s="46"/>
      <c r="F1092" s="46"/>
      <c r="G1092" s="47"/>
      <c r="H1092" s="47"/>
      <c r="I1092" s="47"/>
      <c r="J1092" s="45" t="str">
        <f aca="false">IF($A1092="","",IF(COUNTIF(Accounts!$C$2:$C$201,$A1092)+COUNTIF('Service Principals'!$C$2:$C$201,$A1092)+COUNTIF('Managed Identities'!$C$2:$C$201,$A1092)&gt;0,"Yes","NOT IN INVENTORY"))</f>
        <v/>
      </c>
    </row>
    <row r="1093" customFormat="false" ht="15" hidden="false" customHeight="false" outlineLevel="0" collapsed="false">
      <c r="A1093" s="46"/>
      <c r="B1093" s="46"/>
      <c r="C1093" s="47"/>
      <c r="D1093" s="47"/>
      <c r="E1093" s="46"/>
      <c r="F1093" s="46"/>
      <c r="G1093" s="47"/>
      <c r="H1093" s="47"/>
      <c r="I1093" s="47"/>
      <c r="J1093" s="45" t="str">
        <f aca="false">IF($A1093="","",IF(COUNTIF(Accounts!$C$2:$C$201,$A1093)+COUNTIF('Service Principals'!$C$2:$C$201,$A1093)+COUNTIF('Managed Identities'!$C$2:$C$201,$A1093)&gt;0,"Yes","NOT IN INVENTORY"))</f>
        <v/>
      </c>
    </row>
    <row r="1094" customFormat="false" ht="15" hidden="false" customHeight="false" outlineLevel="0" collapsed="false">
      <c r="A1094" s="46"/>
      <c r="B1094" s="46"/>
      <c r="C1094" s="47"/>
      <c r="D1094" s="47"/>
      <c r="E1094" s="46"/>
      <c r="F1094" s="46"/>
      <c r="G1094" s="47"/>
      <c r="H1094" s="47"/>
      <c r="I1094" s="47"/>
      <c r="J1094" s="45" t="str">
        <f aca="false">IF($A1094="","",IF(COUNTIF(Accounts!$C$2:$C$201,$A1094)+COUNTIF('Service Principals'!$C$2:$C$201,$A1094)+COUNTIF('Managed Identities'!$C$2:$C$201,$A1094)&gt;0,"Yes","NOT IN INVENTORY"))</f>
        <v/>
      </c>
    </row>
    <row r="1095" customFormat="false" ht="15" hidden="false" customHeight="false" outlineLevel="0" collapsed="false">
      <c r="A1095" s="46"/>
      <c r="B1095" s="46"/>
      <c r="C1095" s="47"/>
      <c r="D1095" s="47"/>
      <c r="E1095" s="46"/>
      <c r="F1095" s="46"/>
      <c r="G1095" s="47"/>
      <c r="H1095" s="47"/>
      <c r="I1095" s="47"/>
      <c r="J1095" s="45" t="str">
        <f aca="false">IF($A1095="","",IF(COUNTIF(Accounts!$C$2:$C$201,$A1095)+COUNTIF('Service Principals'!$C$2:$C$201,$A1095)+COUNTIF('Managed Identities'!$C$2:$C$201,$A1095)&gt;0,"Yes","NOT IN INVENTORY"))</f>
        <v/>
      </c>
    </row>
    <row r="1096" customFormat="false" ht="15" hidden="false" customHeight="false" outlineLevel="0" collapsed="false">
      <c r="A1096" s="46"/>
      <c r="B1096" s="46"/>
      <c r="C1096" s="47"/>
      <c r="D1096" s="47"/>
      <c r="E1096" s="46"/>
      <c r="F1096" s="46"/>
      <c r="G1096" s="47"/>
      <c r="H1096" s="47"/>
      <c r="I1096" s="47"/>
      <c r="J1096" s="45" t="str">
        <f aca="false">IF($A1096="","",IF(COUNTIF(Accounts!$C$2:$C$201,$A1096)+COUNTIF('Service Principals'!$C$2:$C$201,$A1096)+COUNTIF('Managed Identities'!$C$2:$C$201,$A1096)&gt;0,"Yes","NOT IN INVENTORY"))</f>
        <v/>
      </c>
    </row>
    <row r="1097" customFormat="false" ht="15" hidden="false" customHeight="false" outlineLevel="0" collapsed="false">
      <c r="A1097" s="46"/>
      <c r="B1097" s="46"/>
      <c r="C1097" s="47"/>
      <c r="D1097" s="47"/>
      <c r="E1097" s="46"/>
      <c r="F1097" s="46"/>
      <c r="G1097" s="47"/>
      <c r="H1097" s="47"/>
      <c r="I1097" s="47"/>
      <c r="J1097" s="45" t="str">
        <f aca="false">IF($A1097="","",IF(COUNTIF(Accounts!$C$2:$C$201,$A1097)+COUNTIF('Service Principals'!$C$2:$C$201,$A1097)+COUNTIF('Managed Identities'!$C$2:$C$201,$A1097)&gt;0,"Yes","NOT IN INVENTORY"))</f>
        <v/>
      </c>
    </row>
    <row r="1098" customFormat="false" ht="15" hidden="false" customHeight="false" outlineLevel="0" collapsed="false">
      <c r="A1098" s="46"/>
      <c r="B1098" s="46"/>
      <c r="C1098" s="47"/>
      <c r="D1098" s="47"/>
      <c r="E1098" s="46"/>
      <c r="F1098" s="46"/>
      <c r="G1098" s="47"/>
      <c r="H1098" s="47"/>
      <c r="I1098" s="47"/>
      <c r="J1098" s="45" t="str">
        <f aca="false">IF($A1098="","",IF(COUNTIF(Accounts!$C$2:$C$201,$A1098)+COUNTIF('Service Principals'!$C$2:$C$201,$A1098)+COUNTIF('Managed Identities'!$C$2:$C$201,$A1098)&gt;0,"Yes","NOT IN INVENTORY"))</f>
        <v/>
      </c>
    </row>
    <row r="1099" customFormat="false" ht="15" hidden="false" customHeight="false" outlineLevel="0" collapsed="false">
      <c r="A1099" s="46"/>
      <c r="B1099" s="46"/>
      <c r="C1099" s="47"/>
      <c r="D1099" s="47"/>
      <c r="E1099" s="46"/>
      <c r="F1099" s="46"/>
      <c r="G1099" s="47"/>
      <c r="H1099" s="47"/>
      <c r="I1099" s="47"/>
      <c r="J1099" s="45" t="str">
        <f aca="false">IF($A1099="","",IF(COUNTIF(Accounts!$C$2:$C$201,$A1099)+COUNTIF('Service Principals'!$C$2:$C$201,$A1099)+COUNTIF('Managed Identities'!$C$2:$C$201,$A1099)&gt;0,"Yes","NOT IN INVENTORY"))</f>
        <v/>
      </c>
    </row>
    <row r="1100" customFormat="false" ht="15" hidden="false" customHeight="false" outlineLevel="0" collapsed="false">
      <c r="A1100" s="46"/>
      <c r="B1100" s="46"/>
      <c r="C1100" s="47"/>
      <c r="D1100" s="47"/>
      <c r="E1100" s="46"/>
      <c r="F1100" s="46"/>
      <c r="G1100" s="47"/>
      <c r="H1100" s="47"/>
      <c r="I1100" s="47"/>
      <c r="J1100" s="45" t="str">
        <f aca="false">IF($A1100="","",IF(COUNTIF(Accounts!$C$2:$C$201,$A1100)+COUNTIF('Service Principals'!$C$2:$C$201,$A1100)+COUNTIF('Managed Identities'!$C$2:$C$201,$A1100)&gt;0,"Yes","NOT IN INVENTORY"))</f>
        <v/>
      </c>
    </row>
    <row r="1101" customFormat="false" ht="15" hidden="false" customHeight="false" outlineLevel="0" collapsed="false">
      <c r="A1101" s="46"/>
      <c r="B1101" s="46"/>
      <c r="C1101" s="47"/>
      <c r="D1101" s="47"/>
      <c r="E1101" s="46"/>
      <c r="F1101" s="46"/>
      <c r="G1101" s="47"/>
      <c r="H1101" s="47"/>
      <c r="I1101" s="47"/>
      <c r="J1101" s="45" t="str">
        <f aca="false">IF($A1101="","",IF(COUNTIF(Accounts!$C$2:$C$201,$A1101)+COUNTIF('Service Principals'!$C$2:$C$201,$A1101)+COUNTIF('Managed Identities'!$C$2:$C$201,$A1101)&gt;0,"Yes","NOT IN INVENTORY"))</f>
        <v/>
      </c>
    </row>
    <row r="1102" customFormat="false" ht="15" hidden="false" customHeight="false" outlineLevel="0" collapsed="false">
      <c r="A1102" s="46"/>
      <c r="B1102" s="46"/>
      <c r="C1102" s="47"/>
      <c r="D1102" s="47"/>
      <c r="E1102" s="46"/>
      <c r="F1102" s="46"/>
      <c r="G1102" s="47"/>
      <c r="H1102" s="47"/>
      <c r="I1102" s="47"/>
      <c r="J1102" s="45" t="str">
        <f aca="false">IF($A1102="","",IF(COUNTIF(Accounts!$C$2:$C$201,$A1102)+COUNTIF('Service Principals'!$C$2:$C$201,$A1102)+COUNTIF('Managed Identities'!$C$2:$C$201,$A1102)&gt;0,"Yes","NOT IN INVENTORY"))</f>
        <v/>
      </c>
    </row>
    <row r="1103" customFormat="false" ht="15" hidden="false" customHeight="false" outlineLevel="0" collapsed="false">
      <c r="A1103" s="46"/>
      <c r="B1103" s="46"/>
      <c r="C1103" s="47"/>
      <c r="D1103" s="47"/>
      <c r="E1103" s="46"/>
      <c r="F1103" s="46"/>
      <c r="G1103" s="47"/>
      <c r="H1103" s="47"/>
      <c r="I1103" s="47"/>
      <c r="J1103" s="45" t="str">
        <f aca="false">IF($A1103="","",IF(COUNTIF(Accounts!$C$2:$C$201,$A1103)+COUNTIF('Service Principals'!$C$2:$C$201,$A1103)+COUNTIF('Managed Identities'!$C$2:$C$201,$A1103)&gt;0,"Yes","NOT IN INVENTORY"))</f>
        <v/>
      </c>
    </row>
    <row r="1104" customFormat="false" ht="15" hidden="false" customHeight="false" outlineLevel="0" collapsed="false">
      <c r="A1104" s="46"/>
      <c r="B1104" s="46"/>
      <c r="C1104" s="47"/>
      <c r="D1104" s="47"/>
      <c r="E1104" s="46"/>
      <c r="F1104" s="46"/>
      <c r="G1104" s="47"/>
      <c r="H1104" s="47"/>
      <c r="I1104" s="47"/>
      <c r="J1104" s="45" t="str">
        <f aca="false">IF($A1104="","",IF(COUNTIF(Accounts!$C$2:$C$201,$A1104)+COUNTIF('Service Principals'!$C$2:$C$201,$A1104)+COUNTIF('Managed Identities'!$C$2:$C$201,$A1104)&gt;0,"Yes","NOT IN INVENTORY"))</f>
        <v/>
      </c>
    </row>
    <row r="1105" customFormat="false" ht="15" hidden="false" customHeight="false" outlineLevel="0" collapsed="false">
      <c r="A1105" s="46"/>
      <c r="B1105" s="46"/>
      <c r="C1105" s="47"/>
      <c r="D1105" s="47"/>
      <c r="E1105" s="46"/>
      <c r="F1105" s="46"/>
      <c r="G1105" s="47"/>
      <c r="H1105" s="47"/>
      <c r="I1105" s="47"/>
      <c r="J1105" s="45" t="str">
        <f aca="false">IF($A1105="","",IF(COUNTIF(Accounts!$C$2:$C$201,$A1105)+COUNTIF('Service Principals'!$C$2:$C$201,$A1105)+COUNTIF('Managed Identities'!$C$2:$C$201,$A1105)&gt;0,"Yes","NOT IN INVENTORY"))</f>
        <v/>
      </c>
    </row>
    <row r="1106" customFormat="false" ht="15" hidden="false" customHeight="false" outlineLevel="0" collapsed="false">
      <c r="A1106" s="46"/>
      <c r="B1106" s="46"/>
      <c r="C1106" s="47"/>
      <c r="D1106" s="47"/>
      <c r="E1106" s="46"/>
      <c r="F1106" s="46"/>
      <c r="G1106" s="47"/>
      <c r="H1106" s="47"/>
      <c r="I1106" s="47"/>
      <c r="J1106" s="45" t="str">
        <f aca="false">IF($A1106="","",IF(COUNTIF(Accounts!$C$2:$C$201,$A1106)+COUNTIF('Service Principals'!$C$2:$C$201,$A1106)+COUNTIF('Managed Identities'!$C$2:$C$201,$A1106)&gt;0,"Yes","NOT IN INVENTORY"))</f>
        <v/>
      </c>
    </row>
    <row r="1107" customFormat="false" ht="15" hidden="false" customHeight="false" outlineLevel="0" collapsed="false">
      <c r="A1107" s="46"/>
      <c r="B1107" s="46"/>
      <c r="C1107" s="47"/>
      <c r="D1107" s="47"/>
      <c r="E1107" s="46"/>
      <c r="F1107" s="46"/>
      <c r="G1107" s="47"/>
      <c r="H1107" s="47"/>
      <c r="I1107" s="47"/>
      <c r="J1107" s="45" t="str">
        <f aca="false">IF($A1107="","",IF(COUNTIF(Accounts!$C$2:$C$201,$A1107)+COUNTIF('Service Principals'!$C$2:$C$201,$A1107)+COUNTIF('Managed Identities'!$C$2:$C$201,$A1107)&gt;0,"Yes","NOT IN INVENTORY"))</f>
        <v/>
      </c>
    </row>
    <row r="1108" customFormat="false" ht="15" hidden="false" customHeight="false" outlineLevel="0" collapsed="false">
      <c r="A1108" s="46"/>
      <c r="B1108" s="46"/>
      <c r="C1108" s="47"/>
      <c r="D1108" s="47"/>
      <c r="E1108" s="46"/>
      <c r="F1108" s="46"/>
      <c r="G1108" s="47"/>
      <c r="H1108" s="47"/>
      <c r="I1108" s="47"/>
      <c r="J1108" s="45" t="str">
        <f aca="false">IF($A1108="","",IF(COUNTIF(Accounts!$C$2:$C$201,$A1108)+COUNTIF('Service Principals'!$C$2:$C$201,$A1108)+COUNTIF('Managed Identities'!$C$2:$C$201,$A1108)&gt;0,"Yes","NOT IN INVENTORY"))</f>
        <v/>
      </c>
    </row>
    <row r="1109" customFormat="false" ht="15" hidden="false" customHeight="false" outlineLevel="0" collapsed="false">
      <c r="A1109" s="46"/>
      <c r="B1109" s="46"/>
      <c r="C1109" s="47"/>
      <c r="D1109" s="47"/>
      <c r="E1109" s="46"/>
      <c r="F1109" s="46"/>
      <c r="G1109" s="47"/>
      <c r="H1109" s="47"/>
      <c r="I1109" s="47"/>
      <c r="J1109" s="45" t="str">
        <f aca="false">IF($A1109="","",IF(COUNTIF(Accounts!$C$2:$C$201,$A1109)+COUNTIF('Service Principals'!$C$2:$C$201,$A1109)+COUNTIF('Managed Identities'!$C$2:$C$201,$A1109)&gt;0,"Yes","NOT IN INVENTORY"))</f>
        <v/>
      </c>
    </row>
    <row r="1110" customFormat="false" ht="15" hidden="false" customHeight="false" outlineLevel="0" collapsed="false">
      <c r="A1110" s="46"/>
      <c r="B1110" s="46"/>
      <c r="C1110" s="47"/>
      <c r="D1110" s="47"/>
      <c r="E1110" s="46"/>
      <c r="F1110" s="46"/>
      <c r="G1110" s="47"/>
      <c r="H1110" s="47"/>
      <c r="I1110" s="47"/>
      <c r="J1110" s="45" t="str">
        <f aca="false">IF($A1110="","",IF(COUNTIF(Accounts!$C$2:$C$201,$A1110)+COUNTIF('Service Principals'!$C$2:$C$201,$A1110)+COUNTIF('Managed Identities'!$C$2:$C$201,$A1110)&gt;0,"Yes","NOT IN INVENTORY"))</f>
        <v/>
      </c>
    </row>
    <row r="1111" customFormat="false" ht="15" hidden="false" customHeight="false" outlineLevel="0" collapsed="false">
      <c r="A1111" s="46"/>
      <c r="B1111" s="46"/>
      <c r="C1111" s="47"/>
      <c r="D1111" s="47"/>
      <c r="E1111" s="46"/>
      <c r="F1111" s="46"/>
      <c r="G1111" s="47"/>
      <c r="H1111" s="47"/>
      <c r="I1111" s="47"/>
      <c r="J1111" s="45" t="str">
        <f aca="false">IF($A1111="","",IF(COUNTIF(Accounts!$C$2:$C$201,$A1111)+COUNTIF('Service Principals'!$C$2:$C$201,$A1111)+COUNTIF('Managed Identities'!$C$2:$C$201,$A1111)&gt;0,"Yes","NOT IN INVENTORY"))</f>
        <v/>
      </c>
    </row>
    <row r="1112" customFormat="false" ht="15" hidden="false" customHeight="false" outlineLevel="0" collapsed="false">
      <c r="A1112" s="46"/>
      <c r="B1112" s="46"/>
      <c r="C1112" s="47"/>
      <c r="D1112" s="47"/>
      <c r="E1112" s="46"/>
      <c r="F1112" s="46"/>
      <c r="G1112" s="47"/>
      <c r="H1112" s="47"/>
      <c r="I1112" s="47"/>
      <c r="J1112" s="45" t="str">
        <f aca="false">IF($A1112="","",IF(COUNTIF(Accounts!$C$2:$C$201,$A1112)+COUNTIF('Service Principals'!$C$2:$C$201,$A1112)+COUNTIF('Managed Identities'!$C$2:$C$201,$A1112)&gt;0,"Yes","NOT IN INVENTORY"))</f>
        <v/>
      </c>
    </row>
    <row r="1113" customFormat="false" ht="15" hidden="false" customHeight="false" outlineLevel="0" collapsed="false">
      <c r="A1113" s="46"/>
      <c r="B1113" s="46"/>
      <c r="C1113" s="47"/>
      <c r="D1113" s="47"/>
      <c r="E1113" s="46"/>
      <c r="F1113" s="46"/>
      <c r="G1113" s="47"/>
      <c r="H1113" s="47"/>
      <c r="I1113" s="47"/>
      <c r="J1113" s="45" t="str">
        <f aca="false">IF($A1113="","",IF(COUNTIF(Accounts!$C$2:$C$201,$A1113)+COUNTIF('Service Principals'!$C$2:$C$201,$A1113)+COUNTIF('Managed Identities'!$C$2:$C$201,$A1113)&gt;0,"Yes","NOT IN INVENTORY"))</f>
        <v/>
      </c>
    </row>
    <row r="1114" customFormat="false" ht="15" hidden="false" customHeight="false" outlineLevel="0" collapsed="false">
      <c r="A1114" s="46"/>
      <c r="B1114" s="46"/>
      <c r="C1114" s="47"/>
      <c r="D1114" s="47"/>
      <c r="E1114" s="46"/>
      <c r="F1114" s="46"/>
      <c r="G1114" s="47"/>
      <c r="H1114" s="47"/>
      <c r="I1114" s="47"/>
      <c r="J1114" s="45" t="str">
        <f aca="false">IF($A1114="","",IF(COUNTIF(Accounts!$C$2:$C$201,$A1114)+COUNTIF('Service Principals'!$C$2:$C$201,$A1114)+COUNTIF('Managed Identities'!$C$2:$C$201,$A1114)&gt;0,"Yes","NOT IN INVENTORY"))</f>
        <v/>
      </c>
    </row>
    <row r="1115" customFormat="false" ht="15" hidden="false" customHeight="false" outlineLevel="0" collapsed="false">
      <c r="A1115" s="46"/>
      <c r="B1115" s="46"/>
      <c r="C1115" s="47"/>
      <c r="D1115" s="47"/>
      <c r="E1115" s="46"/>
      <c r="F1115" s="46"/>
      <c r="G1115" s="47"/>
      <c r="H1115" s="47"/>
      <c r="I1115" s="47"/>
      <c r="J1115" s="45" t="str">
        <f aca="false">IF($A1115="","",IF(COUNTIF(Accounts!$C$2:$C$201,$A1115)+COUNTIF('Service Principals'!$C$2:$C$201,$A1115)+COUNTIF('Managed Identities'!$C$2:$C$201,$A1115)&gt;0,"Yes","NOT IN INVENTORY"))</f>
        <v/>
      </c>
    </row>
    <row r="1116" customFormat="false" ht="15" hidden="false" customHeight="false" outlineLevel="0" collapsed="false">
      <c r="A1116" s="46"/>
      <c r="B1116" s="46"/>
      <c r="C1116" s="47"/>
      <c r="D1116" s="47"/>
      <c r="E1116" s="46"/>
      <c r="F1116" s="46"/>
      <c r="G1116" s="47"/>
      <c r="H1116" s="47"/>
      <c r="I1116" s="47"/>
      <c r="J1116" s="45" t="str">
        <f aca="false">IF($A1116="","",IF(COUNTIF(Accounts!$C$2:$C$201,$A1116)+COUNTIF('Service Principals'!$C$2:$C$201,$A1116)+COUNTIF('Managed Identities'!$C$2:$C$201,$A1116)&gt;0,"Yes","NOT IN INVENTORY"))</f>
        <v/>
      </c>
    </row>
    <row r="1117" customFormat="false" ht="15" hidden="false" customHeight="false" outlineLevel="0" collapsed="false">
      <c r="A1117" s="46"/>
      <c r="B1117" s="46"/>
      <c r="C1117" s="47"/>
      <c r="D1117" s="47"/>
      <c r="E1117" s="46"/>
      <c r="F1117" s="46"/>
      <c r="G1117" s="47"/>
      <c r="H1117" s="47"/>
      <c r="I1117" s="47"/>
      <c r="J1117" s="45" t="str">
        <f aca="false">IF($A1117="","",IF(COUNTIF(Accounts!$C$2:$C$201,$A1117)+COUNTIF('Service Principals'!$C$2:$C$201,$A1117)+COUNTIF('Managed Identities'!$C$2:$C$201,$A1117)&gt;0,"Yes","NOT IN INVENTORY"))</f>
        <v/>
      </c>
    </row>
    <row r="1118" customFormat="false" ht="15" hidden="false" customHeight="false" outlineLevel="0" collapsed="false">
      <c r="A1118" s="46"/>
      <c r="B1118" s="46"/>
      <c r="C1118" s="47"/>
      <c r="D1118" s="47"/>
      <c r="E1118" s="46"/>
      <c r="F1118" s="46"/>
      <c r="G1118" s="47"/>
      <c r="H1118" s="47"/>
      <c r="I1118" s="47"/>
      <c r="J1118" s="45" t="str">
        <f aca="false">IF($A1118="","",IF(COUNTIF(Accounts!$C$2:$C$201,$A1118)+COUNTIF('Service Principals'!$C$2:$C$201,$A1118)+COUNTIF('Managed Identities'!$C$2:$C$201,$A1118)&gt;0,"Yes","NOT IN INVENTORY"))</f>
        <v/>
      </c>
    </row>
    <row r="1119" customFormat="false" ht="15" hidden="false" customHeight="false" outlineLevel="0" collapsed="false">
      <c r="A1119" s="46"/>
      <c r="B1119" s="46"/>
      <c r="C1119" s="47"/>
      <c r="D1119" s="47"/>
      <c r="E1119" s="46"/>
      <c r="F1119" s="46"/>
      <c r="G1119" s="47"/>
      <c r="H1119" s="47"/>
      <c r="I1119" s="47"/>
      <c r="J1119" s="45" t="str">
        <f aca="false">IF($A1119="","",IF(COUNTIF(Accounts!$C$2:$C$201,$A1119)+COUNTIF('Service Principals'!$C$2:$C$201,$A1119)+COUNTIF('Managed Identities'!$C$2:$C$201,$A1119)&gt;0,"Yes","NOT IN INVENTORY"))</f>
        <v/>
      </c>
    </row>
    <row r="1120" customFormat="false" ht="15" hidden="false" customHeight="false" outlineLevel="0" collapsed="false">
      <c r="A1120" s="46"/>
      <c r="B1120" s="46"/>
      <c r="C1120" s="47"/>
      <c r="D1120" s="47"/>
      <c r="E1120" s="46"/>
      <c r="F1120" s="46"/>
      <c r="G1120" s="47"/>
      <c r="H1120" s="47"/>
      <c r="I1120" s="47"/>
      <c r="J1120" s="45" t="str">
        <f aca="false">IF($A1120="","",IF(COUNTIF(Accounts!$C$2:$C$201,$A1120)+COUNTIF('Service Principals'!$C$2:$C$201,$A1120)+COUNTIF('Managed Identities'!$C$2:$C$201,$A1120)&gt;0,"Yes","NOT IN INVENTORY"))</f>
        <v/>
      </c>
    </row>
    <row r="1121" customFormat="false" ht="15" hidden="false" customHeight="false" outlineLevel="0" collapsed="false">
      <c r="A1121" s="46"/>
      <c r="B1121" s="46"/>
      <c r="C1121" s="47"/>
      <c r="D1121" s="47"/>
      <c r="E1121" s="46"/>
      <c r="F1121" s="46"/>
      <c r="G1121" s="47"/>
      <c r="H1121" s="47"/>
      <c r="I1121" s="47"/>
      <c r="J1121" s="45" t="str">
        <f aca="false">IF($A1121="","",IF(COUNTIF(Accounts!$C$2:$C$201,$A1121)+COUNTIF('Service Principals'!$C$2:$C$201,$A1121)+COUNTIF('Managed Identities'!$C$2:$C$201,$A1121)&gt;0,"Yes","NOT IN INVENTORY"))</f>
        <v/>
      </c>
    </row>
    <row r="1122" customFormat="false" ht="15" hidden="false" customHeight="false" outlineLevel="0" collapsed="false">
      <c r="A1122" s="46"/>
      <c r="B1122" s="46"/>
      <c r="C1122" s="47"/>
      <c r="D1122" s="47"/>
      <c r="E1122" s="46"/>
      <c r="F1122" s="46"/>
      <c r="G1122" s="47"/>
      <c r="H1122" s="47"/>
      <c r="I1122" s="47"/>
      <c r="J1122" s="45" t="str">
        <f aca="false">IF($A1122="","",IF(COUNTIF(Accounts!$C$2:$C$201,$A1122)+COUNTIF('Service Principals'!$C$2:$C$201,$A1122)+COUNTIF('Managed Identities'!$C$2:$C$201,$A1122)&gt;0,"Yes","NOT IN INVENTORY"))</f>
        <v/>
      </c>
    </row>
    <row r="1123" customFormat="false" ht="15" hidden="false" customHeight="false" outlineLevel="0" collapsed="false">
      <c r="A1123" s="46"/>
      <c r="B1123" s="46"/>
      <c r="C1123" s="47"/>
      <c r="D1123" s="47"/>
      <c r="E1123" s="46"/>
      <c r="F1123" s="46"/>
      <c r="G1123" s="47"/>
      <c r="H1123" s="47"/>
      <c r="I1123" s="47"/>
      <c r="J1123" s="45" t="str">
        <f aca="false">IF($A1123="","",IF(COUNTIF(Accounts!$C$2:$C$201,$A1123)+COUNTIF('Service Principals'!$C$2:$C$201,$A1123)+COUNTIF('Managed Identities'!$C$2:$C$201,$A1123)&gt;0,"Yes","NOT IN INVENTORY"))</f>
        <v/>
      </c>
    </row>
    <row r="1124" customFormat="false" ht="15" hidden="false" customHeight="false" outlineLevel="0" collapsed="false">
      <c r="A1124" s="46"/>
      <c r="B1124" s="46"/>
      <c r="C1124" s="47"/>
      <c r="D1124" s="47"/>
      <c r="E1124" s="46"/>
      <c r="F1124" s="46"/>
      <c r="G1124" s="47"/>
      <c r="H1124" s="47"/>
      <c r="I1124" s="47"/>
      <c r="J1124" s="45" t="str">
        <f aca="false">IF($A1124="","",IF(COUNTIF(Accounts!$C$2:$C$201,$A1124)+COUNTIF('Service Principals'!$C$2:$C$201,$A1124)+COUNTIF('Managed Identities'!$C$2:$C$201,$A1124)&gt;0,"Yes","NOT IN INVENTORY"))</f>
        <v/>
      </c>
    </row>
    <row r="1125" customFormat="false" ht="15" hidden="false" customHeight="false" outlineLevel="0" collapsed="false">
      <c r="A1125" s="46"/>
      <c r="B1125" s="46"/>
      <c r="C1125" s="47"/>
      <c r="D1125" s="47"/>
      <c r="E1125" s="46"/>
      <c r="F1125" s="46"/>
      <c r="G1125" s="47"/>
      <c r="H1125" s="47"/>
      <c r="I1125" s="47"/>
      <c r="J1125" s="45" t="str">
        <f aca="false">IF($A1125="","",IF(COUNTIF(Accounts!$C$2:$C$201,$A1125)+COUNTIF('Service Principals'!$C$2:$C$201,$A1125)+COUNTIF('Managed Identities'!$C$2:$C$201,$A1125)&gt;0,"Yes","NOT IN INVENTORY"))</f>
        <v/>
      </c>
    </row>
    <row r="1126" customFormat="false" ht="15" hidden="false" customHeight="false" outlineLevel="0" collapsed="false">
      <c r="A1126" s="46"/>
      <c r="B1126" s="46"/>
      <c r="C1126" s="47"/>
      <c r="D1126" s="47"/>
      <c r="E1126" s="46"/>
      <c r="F1126" s="46"/>
      <c r="G1126" s="47"/>
      <c r="H1126" s="47"/>
      <c r="I1126" s="47"/>
      <c r="J1126" s="45" t="str">
        <f aca="false">IF($A1126="","",IF(COUNTIF(Accounts!$C$2:$C$201,$A1126)+COUNTIF('Service Principals'!$C$2:$C$201,$A1126)+COUNTIF('Managed Identities'!$C$2:$C$201,$A1126)&gt;0,"Yes","NOT IN INVENTORY"))</f>
        <v/>
      </c>
    </row>
    <row r="1127" customFormat="false" ht="15" hidden="false" customHeight="false" outlineLevel="0" collapsed="false">
      <c r="A1127" s="46"/>
      <c r="B1127" s="46"/>
      <c r="C1127" s="47"/>
      <c r="D1127" s="47"/>
      <c r="E1127" s="46"/>
      <c r="F1127" s="46"/>
      <c r="G1127" s="47"/>
      <c r="H1127" s="47"/>
      <c r="I1127" s="47"/>
      <c r="J1127" s="45" t="str">
        <f aca="false">IF($A1127="","",IF(COUNTIF(Accounts!$C$2:$C$201,$A1127)+COUNTIF('Service Principals'!$C$2:$C$201,$A1127)+COUNTIF('Managed Identities'!$C$2:$C$201,$A1127)&gt;0,"Yes","NOT IN INVENTORY"))</f>
        <v/>
      </c>
    </row>
    <row r="1128" customFormat="false" ht="15" hidden="false" customHeight="false" outlineLevel="0" collapsed="false">
      <c r="A1128" s="46"/>
      <c r="B1128" s="46"/>
      <c r="C1128" s="47"/>
      <c r="D1128" s="47"/>
      <c r="E1128" s="46"/>
      <c r="F1128" s="46"/>
      <c r="G1128" s="47"/>
      <c r="H1128" s="47"/>
      <c r="I1128" s="47"/>
      <c r="J1128" s="45" t="str">
        <f aca="false">IF($A1128="","",IF(COUNTIF(Accounts!$C$2:$C$201,$A1128)+COUNTIF('Service Principals'!$C$2:$C$201,$A1128)+COUNTIF('Managed Identities'!$C$2:$C$201,$A1128)&gt;0,"Yes","NOT IN INVENTORY"))</f>
        <v/>
      </c>
    </row>
    <row r="1129" customFormat="false" ht="15" hidden="false" customHeight="false" outlineLevel="0" collapsed="false">
      <c r="A1129" s="46"/>
      <c r="B1129" s="46"/>
      <c r="C1129" s="47"/>
      <c r="D1129" s="47"/>
      <c r="E1129" s="46"/>
      <c r="F1129" s="46"/>
      <c r="G1129" s="47"/>
      <c r="H1129" s="47"/>
      <c r="I1129" s="47"/>
      <c r="J1129" s="45" t="str">
        <f aca="false">IF($A1129="","",IF(COUNTIF(Accounts!$C$2:$C$201,$A1129)+COUNTIF('Service Principals'!$C$2:$C$201,$A1129)+COUNTIF('Managed Identities'!$C$2:$C$201,$A1129)&gt;0,"Yes","NOT IN INVENTORY"))</f>
        <v/>
      </c>
    </row>
    <row r="1130" customFormat="false" ht="15" hidden="false" customHeight="false" outlineLevel="0" collapsed="false">
      <c r="A1130" s="46"/>
      <c r="B1130" s="46"/>
      <c r="C1130" s="47"/>
      <c r="D1130" s="47"/>
      <c r="E1130" s="46"/>
      <c r="F1130" s="46"/>
      <c r="G1130" s="47"/>
      <c r="H1130" s="47"/>
      <c r="I1130" s="47"/>
      <c r="J1130" s="45" t="str">
        <f aca="false">IF($A1130="","",IF(COUNTIF(Accounts!$C$2:$C$201,$A1130)+COUNTIF('Service Principals'!$C$2:$C$201,$A1130)+COUNTIF('Managed Identities'!$C$2:$C$201,$A1130)&gt;0,"Yes","NOT IN INVENTORY"))</f>
        <v/>
      </c>
    </row>
    <row r="1131" customFormat="false" ht="15" hidden="false" customHeight="false" outlineLevel="0" collapsed="false">
      <c r="A1131" s="46"/>
      <c r="B1131" s="46"/>
      <c r="C1131" s="47"/>
      <c r="D1131" s="47"/>
      <c r="E1131" s="46"/>
      <c r="F1131" s="46"/>
      <c r="G1131" s="47"/>
      <c r="H1131" s="47"/>
      <c r="I1131" s="47"/>
      <c r="J1131" s="45" t="str">
        <f aca="false">IF($A1131="","",IF(COUNTIF(Accounts!$C$2:$C$201,$A1131)+COUNTIF('Service Principals'!$C$2:$C$201,$A1131)+COUNTIF('Managed Identities'!$C$2:$C$201,$A1131)&gt;0,"Yes","NOT IN INVENTORY"))</f>
        <v/>
      </c>
    </row>
    <row r="1132" customFormat="false" ht="15" hidden="false" customHeight="false" outlineLevel="0" collapsed="false">
      <c r="A1132" s="46"/>
      <c r="B1132" s="46"/>
      <c r="C1132" s="47"/>
      <c r="D1132" s="47"/>
      <c r="E1132" s="46"/>
      <c r="F1132" s="46"/>
      <c r="G1132" s="47"/>
      <c r="H1132" s="47"/>
      <c r="I1132" s="47"/>
      <c r="J1132" s="45" t="str">
        <f aca="false">IF($A1132="","",IF(COUNTIF(Accounts!$C$2:$C$201,$A1132)+COUNTIF('Service Principals'!$C$2:$C$201,$A1132)+COUNTIF('Managed Identities'!$C$2:$C$201,$A1132)&gt;0,"Yes","NOT IN INVENTORY"))</f>
        <v/>
      </c>
    </row>
    <row r="1133" customFormat="false" ht="15" hidden="false" customHeight="false" outlineLevel="0" collapsed="false">
      <c r="A1133" s="46"/>
      <c r="B1133" s="46"/>
      <c r="C1133" s="47"/>
      <c r="D1133" s="47"/>
      <c r="E1133" s="46"/>
      <c r="F1133" s="46"/>
      <c r="G1133" s="47"/>
      <c r="H1133" s="47"/>
      <c r="I1133" s="47"/>
      <c r="J1133" s="45" t="str">
        <f aca="false">IF($A1133="","",IF(COUNTIF(Accounts!$C$2:$C$201,$A1133)+COUNTIF('Service Principals'!$C$2:$C$201,$A1133)+COUNTIF('Managed Identities'!$C$2:$C$201,$A1133)&gt;0,"Yes","NOT IN INVENTORY"))</f>
        <v/>
      </c>
    </row>
    <row r="1134" customFormat="false" ht="15" hidden="false" customHeight="false" outlineLevel="0" collapsed="false">
      <c r="A1134" s="46"/>
      <c r="B1134" s="46"/>
      <c r="C1134" s="47"/>
      <c r="D1134" s="47"/>
      <c r="E1134" s="46"/>
      <c r="F1134" s="46"/>
      <c r="G1134" s="47"/>
      <c r="H1134" s="47"/>
      <c r="I1134" s="47"/>
      <c r="J1134" s="45" t="str">
        <f aca="false">IF($A1134="","",IF(COUNTIF(Accounts!$C$2:$C$201,$A1134)+COUNTIF('Service Principals'!$C$2:$C$201,$A1134)+COUNTIF('Managed Identities'!$C$2:$C$201,$A1134)&gt;0,"Yes","NOT IN INVENTORY"))</f>
        <v/>
      </c>
    </row>
    <row r="1135" customFormat="false" ht="15" hidden="false" customHeight="false" outlineLevel="0" collapsed="false">
      <c r="A1135" s="46"/>
      <c r="B1135" s="46"/>
      <c r="C1135" s="47"/>
      <c r="D1135" s="47"/>
      <c r="E1135" s="46"/>
      <c r="F1135" s="46"/>
      <c r="G1135" s="47"/>
      <c r="H1135" s="47"/>
      <c r="I1135" s="47"/>
      <c r="J1135" s="45" t="str">
        <f aca="false">IF($A1135="","",IF(COUNTIF(Accounts!$C$2:$C$201,$A1135)+COUNTIF('Service Principals'!$C$2:$C$201,$A1135)+COUNTIF('Managed Identities'!$C$2:$C$201,$A1135)&gt;0,"Yes","NOT IN INVENTORY"))</f>
        <v/>
      </c>
    </row>
    <row r="1136" customFormat="false" ht="15" hidden="false" customHeight="false" outlineLevel="0" collapsed="false">
      <c r="A1136" s="46"/>
      <c r="B1136" s="46"/>
      <c r="C1136" s="47"/>
      <c r="D1136" s="47"/>
      <c r="E1136" s="46"/>
      <c r="F1136" s="46"/>
      <c r="G1136" s="47"/>
      <c r="H1136" s="47"/>
      <c r="I1136" s="47"/>
      <c r="J1136" s="45" t="str">
        <f aca="false">IF($A1136="","",IF(COUNTIF(Accounts!$C$2:$C$201,$A1136)+COUNTIF('Service Principals'!$C$2:$C$201,$A1136)+COUNTIF('Managed Identities'!$C$2:$C$201,$A1136)&gt;0,"Yes","NOT IN INVENTORY"))</f>
        <v/>
      </c>
    </row>
    <row r="1137" customFormat="false" ht="15" hidden="false" customHeight="false" outlineLevel="0" collapsed="false">
      <c r="A1137" s="46"/>
      <c r="B1137" s="46"/>
      <c r="C1137" s="47"/>
      <c r="D1137" s="47"/>
      <c r="E1137" s="46"/>
      <c r="F1137" s="46"/>
      <c r="G1137" s="47"/>
      <c r="H1137" s="47"/>
      <c r="I1137" s="47"/>
      <c r="J1137" s="45" t="str">
        <f aca="false">IF($A1137="","",IF(COUNTIF(Accounts!$C$2:$C$201,$A1137)+COUNTIF('Service Principals'!$C$2:$C$201,$A1137)+COUNTIF('Managed Identities'!$C$2:$C$201,$A1137)&gt;0,"Yes","NOT IN INVENTORY"))</f>
        <v/>
      </c>
    </row>
    <row r="1138" customFormat="false" ht="15" hidden="false" customHeight="false" outlineLevel="0" collapsed="false">
      <c r="A1138" s="46"/>
      <c r="B1138" s="46"/>
      <c r="C1138" s="47"/>
      <c r="D1138" s="47"/>
      <c r="E1138" s="46"/>
      <c r="F1138" s="46"/>
      <c r="G1138" s="47"/>
      <c r="H1138" s="47"/>
      <c r="I1138" s="47"/>
      <c r="J1138" s="45" t="str">
        <f aca="false">IF($A1138="","",IF(COUNTIF(Accounts!$C$2:$C$201,$A1138)+COUNTIF('Service Principals'!$C$2:$C$201,$A1138)+COUNTIF('Managed Identities'!$C$2:$C$201,$A1138)&gt;0,"Yes","NOT IN INVENTORY"))</f>
        <v/>
      </c>
    </row>
    <row r="1139" customFormat="false" ht="15" hidden="false" customHeight="false" outlineLevel="0" collapsed="false">
      <c r="A1139" s="46"/>
      <c r="B1139" s="46"/>
      <c r="C1139" s="47"/>
      <c r="D1139" s="47"/>
      <c r="E1139" s="46"/>
      <c r="F1139" s="46"/>
      <c r="G1139" s="47"/>
      <c r="H1139" s="47"/>
      <c r="I1139" s="47"/>
      <c r="J1139" s="45" t="str">
        <f aca="false">IF($A1139="","",IF(COUNTIF(Accounts!$C$2:$C$201,$A1139)+COUNTIF('Service Principals'!$C$2:$C$201,$A1139)+COUNTIF('Managed Identities'!$C$2:$C$201,$A1139)&gt;0,"Yes","NOT IN INVENTORY"))</f>
        <v/>
      </c>
    </row>
    <row r="1140" customFormat="false" ht="15" hidden="false" customHeight="false" outlineLevel="0" collapsed="false">
      <c r="A1140" s="46"/>
      <c r="B1140" s="46"/>
      <c r="C1140" s="47"/>
      <c r="D1140" s="47"/>
      <c r="E1140" s="46"/>
      <c r="F1140" s="46"/>
      <c r="G1140" s="47"/>
      <c r="H1140" s="47"/>
      <c r="I1140" s="47"/>
      <c r="J1140" s="45" t="str">
        <f aca="false">IF($A1140="","",IF(COUNTIF(Accounts!$C$2:$C$201,$A1140)+COUNTIF('Service Principals'!$C$2:$C$201,$A1140)+COUNTIF('Managed Identities'!$C$2:$C$201,$A1140)&gt;0,"Yes","NOT IN INVENTORY"))</f>
        <v/>
      </c>
    </row>
    <row r="1141" customFormat="false" ht="15" hidden="false" customHeight="false" outlineLevel="0" collapsed="false">
      <c r="A1141" s="46"/>
      <c r="B1141" s="46"/>
      <c r="C1141" s="47"/>
      <c r="D1141" s="47"/>
      <c r="E1141" s="46"/>
      <c r="F1141" s="46"/>
      <c r="G1141" s="47"/>
      <c r="H1141" s="47"/>
      <c r="I1141" s="47"/>
      <c r="J1141" s="45" t="str">
        <f aca="false">IF($A1141="","",IF(COUNTIF(Accounts!$C$2:$C$201,$A1141)+COUNTIF('Service Principals'!$C$2:$C$201,$A1141)+COUNTIF('Managed Identities'!$C$2:$C$201,$A1141)&gt;0,"Yes","NOT IN INVENTORY"))</f>
        <v/>
      </c>
    </row>
    <row r="1142" customFormat="false" ht="15" hidden="false" customHeight="false" outlineLevel="0" collapsed="false">
      <c r="A1142" s="46"/>
      <c r="B1142" s="46"/>
      <c r="C1142" s="47"/>
      <c r="D1142" s="47"/>
      <c r="E1142" s="46"/>
      <c r="F1142" s="46"/>
      <c r="G1142" s="47"/>
      <c r="H1142" s="47"/>
      <c r="I1142" s="47"/>
      <c r="J1142" s="45" t="str">
        <f aca="false">IF($A1142="","",IF(COUNTIF(Accounts!$C$2:$C$201,$A1142)+COUNTIF('Service Principals'!$C$2:$C$201,$A1142)+COUNTIF('Managed Identities'!$C$2:$C$201,$A1142)&gt;0,"Yes","NOT IN INVENTORY"))</f>
        <v/>
      </c>
    </row>
    <row r="1143" customFormat="false" ht="15" hidden="false" customHeight="false" outlineLevel="0" collapsed="false">
      <c r="A1143" s="46"/>
      <c r="B1143" s="46"/>
      <c r="C1143" s="47"/>
      <c r="D1143" s="47"/>
      <c r="E1143" s="46"/>
      <c r="F1143" s="46"/>
      <c r="G1143" s="47"/>
      <c r="H1143" s="47"/>
      <c r="I1143" s="47"/>
      <c r="J1143" s="45" t="str">
        <f aca="false">IF($A1143="","",IF(COUNTIF(Accounts!$C$2:$C$201,$A1143)+COUNTIF('Service Principals'!$C$2:$C$201,$A1143)+COUNTIF('Managed Identities'!$C$2:$C$201,$A1143)&gt;0,"Yes","NOT IN INVENTORY"))</f>
        <v/>
      </c>
    </row>
    <row r="1144" customFormat="false" ht="15" hidden="false" customHeight="false" outlineLevel="0" collapsed="false">
      <c r="A1144" s="46"/>
      <c r="B1144" s="46"/>
      <c r="C1144" s="47"/>
      <c r="D1144" s="47"/>
      <c r="E1144" s="46"/>
      <c r="F1144" s="46"/>
      <c r="G1144" s="47"/>
      <c r="H1144" s="47"/>
      <c r="I1144" s="47"/>
      <c r="J1144" s="45" t="str">
        <f aca="false">IF($A1144="","",IF(COUNTIF(Accounts!$C$2:$C$201,$A1144)+COUNTIF('Service Principals'!$C$2:$C$201,$A1144)+COUNTIF('Managed Identities'!$C$2:$C$201,$A1144)&gt;0,"Yes","NOT IN INVENTORY"))</f>
        <v/>
      </c>
    </row>
    <row r="1145" customFormat="false" ht="15" hidden="false" customHeight="false" outlineLevel="0" collapsed="false">
      <c r="A1145" s="46"/>
      <c r="B1145" s="46"/>
      <c r="C1145" s="47"/>
      <c r="D1145" s="47"/>
      <c r="E1145" s="46"/>
      <c r="F1145" s="46"/>
      <c r="G1145" s="47"/>
      <c r="H1145" s="47"/>
      <c r="I1145" s="47"/>
      <c r="J1145" s="45" t="str">
        <f aca="false">IF($A1145="","",IF(COUNTIF(Accounts!$C$2:$C$201,$A1145)+COUNTIF('Service Principals'!$C$2:$C$201,$A1145)+COUNTIF('Managed Identities'!$C$2:$C$201,$A1145)&gt;0,"Yes","NOT IN INVENTORY"))</f>
        <v/>
      </c>
    </row>
    <row r="1146" customFormat="false" ht="15" hidden="false" customHeight="false" outlineLevel="0" collapsed="false">
      <c r="A1146" s="46"/>
      <c r="B1146" s="46"/>
      <c r="C1146" s="47"/>
      <c r="D1146" s="47"/>
      <c r="E1146" s="46"/>
      <c r="F1146" s="46"/>
      <c r="G1146" s="47"/>
      <c r="H1146" s="47"/>
      <c r="I1146" s="47"/>
      <c r="J1146" s="45" t="str">
        <f aca="false">IF($A1146="","",IF(COUNTIF(Accounts!$C$2:$C$201,$A1146)+COUNTIF('Service Principals'!$C$2:$C$201,$A1146)+COUNTIF('Managed Identities'!$C$2:$C$201,$A1146)&gt;0,"Yes","NOT IN INVENTORY"))</f>
        <v/>
      </c>
    </row>
    <row r="1147" customFormat="false" ht="15" hidden="false" customHeight="false" outlineLevel="0" collapsed="false">
      <c r="A1147" s="46"/>
      <c r="B1147" s="46"/>
      <c r="C1147" s="47"/>
      <c r="D1147" s="47"/>
      <c r="E1147" s="46"/>
      <c r="F1147" s="46"/>
      <c r="G1147" s="47"/>
      <c r="H1147" s="47"/>
      <c r="I1147" s="47"/>
      <c r="J1147" s="45" t="str">
        <f aca="false">IF($A1147="","",IF(COUNTIF(Accounts!$C$2:$C$201,$A1147)+COUNTIF('Service Principals'!$C$2:$C$201,$A1147)+COUNTIF('Managed Identities'!$C$2:$C$201,$A1147)&gt;0,"Yes","NOT IN INVENTORY"))</f>
        <v/>
      </c>
    </row>
    <row r="1148" customFormat="false" ht="15" hidden="false" customHeight="false" outlineLevel="0" collapsed="false">
      <c r="A1148" s="46"/>
      <c r="B1148" s="46"/>
      <c r="C1148" s="47"/>
      <c r="D1148" s="47"/>
      <c r="E1148" s="46"/>
      <c r="F1148" s="46"/>
      <c r="G1148" s="47"/>
      <c r="H1148" s="47"/>
      <c r="I1148" s="47"/>
      <c r="J1148" s="45" t="str">
        <f aca="false">IF($A1148="","",IF(COUNTIF(Accounts!$C$2:$C$201,$A1148)+COUNTIF('Service Principals'!$C$2:$C$201,$A1148)+COUNTIF('Managed Identities'!$C$2:$C$201,$A1148)&gt;0,"Yes","NOT IN INVENTORY"))</f>
        <v/>
      </c>
    </row>
    <row r="1149" customFormat="false" ht="15" hidden="false" customHeight="false" outlineLevel="0" collapsed="false">
      <c r="A1149" s="46"/>
      <c r="B1149" s="46"/>
      <c r="C1149" s="47"/>
      <c r="D1149" s="47"/>
      <c r="E1149" s="46"/>
      <c r="F1149" s="46"/>
      <c r="G1149" s="47"/>
      <c r="H1149" s="47"/>
      <c r="I1149" s="47"/>
      <c r="J1149" s="45" t="str">
        <f aca="false">IF($A1149="","",IF(COUNTIF(Accounts!$C$2:$C$201,$A1149)+COUNTIF('Service Principals'!$C$2:$C$201,$A1149)+COUNTIF('Managed Identities'!$C$2:$C$201,$A1149)&gt;0,"Yes","NOT IN INVENTORY"))</f>
        <v/>
      </c>
    </row>
    <row r="1150" customFormat="false" ht="15" hidden="false" customHeight="false" outlineLevel="0" collapsed="false">
      <c r="A1150" s="46"/>
      <c r="B1150" s="46"/>
      <c r="C1150" s="47"/>
      <c r="D1150" s="47"/>
      <c r="E1150" s="46"/>
      <c r="F1150" s="46"/>
      <c r="G1150" s="47"/>
      <c r="H1150" s="47"/>
      <c r="I1150" s="47"/>
      <c r="J1150" s="45" t="str">
        <f aca="false">IF($A1150="","",IF(COUNTIF(Accounts!$C$2:$C$201,$A1150)+COUNTIF('Service Principals'!$C$2:$C$201,$A1150)+COUNTIF('Managed Identities'!$C$2:$C$201,$A1150)&gt;0,"Yes","NOT IN INVENTORY"))</f>
        <v/>
      </c>
    </row>
    <row r="1151" customFormat="false" ht="15" hidden="false" customHeight="false" outlineLevel="0" collapsed="false">
      <c r="A1151" s="46"/>
      <c r="B1151" s="46"/>
      <c r="C1151" s="47"/>
      <c r="D1151" s="47"/>
      <c r="E1151" s="46"/>
      <c r="F1151" s="46"/>
      <c r="G1151" s="47"/>
      <c r="H1151" s="47"/>
      <c r="I1151" s="47"/>
      <c r="J1151" s="45" t="str">
        <f aca="false">IF($A1151="","",IF(COUNTIF(Accounts!$C$2:$C$201,$A1151)+COUNTIF('Service Principals'!$C$2:$C$201,$A1151)+COUNTIF('Managed Identities'!$C$2:$C$201,$A1151)&gt;0,"Yes","NOT IN INVENTORY"))</f>
        <v/>
      </c>
    </row>
    <row r="1152" customFormat="false" ht="15" hidden="false" customHeight="false" outlineLevel="0" collapsed="false">
      <c r="A1152" s="46"/>
      <c r="B1152" s="46"/>
      <c r="C1152" s="47"/>
      <c r="D1152" s="47"/>
      <c r="E1152" s="46"/>
      <c r="F1152" s="46"/>
      <c r="G1152" s="47"/>
      <c r="H1152" s="47"/>
      <c r="I1152" s="47"/>
      <c r="J1152" s="45" t="str">
        <f aca="false">IF($A1152="","",IF(COUNTIF(Accounts!$C$2:$C$201,$A1152)+COUNTIF('Service Principals'!$C$2:$C$201,$A1152)+COUNTIF('Managed Identities'!$C$2:$C$201,$A1152)&gt;0,"Yes","NOT IN INVENTORY"))</f>
        <v/>
      </c>
    </row>
    <row r="1153" customFormat="false" ht="15" hidden="false" customHeight="false" outlineLevel="0" collapsed="false">
      <c r="A1153" s="46"/>
      <c r="B1153" s="46"/>
      <c r="C1153" s="47"/>
      <c r="D1153" s="47"/>
      <c r="E1153" s="46"/>
      <c r="F1153" s="46"/>
      <c r="G1153" s="47"/>
      <c r="H1153" s="47"/>
      <c r="I1153" s="47"/>
      <c r="J1153" s="45" t="str">
        <f aca="false">IF($A1153="","",IF(COUNTIF(Accounts!$C$2:$C$201,$A1153)+COUNTIF('Service Principals'!$C$2:$C$201,$A1153)+COUNTIF('Managed Identities'!$C$2:$C$201,$A1153)&gt;0,"Yes","NOT IN INVENTORY"))</f>
        <v/>
      </c>
    </row>
    <row r="1154" customFormat="false" ht="15" hidden="false" customHeight="false" outlineLevel="0" collapsed="false">
      <c r="A1154" s="46"/>
      <c r="B1154" s="46"/>
      <c r="C1154" s="47"/>
      <c r="D1154" s="47"/>
      <c r="E1154" s="46"/>
      <c r="F1154" s="46"/>
      <c r="G1154" s="47"/>
      <c r="H1154" s="47"/>
      <c r="I1154" s="47"/>
      <c r="J1154" s="45" t="str">
        <f aca="false">IF($A1154="","",IF(COUNTIF(Accounts!$C$2:$C$201,$A1154)+COUNTIF('Service Principals'!$C$2:$C$201,$A1154)+COUNTIF('Managed Identities'!$C$2:$C$201,$A1154)&gt;0,"Yes","NOT IN INVENTORY"))</f>
        <v/>
      </c>
    </row>
    <row r="1155" customFormat="false" ht="15" hidden="false" customHeight="false" outlineLevel="0" collapsed="false">
      <c r="A1155" s="46"/>
      <c r="B1155" s="46"/>
      <c r="C1155" s="47"/>
      <c r="D1155" s="47"/>
      <c r="E1155" s="46"/>
      <c r="F1155" s="46"/>
      <c r="G1155" s="47"/>
      <c r="H1155" s="47"/>
      <c r="I1155" s="47"/>
      <c r="J1155" s="45" t="str">
        <f aca="false">IF($A1155="","",IF(COUNTIF(Accounts!$C$2:$C$201,$A1155)+COUNTIF('Service Principals'!$C$2:$C$201,$A1155)+COUNTIF('Managed Identities'!$C$2:$C$201,$A1155)&gt;0,"Yes","NOT IN INVENTORY"))</f>
        <v/>
      </c>
    </row>
    <row r="1156" customFormat="false" ht="15" hidden="false" customHeight="false" outlineLevel="0" collapsed="false">
      <c r="A1156" s="46"/>
      <c r="B1156" s="46"/>
      <c r="C1156" s="47"/>
      <c r="D1156" s="47"/>
      <c r="E1156" s="46"/>
      <c r="F1156" s="46"/>
      <c r="G1156" s="47"/>
      <c r="H1156" s="47"/>
      <c r="I1156" s="47"/>
      <c r="J1156" s="45" t="str">
        <f aca="false">IF($A1156="","",IF(COUNTIF(Accounts!$C$2:$C$201,$A1156)+COUNTIF('Service Principals'!$C$2:$C$201,$A1156)+COUNTIF('Managed Identities'!$C$2:$C$201,$A1156)&gt;0,"Yes","NOT IN INVENTORY"))</f>
        <v/>
      </c>
    </row>
    <row r="1157" customFormat="false" ht="15" hidden="false" customHeight="false" outlineLevel="0" collapsed="false">
      <c r="A1157" s="46"/>
      <c r="B1157" s="46"/>
      <c r="C1157" s="47"/>
      <c r="D1157" s="47"/>
      <c r="E1157" s="46"/>
      <c r="F1157" s="46"/>
      <c r="G1157" s="47"/>
      <c r="H1157" s="47"/>
      <c r="I1157" s="47"/>
      <c r="J1157" s="45" t="str">
        <f aca="false">IF($A1157="","",IF(COUNTIF(Accounts!$C$2:$C$201,$A1157)+COUNTIF('Service Principals'!$C$2:$C$201,$A1157)+COUNTIF('Managed Identities'!$C$2:$C$201,$A1157)&gt;0,"Yes","NOT IN INVENTORY"))</f>
        <v/>
      </c>
    </row>
    <row r="1158" customFormat="false" ht="15" hidden="false" customHeight="false" outlineLevel="0" collapsed="false">
      <c r="A1158" s="46"/>
      <c r="B1158" s="46"/>
      <c r="C1158" s="47"/>
      <c r="D1158" s="47"/>
      <c r="E1158" s="46"/>
      <c r="F1158" s="46"/>
      <c r="G1158" s="47"/>
      <c r="H1158" s="47"/>
      <c r="I1158" s="47"/>
      <c r="J1158" s="45" t="str">
        <f aca="false">IF($A1158="","",IF(COUNTIF(Accounts!$C$2:$C$201,$A1158)+COUNTIF('Service Principals'!$C$2:$C$201,$A1158)+COUNTIF('Managed Identities'!$C$2:$C$201,$A1158)&gt;0,"Yes","NOT IN INVENTORY"))</f>
        <v/>
      </c>
    </row>
    <row r="1159" customFormat="false" ht="15" hidden="false" customHeight="false" outlineLevel="0" collapsed="false">
      <c r="A1159" s="46"/>
      <c r="B1159" s="46"/>
      <c r="C1159" s="47"/>
      <c r="D1159" s="47"/>
      <c r="E1159" s="46"/>
      <c r="F1159" s="46"/>
      <c r="G1159" s="47"/>
      <c r="H1159" s="47"/>
      <c r="I1159" s="47"/>
      <c r="J1159" s="45" t="str">
        <f aca="false">IF($A1159="","",IF(COUNTIF(Accounts!$C$2:$C$201,$A1159)+COUNTIF('Service Principals'!$C$2:$C$201,$A1159)+COUNTIF('Managed Identities'!$C$2:$C$201,$A1159)&gt;0,"Yes","NOT IN INVENTORY"))</f>
        <v/>
      </c>
    </row>
    <row r="1160" customFormat="false" ht="15" hidden="false" customHeight="false" outlineLevel="0" collapsed="false">
      <c r="A1160" s="46"/>
      <c r="B1160" s="46"/>
      <c r="C1160" s="47"/>
      <c r="D1160" s="47"/>
      <c r="E1160" s="46"/>
      <c r="F1160" s="46"/>
      <c r="G1160" s="47"/>
      <c r="H1160" s="47"/>
      <c r="I1160" s="47"/>
      <c r="J1160" s="45" t="str">
        <f aca="false">IF($A1160="","",IF(COUNTIF(Accounts!$C$2:$C$201,$A1160)+COUNTIF('Service Principals'!$C$2:$C$201,$A1160)+COUNTIF('Managed Identities'!$C$2:$C$201,$A1160)&gt;0,"Yes","NOT IN INVENTORY"))</f>
        <v/>
      </c>
    </row>
    <row r="1161" customFormat="false" ht="15" hidden="false" customHeight="false" outlineLevel="0" collapsed="false">
      <c r="A1161" s="46"/>
      <c r="B1161" s="46"/>
      <c r="C1161" s="47"/>
      <c r="D1161" s="47"/>
      <c r="E1161" s="46"/>
      <c r="F1161" s="46"/>
      <c r="G1161" s="47"/>
      <c r="H1161" s="47"/>
      <c r="I1161" s="47"/>
      <c r="J1161" s="45" t="str">
        <f aca="false">IF($A1161="","",IF(COUNTIF(Accounts!$C$2:$C$201,$A1161)+COUNTIF('Service Principals'!$C$2:$C$201,$A1161)+COUNTIF('Managed Identities'!$C$2:$C$201,$A1161)&gt;0,"Yes","NOT IN INVENTORY"))</f>
        <v/>
      </c>
    </row>
    <row r="1162" customFormat="false" ht="15" hidden="false" customHeight="false" outlineLevel="0" collapsed="false">
      <c r="A1162" s="46"/>
      <c r="B1162" s="46"/>
      <c r="C1162" s="47"/>
      <c r="D1162" s="47"/>
      <c r="E1162" s="46"/>
      <c r="F1162" s="46"/>
      <c r="G1162" s="47"/>
      <c r="H1162" s="47"/>
      <c r="I1162" s="47"/>
      <c r="J1162" s="45" t="str">
        <f aca="false">IF($A1162="","",IF(COUNTIF(Accounts!$C$2:$C$201,$A1162)+COUNTIF('Service Principals'!$C$2:$C$201,$A1162)+COUNTIF('Managed Identities'!$C$2:$C$201,$A1162)&gt;0,"Yes","NOT IN INVENTORY"))</f>
        <v/>
      </c>
    </row>
    <row r="1163" customFormat="false" ht="15" hidden="false" customHeight="false" outlineLevel="0" collapsed="false">
      <c r="A1163" s="46"/>
      <c r="B1163" s="46"/>
      <c r="C1163" s="47"/>
      <c r="D1163" s="47"/>
      <c r="E1163" s="46"/>
      <c r="F1163" s="46"/>
      <c r="G1163" s="47"/>
      <c r="H1163" s="47"/>
      <c r="I1163" s="47"/>
      <c r="J1163" s="45" t="str">
        <f aca="false">IF($A1163="","",IF(COUNTIF(Accounts!$C$2:$C$201,$A1163)+COUNTIF('Service Principals'!$C$2:$C$201,$A1163)+COUNTIF('Managed Identities'!$C$2:$C$201,$A1163)&gt;0,"Yes","NOT IN INVENTORY"))</f>
        <v/>
      </c>
    </row>
    <row r="1164" customFormat="false" ht="15" hidden="false" customHeight="false" outlineLevel="0" collapsed="false">
      <c r="A1164" s="46"/>
      <c r="B1164" s="46"/>
      <c r="C1164" s="47"/>
      <c r="D1164" s="47"/>
      <c r="E1164" s="46"/>
      <c r="F1164" s="46"/>
      <c r="G1164" s="47"/>
      <c r="H1164" s="47"/>
      <c r="I1164" s="47"/>
      <c r="J1164" s="45" t="str">
        <f aca="false">IF($A1164="","",IF(COUNTIF(Accounts!$C$2:$C$201,$A1164)+COUNTIF('Service Principals'!$C$2:$C$201,$A1164)+COUNTIF('Managed Identities'!$C$2:$C$201,$A1164)&gt;0,"Yes","NOT IN INVENTORY"))</f>
        <v/>
      </c>
    </row>
    <row r="1165" customFormat="false" ht="15" hidden="false" customHeight="false" outlineLevel="0" collapsed="false">
      <c r="A1165" s="46"/>
      <c r="B1165" s="46"/>
      <c r="C1165" s="47"/>
      <c r="D1165" s="47"/>
      <c r="E1165" s="46"/>
      <c r="F1165" s="46"/>
      <c r="G1165" s="47"/>
      <c r="H1165" s="47"/>
      <c r="I1165" s="47"/>
      <c r="J1165" s="45" t="str">
        <f aca="false">IF($A1165="","",IF(COUNTIF(Accounts!$C$2:$C$201,$A1165)+COUNTIF('Service Principals'!$C$2:$C$201,$A1165)+COUNTIF('Managed Identities'!$C$2:$C$201,$A1165)&gt;0,"Yes","NOT IN INVENTORY"))</f>
        <v/>
      </c>
    </row>
    <row r="1166" customFormat="false" ht="15" hidden="false" customHeight="false" outlineLevel="0" collapsed="false">
      <c r="A1166" s="46"/>
      <c r="B1166" s="46"/>
      <c r="C1166" s="47"/>
      <c r="D1166" s="47"/>
      <c r="E1166" s="46"/>
      <c r="F1166" s="46"/>
      <c r="G1166" s="47"/>
      <c r="H1166" s="47"/>
      <c r="I1166" s="47"/>
      <c r="J1166" s="45" t="str">
        <f aca="false">IF($A1166="","",IF(COUNTIF(Accounts!$C$2:$C$201,$A1166)+COUNTIF('Service Principals'!$C$2:$C$201,$A1166)+COUNTIF('Managed Identities'!$C$2:$C$201,$A1166)&gt;0,"Yes","NOT IN INVENTORY"))</f>
        <v/>
      </c>
    </row>
    <row r="1167" customFormat="false" ht="15" hidden="false" customHeight="false" outlineLevel="0" collapsed="false">
      <c r="A1167" s="46"/>
      <c r="B1167" s="46"/>
      <c r="C1167" s="47"/>
      <c r="D1167" s="47"/>
      <c r="E1167" s="46"/>
      <c r="F1167" s="46"/>
      <c r="G1167" s="47"/>
      <c r="H1167" s="47"/>
      <c r="I1167" s="47"/>
      <c r="J1167" s="45" t="str">
        <f aca="false">IF($A1167="","",IF(COUNTIF(Accounts!$C$2:$C$201,$A1167)+COUNTIF('Service Principals'!$C$2:$C$201,$A1167)+COUNTIF('Managed Identities'!$C$2:$C$201,$A1167)&gt;0,"Yes","NOT IN INVENTORY"))</f>
        <v/>
      </c>
    </row>
    <row r="1168" customFormat="false" ht="15" hidden="false" customHeight="false" outlineLevel="0" collapsed="false">
      <c r="A1168" s="46"/>
      <c r="B1168" s="46"/>
      <c r="C1168" s="47"/>
      <c r="D1168" s="47"/>
      <c r="E1168" s="46"/>
      <c r="F1168" s="46"/>
      <c r="G1168" s="47"/>
      <c r="H1168" s="47"/>
      <c r="I1168" s="47"/>
      <c r="J1168" s="45" t="str">
        <f aca="false">IF($A1168="","",IF(COUNTIF(Accounts!$C$2:$C$201,$A1168)+COUNTIF('Service Principals'!$C$2:$C$201,$A1168)+COUNTIF('Managed Identities'!$C$2:$C$201,$A1168)&gt;0,"Yes","NOT IN INVENTORY"))</f>
        <v/>
      </c>
    </row>
    <row r="1169" customFormat="false" ht="15" hidden="false" customHeight="false" outlineLevel="0" collapsed="false">
      <c r="A1169" s="46"/>
      <c r="B1169" s="46"/>
      <c r="C1169" s="47"/>
      <c r="D1169" s="47"/>
      <c r="E1169" s="46"/>
      <c r="F1169" s="46"/>
      <c r="G1169" s="47"/>
      <c r="H1169" s="47"/>
      <c r="I1169" s="47"/>
      <c r="J1169" s="45" t="str">
        <f aca="false">IF($A1169="","",IF(COUNTIF(Accounts!$C$2:$C$201,$A1169)+COUNTIF('Service Principals'!$C$2:$C$201,$A1169)+COUNTIF('Managed Identities'!$C$2:$C$201,$A1169)&gt;0,"Yes","NOT IN INVENTORY"))</f>
        <v/>
      </c>
    </row>
    <row r="1170" customFormat="false" ht="15" hidden="false" customHeight="false" outlineLevel="0" collapsed="false">
      <c r="A1170" s="46"/>
      <c r="B1170" s="46"/>
      <c r="C1170" s="47"/>
      <c r="D1170" s="47"/>
      <c r="E1170" s="46"/>
      <c r="F1170" s="46"/>
      <c r="G1170" s="47"/>
      <c r="H1170" s="47"/>
      <c r="I1170" s="47"/>
      <c r="J1170" s="45" t="str">
        <f aca="false">IF($A1170="","",IF(COUNTIF(Accounts!$C$2:$C$201,$A1170)+COUNTIF('Service Principals'!$C$2:$C$201,$A1170)+COUNTIF('Managed Identities'!$C$2:$C$201,$A1170)&gt;0,"Yes","NOT IN INVENTORY"))</f>
        <v/>
      </c>
    </row>
    <row r="1171" customFormat="false" ht="15" hidden="false" customHeight="false" outlineLevel="0" collapsed="false">
      <c r="A1171" s="46"/>
      <c r="B1171" s="46"/>
      <c r="C1171" s="47"/>
      <c r="D1171" s="47"/>
      <c r="E1171" s="46"/>
      <c r="F1171" s="46"/>
      <c r="G1171" s="47"/>
      <c r="H1171" s="47"/>
      <c r="I1171" s="47"/>
      <c r="J1171" s="45" t="str">
        <f aca="false">IF($A1171="","",IF(COUNTIF(Accounts!$C$2:$C$201,$A1171)+COUNTIF('Service Principals'!$C$2:$C$201,$A1171)+COUNTIF('Managed Identities'!$C$2:$C$201,$A1171)&gt;0,"Yes","NOT IN INVENTORY"))</f>
        <v/>
      </c>
    </row>
    <row r="1172" customFormat="false" ht="15" hidden="false" customHeight="false" outlineLevel="0" collapsed="false">
      <c r="A1172" s="46"/>
      <c r="B1172" s="46"/>
      <c r="C1172" s="47"/>
      <c r="D1172" s="47"/>
      <c r="E1172" s="46"/>
      <c r="F1172" s="46"/>
      <c r="G1172" s="47"/>
      <c r="H1172" s="47"/>
      <c r="I1172" s="47"/>
      <c r="J1172" s="45" t="str">
        <f aca="false">IF($A1172="","",IF(COUNTIF(Accounts!$C$2:$C$201,$A1172)+COUNTIF('Service Principals'!$C$2:$C$201,$A1172)+COUNTIF('Managed Identities'!$C$2:$C$201,$A1172)&gt;0,"Yes","NOT IN INVENTORY"))</f>
        <v/>
      </c>
    </row>
    <row r="1173" customFormat="false" ht="15" hidden="false" customHeight="false" outlineLevel="0" collapsed="false">
      <c r="A1173" s="46"/>
      <c r="B1173" s="46"/>
      <c r="C1173" s="47"/>
      <c r="D1173" s="47"/>
      <c r="E1173" s="46"/>
      <c r="F1173" s="46"/>
      <c r="G1173" s="47"/>
      <c r="H1173" s="47"/>
      <c r="I1173" s="47"/>
      <c r="J1173" s="45" t="str">
        <f aca="false">IF($A1173="","",IF(COUNTIF(Accounts!$C$2:$C$201,$A1173)+COUNTIF('Service Principals'!$C$2:$C$201,$A1173)+COUNTIF('Managed Identities'!$C$2:$C$201,$A1173)&gt;0,"Yes","NOT IN INVENTORY"))</f>
        <v/>
      </c>
    </row>
    <row r="1174" customFormat="false" ht="15" hidden="false" customHeight="false" outlineLevel="0" collapsed="false">
      <c r="A1174" s="46"/>
      <c r="B1174" s="46"/>
      <c r="C1174" s="47"/>
      <c r="D1174" s="47"/>
      <c r="E1174" s="46"/>
      <c r="F1174" s="46"/>
      <c r="G1174" s="47"/>
      <c r="H1174" s="47"/>
      <c r="I1174" s="47"/>
      <c r="J1174" s="45" t="str">
        <f aca="false">IF($A1174="","",IF(COUNTIF(Accounts!$C$2:$C$201,$A1174)+COUNTIF('Service Principals'!$C$2:$C$201,$A1174)+COUNTIF('Managed Identities'!$C$2:$C$201,$A1174)&gt;0,"Yes","NOT IN INVENTORY"))</f>
        <v/>
      </c>
    </row>
    <row r="1175" customFormat="false" ht="15" hidden="false" customHeight="false" outlineLevel="0" collapsed="false">
      <c r="A1175" s="46"/>
      <c r="B1175" s="46"/>
      <c r="C1175" s="47"/>
      <c r="D1175" s="47"/>
      <c r="E1175" s="46"/>
      <c r="F1175" s="46"/>
      <c r="G1175" s="47"/>
      <c r="H1175" s="47"/>
      <c r="I1175" s="47"/>
      <c r="J1175" s="45" t="str">
        <f aca="false">IF($A1175="","",IF(COUNTIF(Accounts!$C$2:$C$201,$A1175)+COUNTIF('Service Principals'!$C$2:$C$201,$A1175)+COUNTIF('Managed Identities'!$C$2:$C$201,$A1175)&gt;0,"Yes","NOT IN INVENTORY"))</f>
        <v/>
      </c>
    </row>
    <row r="1176" customFormat="false" ht="15" hidden="false" customHeight="false" outlineLevel="0" collapsed="false">
      <c r="A1176" s="46"/>
      <c r="B1176" s="46"/>
      <c r="C1176" s="47"/>
      <c r="D1176" s="47"/>
      <c r="E1176" s="46"/>
      <c r="F1176" s="46"/>
      <c r="G1176" s="47"/>
      <c r="H1176" s="47"/>
      <c r="I1176" s="47"/>
      <c r="J1176" s="45" t="str">
        <f aca="false">IF($A1176="","",IF(COUNTIF(Accounts!$C$2:$C$201,$A1176)+COUNTIF('Service Principals'!$C$2:$C$201,$A1176)+COUNTIF('Managed Identities'!$C$2:$C$201,$A1176)&gt;0,"Yes","NOT IN INVENTORY"))</f>
        <v/>
      </c>
    </row>
    <row r="1177" customFormat="false" ht="15" hidden="false" customHeight="false" outlineLevel="0" collapsed="false">
      <c r="A1177" s="46"/>
      <c r="B1177" s="46"/>
      <c r="C1177" s="47"/>
      <c r="D1177" s="47"/>
      <c r="E1177" s="46"/>
      <c r="F1177" s="46"/>
      <c r="G1177" s="47"/>
      <c r="H1177" s="47"/>
      <c r="I1177" s="47"/>
      <c r="J1177" s="45" t="str">
        <f aca="false">IF($A1177="","",IF(COUNTIF(Accounts!$C$2:$C$201,$A1177)+COUNTIF('Service Principals'!$C$2:$C$201,$A1177)+COUNTIF('Managed Identities'!$C$2:$C$201,$A1177)&gt;0,"Yes","NOT IN INVENTORY"))</f>
        <v/>
      </c>
    </row>
    <row r="1178" customFormat="false" ht="15" hidden="false" customHeight="false" outlineLevel="0" collapsed="false">
      <c r="A1178" s="46"/>
      <c r="B1178" s="46"/>
      <c r="C1178" s="47"/>
      <c r="D1178" s="47"/>
      <c r="E1178" s="46"/>
      <c r="F1178" s="46"/>
      <c r="G1178" s="47"/>
      <c r="H1178" s="47"/>
      <c r="I1178" s="47"/>
      <c r="J1178" s="45" t="str">
        <f aca="false">IF($A1178="","",IF(COUNTIF(Accounts!$C$2:$C$201,$A1178)+COUNTIF('Service Principals'!$C$2:$C$201,$A1178)+COUNTIF('Managed Identities'!$C$2:$C$201,$A1178)&gt;0,"Yes","NOT IN INVENTORY"))</f>
        <v/>
      </c>
    </row>
    <row r="1179" customFormat="false" ht="15" hidden="false" customHeight="false" outlineLevel="0" collapsed="false">
      <c r="A1179" s="46"/>
      <c r="B1179" s="46"/>
      <c r="C1179" s="47"/>
      <c r="D1179" s="47"/>
      <c r="E1179" s="46"/>
      <c r="F1179" s="46"/>
      <c r="G1179" s="47"/>
      <c r="H1179" s="47"/>
      <c r="I1179" s="47"/>
      <c r="J1179" s="45" t="str">
        <f aca="false">IF($A1179="","",IF(COUNTIF(Accounts!$C$2:$C$201,$A1179)+COUNTIF('Service Principals'!$C$2:$C$201,$A1179)+COUNTIF('Managed Identities'!$C$2:$C$201,$A1179)&gt;0,"Yes","NOT IN INVENTORY"))</f>
        <v/>
      </c>
    </row>
    <row r="1180" customFormat="false" ht="15" hidden="false" customHeight="false" outlineLevel="0" collapsed="false">
      <c r="A1180" s="46"/>
      <c r="B1180" s="46"/>
      <c r="C1180" s="47"/>
      <c r="D1180" s="47"/>
      <c r="E1180" s="46"/>
      <c r="F1180" s="46"/>
      <c r="G1180" s="47"/>
      <c r="H1180" s="47"/>
      <c r="I1180" s="47"/>
      <c r="J1180" s="45" t="str">
        <f aca="false">IF($A1180="","",IF(COUNTIF(Accounts!$C$2:$C$201,$A1180)+COUNTIF('Service Principals'!$C$2:$C$201,$A1180)+COUNTIF('Managed Identities'!$C$2:$C$201,$A1180)&gt;0,"Yes","NOT IN INVENTORY"))</f>
        <v/>
      </c>
    </row>
    <row r="1181" customFormat="false" ht="15" hidden="false" customHeight="false" outlineLevel="0" collapsed="false">
      <c r="A1181" s="46"/>
      <c r="B1181" s="46"/>
      <c r="C1181" s="47"/>
      <c r="D1181" s="47"/>
      <c r="E1181" s="46"/>
      <c r="F1181" s="46"/>
      <c r="G1181" s="47"/>
      <c r="H1181" s="47"/>
      <c r="I1181" s="47"/>
      <c r="J1181" s="45" t="str">
        <f aca="false">IF($A1181="","",IF(COUNTIF(Accounts!$C$2:$C$201,$A1181)+COUNTIF('Service Principals'!$C$2:$C$201,$A1181)+COUNTIF('Managed Identities'!$C$2:$C$201,$A1181)&gt;0,"Yes","NOT IN INVENTORY"))</f>
        <v/>
      </c>
    </row>
    <row r="1182" customFormat="false" ht="15" hidden="false" customHeight="false" outlineLevel="0" collapsed="false">
      <c r="A1182" s="46"/>
      <c r="B1182" s="46"/>
      <c r="C1182" s="47"/>
      <c r="D1182" s="47"/>
      <c r="E1182" s="46"/>
      <c r="F1182" s="46"/>
      <c r="G1182" s="47"/>
      <c r="H1182" s="47"/>
      <c r="I1182" s="47"/>
      <c r="J1182" s="45" t="str">
        <f aca="false">IF($A1182="","",IF(COUNTIF(Accounts!$C$2:$C$201,$A1182)+COUNTIF('Service Principals'!$C$2:$C$201,$A1182)+COUNTIF('Managed Identities'!$C$2:$C$201,$A1182)&gt;0,"Yes","NOT IN INVENTORY"))</f>
        <v/>
      </c>
    </row>
    <row r="1183" customFormat="false" ht="15" hidden="false" customHeight="false" outlineLevel="0" collapsed="false">
      <c r="A1183" s="46"/>
      <c r="B1183" s="46"/>
      <c r="C1183" s="47"/>
      <c r="D1183" s="47"/>
      <c r="E1183" s="46"/>
      <c r="F1183" s="46"/>
      <c r="G1183" s="47"/>
      <c r="H1183" s="47"/>
      <c r="I1183" s="47"/>
      <c r="J1183" s="45" t="str">
        <f aca="false">IF($A1183="","",IF(COUNTIF(Accounts!$C$2:$C$201,$A1183)+COUNTIF('Service Principals'!$C$2:$C$201,$A1183)+COUNTIF('Managed Identities'!$C$2:$C$201,$A1183)&gt;0,"Yes","NOT IN INVENTORY"))</f>
        <v/>
      </c>
    </row>
    <row r="1184" customFormat="false" ht="15" hidden="false" customHeight="false" outlineLevel="0" collapsed="false">
      <c r="A1184" s="46"/>
      <c r="B1184" s="46"/>
      <c r="C1184" s="47"/>
      <c r="D1184" s="47"/>
      <c r="E1184" s="46"/>
      <c r="F1184" s="46"/>
      <c r="G1184" s="47"/>
      <c r="H1184" s="47"/>
      <c r="I1184" s="47"/>
      <c r="J1184" s="45" t="str">
        <f aca="false">IF($A1184="","",IF(COUNTIF(Accounts!$C$2:$C$201,$A1184)+COUNTIF('Service Principals'!$C$2:$C$201,$A1184)+COUNTIF('Managed Identities'!$C$2:$C$201,$A1184)&gt;0,"Yes","NOT IN INVENTORY"))</f>
        <v/>
      </c>
    </row>
    <row r="1185" customFormat="false" ht="15" hidden="false" customHeight="false" outlineLevel="0" collapsed="false">
      <c r="A1185" s="46"/>
      <c r="B1185" s="46"/>
      <c r="C1185" s="47"/>
      <c r="D1185" s="47"/>
      <c r="E1185" s="46"/>
      <c r="F1185" s="46"/>
      <c r="G1185" s="47"/>
      <c r="H1185" s="47"/>
      <c r="I1185" s="47"/>
      <c r="J1185" s="45" t="str">
        <f aca="false">IF($A1185="","",IF(COUNTIF(Accounts!$C$2:$C$201,$A1185)+COUNTIF('Service Principals'!$C$2:$C$201,$A1185)+COUNTIF('Managed Identities'!$C$2:$C$201,$A1185)&gt;0,"Yes","NOT IN INVENTORY"))</f>
        <v/>
      </c>
    </row>
    <row r="1186" customFormat="false" ht="15" hidden="false" customHeight="false" outlineLevel="0" collapsed="false">
      <c r="A1186" s="46"/>
      <c r="B1186" s="46"/>
      <c r="C1186" s="47"/>
      <c r="D1186" s="47"/>
      <c r="E1186" s="46"/>
      <c r="F1186" s="46"/>
      <c r="G1186" s="47"/>
      <c r="H1186" s="47"/>
      <c r="I1186" s="47"/>
      <c r="J1186" s="45" t="str">
        <f aca="false">IF($A1186="","",IF(COUNTIF(Accounts!$C$2:$C$201,$A1186)+COUNTIF('Service Principals'!$C$2:$C$201,$A1186)+COUNTIF('Managed Identities'!$C$2:$C$201,$A1186)&gt;0,"Yes","NOT IN INVENTORY"))</f>
        <v/>
      </c>
    </row>
    <row r="1187" customFormat="false" ht="15" hidden="false" customHeight="false" outlineLevel="0" collapsed="false">
      <c r="A1187" s="46"/>
      <c r="B1187" s="46"/>
      <c r="C1187" s="47"/>
      <c r="D1187" s="47"/>
      <c r="E1187" s="46"/>
      <c r="F1187" s="46"/>
      <c r="G1187" s="47"/>
      <c r="H1187" s="47"/>
      <c r="I1187" s="47"/>
      <c r="J1187" s="45" t="str">
        <f aca="false">IF($A1187="","",IF(COUNTIF(Accounts!$C$2:$C$201,$A1187)+COUNTIF('Service Principals'!$C$2:$C$201,$A1187)+COUNTIF('Managed Identities'!$C$2:$C$201,$A1187)&gt;0,"Yes","NOT IN INVENTORY"))</f>
        <v/>
      </c>
    </row>
    <row r="1188" customFormat="false" ht="15" hidden="false" customHeight="false" outlineLevel="0" collapsed="false">
      <c r="A1188" s="46"/>
      <c r="B1188" s="46"/>
      <c r="C1188" s="47"/>
      <c r="D1188" s="47"/>
      <c r="E1188" s="46"/>
      <c r="F1188" s="46"/>
      <c r="G1188" s="47"/>
      <c r="H1188" s="47"/>
      <c r="I1188" s="47"/>
      <c r="J1188" s="45" t="str">
        <f aca="false">IF($A1188="","",IF(COUNTIF(Accounts!$C$2:$C$201,$A1188)+COUNTIF('Service Principals'!$C$2:$C$201,$A1188)+COUNTIF('Managed Identities'!$C$2:$C$201,$A1188)&gt;0,"Yes","NOT IN INVENTORY"))</f>
        <v/>
      </c>
    </row>
    <row r="1189" customFormat="false" ht="15" hidden="false" customHeight="false" outlineLevel="0" collapsed="false">
      <c r="A1189" s="46"/>
      <c r="B1189" s="46"/>
      <c r="C1189" s="47"/>
      <c r="D1189" s="47"/>
      <c r="E1189" s="46"/>
      <c r="F1189" s="46"/>
      <c r="G1189" s="47"/>
      <c r="H1189" s="47"/>
      <c r="I1189" s="47"/>
      <c r="J1189" s="45" t="str">
        <f aca="false">IF($A1189="","",IF(COUNTIF(Accounts!$C$2:$C$201,$A1189)+COUNTIF('Service Principals'!$C$2:$C$201,$A1189)+COUNTIF('Managed Identities'!$C$2:$C$201,$A1189)&gt;0,"Yes","NOT IN INVENTORY"))</f>
        <v/>
      </c>
    </row>
    <row r="1190" customFormat="false" ht="15" hidden="false" customHeight="false" outlineLevel="0" collapsed="false">
      <c r="A1190" s="46"/>
      <c r="B1190" s="46"/>
      <c r="C1190" s="47"/>
      <c r="D1190" s="47"/>
      <c r="E1190" s="46"/>
      <c r="F1190" s="46"/>
      <c r="G1190" s="47"/>
      <c r="H1190" s="47"/>
      <c r="I1190" s="47"/>
      <c r="J1190" s="45" t="str">
        <f aca="false">IF($A1190="","",IF(COUNTIF(Accounts!$C$2:$C$201,$A1190)+COUNTIF('Service Principals'!$C$2:$C$201,$A1190)+COUNTIF('Managed Identities'!$C$2:$C$201,$A1190)&gt;0,"Yes","NOT IN INVENTORY"))</f>
        <v/>
      </c>
    </row>
    <row r="1191" customFormat="false" ht="15" hidden="false" customHeight="false" outlineLevel="0" collapsed="false">
      <c r="A1191" s="46"/>
      <c r="B1191" s="46"/>
      <c r="C1191" s="47"/>
      <c r="D1191" s="47"/>
      <c r="E1191" s="46"/>
      <c r="F1191" s="46"/>
      <c r="G1191" s="47"/>
      <c r="H1191" s="47"/>
      <c r="I1191" s="47"/>
      <c r="J1191" s="45" t="str">
        <f aca="false">IF($A1191="","",IF(COUNTIF(Accounts!$C$2:$C$201,$A1191)+COUNTIF('Service Principals'!$C$2:$C$201,$A1191)+COUNTIF('Managed Identities'!$C$2:$C$201,$A1191)&gt;0,"Yes","NOT IN INVENTORY"))</f>
        <v/>
      </c>
    </row>
    <row r="1192" customFormat="false" ht="15" hidden="false" customHeight="false" outlineLevel="0" collapsed="false">
      <c r="A1192" s="46"/>
      <c r="B1192" s="46"/>
      <c r="C1192" s="47"/>
      <c r="D1192" s="47"/>
      <c r="E1192" s="46"/>
      <c r="F1192" s="46"/>
      <c r="G1192" s="47"/>
      <c r="H1192" s="47"/>
      <c r="I1192" s="47"/>
      <c r="J1192" s="45" t="str">
        <f aca="false">IF($A1192="","",IF(COUNTIF(Accounts!$C$2:$C$201,$A1192)+COUNTIF('Service Principals'!$C$2:$C$201,$A1192)+COUNTIF('Managed Identities'!$C$2:$C$201,$A1192)&gt;0,"Yes","NOT IN INVENTORY"))</f>
        <v/>
      </c>
    </row>
    <row r="1193" customFormat="false" ht="15" hidden="false" customHeight="false" outlineLevel="0" collapsed="false">
      <c r="A1193" s="46"/>
      <c r="B1193" s="46"/>
      <c r="C1193" s="47"/>
      <c r="D1193" s="47"/>
      <c r="E1193" s="46"/>
      <c r="F1193" s="46"/>
      <c r="G1193" s="47"/>
      <c r="H1193" s="47"/>
      <c r="I1193" s="47"/>
      <c r="J1193" s="45" t="str">
        <f aca="false">IF($A1193="","",IF(COUNTIF(Accounts!$C$2:$C$201,$A1193)+COUNTIF('Service Principals'!$C$2:$C$201,$A1193)+COUNTIF('Managed Identities'!$C$2:$C$201,$A1193)&gt;0,"Yes","NOT IN INVENTORY"))</f>
        <v/>
      </c>
    </row>
    <row r="1194" customFormat="false" ht="15" hidden="false" customHeight="false" outlineLevel="0" collapsed="false">
      <c r="A1194" s="46"/>
      <c r="B1194" s="46"/>
      <c r="C1194" s="47"/>
      <c r="D1194" s="47"/>
      <c r="E1194" s="46"/>
      <c r="F1194" s="46"/>
      <c r="G1194" s="47"/>
      <c r="H1194" s="47"/>
      <c r="I1194" s="47"/>
      <c r="J1194" s="45" t="str">
        <f aca="false">IF($A1194="","",IF(COUNTIF(Accounts!$C$2:$C$201,$A1194)+COUNTIF('Service Principals'!$C$2:$C$201,$A1194)+COUNTIF('Managed Identities'!$C$2:$C$201,$A1194)&gt;0,"Yes","NOT IN INVENTORY"))</f>
        <v/>
      </c>
    </row>
    <row r="1195" customFormat="false" ht="15" hidden="false" customHeight="false" outlineLevel="0" collapsed="false">
      <c r="A1195" s="46"/>
      <c r="B1195" s="46"/>
      <c r="C1195" s="47"/>
      <c r="D1195" s="47"/>
      <c r="E1195" s="46"/>
      <c r="F1195" s="46"/>
      <c r="G1195" s="47"/>
      <c r="H1195" s="47"/>
      <c r="I1195" s="47"/>
      <c r="J1195" s="45" t="str">
        <f aca="false">IF($A1195="","",IF(COUNTIF(Accounts!$C$2:$C$201,$A1195)+COUNTIF('Service Principals'!$C$2:$C$201,$A1195)+COUNTIF('Managed Identities'!$C$2:$C$201,$A1195)&gt;0,"Yes","NOT IN INVENTORY"))</f>
        <v/>
      </c>
    </row>
    <row r="1196" customFormat="false" ht="15" hidden="false" customHeight="false" outlineLevel="0" collapsed="false">
      <c r="A1196" s="46"/>
      <c r="B1196" s="46"/>
      <c r="C1196" s="47"/>
      <c r="D1196" s="47"/>
      <c r="E1196" s="46"/>
      <c r="F1196" s="46"/>
      <c r="G1196" s="47"/>
      <c r="H1196" s="47"/>
      <c r="I1196" s="47"/>
      <c r="J1196" s="45" t="str">
        <f aca="false">IF($A1196="","",IF(COUNTIF(Accounts!$C$2:$C$201,$A1196)+COUNTIF('Service Principals'!$C$2:$C$201,$A1196)+COUNTIF('Managed Identities'!$C$2:$C$201,$A1196)&gt;0,"Yes","NOT IN INVENTORY"))</f>
        <v/>
      </c>
    </row>
    <row r="1197" customFormat="false" ht="15" hidden="false" customHeight="false" outlineLevel="0" collapsed="false">
      <c r="A1197" s="46"/>
      <c r="B1197" s="46"/>
      <c r="C1197" s="47"/>
      <c r="D1197" s="47"/>
      <c r="E1197" s="46"/>
      <c r="F1197" s="46"/>
      <c r="G1197" s="47"/>
      <c r="H1197" s="47"/>
      <c r="I1197" s="47"/>
      <c r="J1197" s="45" t="str">
        <f aca="false">IF($A1197="","",IF(COUNTIF(Accounts!$C$2:$C$201,$A1197)+COUNTIF('Service Principals'!$C$2:$C$201,$A1197)+COUNTIF('Managed Identities'!$C$2:$C$201,$A1197)&gt;0,"Yes","NOT IN INVENTORY"))</f>
        <v/>
      </c>
    </row>
    <row r="1198" customFormat="false" ht="15" hidden="false" customHeight="false" outlineLevel="0" collapsed="false">
      <c r="A1198" s="46"/>
      <c r="B1198" s="46"/>
      <c r="C1198" s="47"/>
      <c r="D1198" s="47"/>
      <c r="E1198" s="46"/>
      <c r="F1198" s="46"/>
      <c r="G1198" s="47"/>
      <c r="H1198" s="47"/>
      <c r="I1198" s="47"/>
      <c r="J1198" s="45" t="str">
        <f aca="false">IF($A1198="","",IF(COUNTIF(Accounts!$C$2:$C$201,$A1198)+COUNTIF('Service Principals'!$C$2:$C$201,$A1198)+COUNTIF('Managed Identities'!$C$2:$C$201,$A1198)&gt;0,"Yes","NOT IN INVENTORY"))</f>
        <v/>
      </c>
    </row>
    <row r="1199" customFormat="false" ht="15" hidden="false" customHeight="false" outlineLevel="0" collapsed="false">
      <c r="A1199" s="46"/>
      <c r="B1199" s="46"/>
      <c r="C1199" s="47"/>
      <c r="D1199" s="47"/>
      <c r="E1199" s="46"/>
      <c r="F1199" s="46"/>
      <c r="G1199" s="47"/>
      <c r="H1199" s="47"/>
      <c r="I1199" s="47"/>
      <c r="J1199" s="45" t="str">
        <f aca="false">IF($A1199="","",IF(COUNTIF(Accounts!$C$2:$C$201,$A1199)+COUNTIF('Service Principals'!$C$2:$C$201,$A1199)+COUNTIF('Managed Identities'!$C$2:$C$201,$A1199)&gt;0,"Yes","NOT IN INVENTORY"))</f>
        <v/>
      </c>
    </row>
    <row r="1200" customFormat="false" ht="15" hidden="false" customHeight="false" outlineLevel="0" collapsed="false">
      <c r="A1200" s="46"/>
      <c r="B1200" s="46"/>
      <c r="C1200" s="47"/>
      <c r="D1200" s="47"/>
      <c r="E1200" s="46"/>
      <c r="F1200" s="46"/>
      <c r="G1200" s="47"/>
      <c r="H1200" s="47"/>
      <c r="I1200" s="47"/>
      <c r="J1200" s="45" t="str">
        <f aca="false">IF($A1200="","",IF(COUNTIF(Accounts!$C$2:$C$201,$A1200)+COUNTIF('Service Principals'!$C$2:$C$201,$A1200)+COUNTIF('Managed Identities'!$C$2:$C$201,$A1200)&gt;0,"Yes","NOT IN INVENTORY"))</f>
        <v/>
      </c>
    </row>
    <row r="1201" customFormat="false" ht="15" hidden="false" customHeight="false" outlineLevel="0" collapsed="false">
      <c r="A1201" s="46"/>
      <c r="B1201" s="46"/>
      <c r="C1201" s="47"/>
      <c r="D1201" s="47"/>
      <c r="E1201" s="46"/>
      <c r="F1201" s="46"/>
      <c r="G1201" s="47"/>
      <c r="H1201" s="47"/>
      <c r="I1201" s="47"/>
      <c r="J1201" s="45" t="str">
        <f aca="false">IF($A1201="","",IF(COUNTIF(Accounts!$C$2:$C$201,$A1201)+COUNTIF('Service Principals'!$C$2:$C$201,$A1201)+COUNTIF('Managed Identities'!$C$2:$C$201,$A1201)&gt;0,"Yes","NOT IN INVENTORY"))</f>
        <v/>
      </c>
    </row>
    <row r="1202" customFormat="false" ht="15" hidden="false" customHeight="false" outlineLevel="0" collapsed="false">
      <c r="A1202" s="46"/>
      <c r="B1202" s="46"/>
      <c r="C1202" s="47"/>
      <c r="D1202" s="47"/>
      <c r="E1202" s="46"/>
      <c r="F1202" s="46"/>
      <c r="G1202" s="47"/>
      <c r="H1202" s="47"/>
      <c r="I1202" s="47"/>
      <c r="J1202" s="45" t="str">
        <f aca="false">IF($A1202="","",IF(COUNTIF(Accounts!$C$2:$C$201,$A1202)+COUNTIF('Service Principals'!$C$2:$C$201,$A1202)+COUNTIF('Managed Identities'!$C$2:$C$201,$A1202)&gt;0,"Yes","NOT IN INVENTORY"))</f>
        <v/>
      </c>
    </row>
    <row r="1203" customFormat="false" ht="15" hidden="false" customHeight="false" outlineLevel="0" collapsed="false">
      <c r="A1203" s="46"/>
      <c r="B1203" s="46"/>
      <c r="C1203" s="47"/>
      <c r="D1203" s="47"/>
      <c r="E1203" s="46"/>
      <c r="F1203" s="46"/>
      <c r="G1203" s="47"/>
      <c r="H1203" s="47"/>
      <c r="I1203" s="47"/>
      <c r="J1203" s="45" t="str">
        <f aca="false">IF($A1203="","",IF(COUNTIF(Accounts!$C$2:$C$201,$A1203)+COUNTIF('Service Principals'!$C$2:$C$201,$A1203)+COUNTIF('Managed Identities'!$C$2:$C$201,$A1203)&gt;0,"Yes","NOT IN INVENTORY"))</f>
        <v/>
      </c>
    </row>
    <row r="1204" customFormat="false" ht="15" hidden="false" customHeight="false" outlineLevel="0" collapsed="false">
      <c r="A1204" s="46"/>
      <c r="B1204" s="46"/>
      <c r="C1204" s="47"/>
      <c r="D1204" s="47"/>
      <c r="E1204" s="46"/>
      <c r="F1204" s="46"/>
      <c r="G1204" s="47"/>
      <c r="H1204" s="47"/>
      <c r="I1204" s="47"/>
      <c r="J1204" s="45" t="str">
        <f aca="false">IF($A1204="","",IF(COUNTIF(Accounts!$C$2:$C$201,$A1204)+COUNTIF('Service Principals'!$C$2:$C$201,$A1204)+COUNTIF('Managed Identities'!$C$2:$C$201,$A1204)&gt;0,"Yes","NOT IN INVENTORY"))</f>
        <v/>
      </c>
    </row>
    <row r="1205" customFormat="false" ht="15" hidden="false" customHeight="false" outlineLevel="0" collapsed="false">
      <c r="A1205" s="46"/>
      <c r="B1205" s="46"/>
      <c r="C1205" s="47"/>
      <c r="D1205" s="47"/>
      <c r="E1205" s="46"/>
      <c r="F1205" s="46"/>
      <c r="G1205" s="47"/>
      <c r="H1205" s="47"/>
      <c r="I1205" s="47"/>
      <c r="J1205" s="45" t="str">
        <f aca="false">IF($A1205="","",IF(COUNTIF(Accounts!$C$2:$C$201,$A1205)+COUNTIF('Service Principals'!$C$2:$C$201,$A1205)+COUNTIF('Managed Identities'!$C$2:$C$201,$A1205)&gt;0,"Yes","NOT IN INVENTORY"))</f>
        <v/>
      </c>
    </row>
    <row r="1206" customFormat="false" ht="15" hidden="false" customHeight="false" outlineLevel="0" collapsed="false">
      <c r="A1206" s="46"/>
      <c r="B1206" s="46"/>
      <c r="C1206" s="47"/>
      <c r="D1206" s="47"/>
      <c r="E1206" s="46"/>
      <c r="F1206" s="46"/>
      <c r="G1206" s="47"/>
      <c r="H1206" s="47"/>
      <c r="I1206" s="47"/>
      <c r="J1206" s="45" t="str">
        <f aca="false">IF($A1206="","",IF(COUNTIF(Accounts!$C$2:$C$201,$A1206)+COUNTIF('Service Principals'!$C$2:$C$201,$A1206)+COUNTIF('Managed Identities'!$C$2:$C$201,$A1206)&gt;0,"Yes","NOT IN INVENTORY"))</f>
        <v/>
      </c>
    </row>
    <row r="1207" customFormat="false" ht="15" hidden="false" customHeight="false" outlineLevel="0" collapsed="false">
      <c r="A1207" s="46"/>
      <c r="B1207" s="46"/>
      <c r="C1207" s="47"/>
      <c r="D1207" s="47"/>
      <c r="E1207" s="46"/>
      <c r="F1207" s="46"/>
      <c r="G1207" s="47"/>
      <c r="H1207" s="47"/>
      <c r="I1207" s="47"/>
      <c r="J1207" s="45" t="str">
        <f aca="false">IF($A1207="","",IF(COUNTIF(Accounts!$C$2:$C$201,$A1207)+COUNTIF('Service Principals'!$C$2:$C$201,$A1207)+COUNTIF('Managed Identities'!$C$2:$C$201,$A1207)&gt;0,"Yes","NOT IN INVENTORY"))</f>
        <v/>
      </c>
    </row>
    <row r="1208" customFormat="false" ht="15" hidden="false" customHeight="false" outlineLevel="0" collapsed="false">
      <c r="A1208" s="46"/>
      <c r="B1208" s="46"/>
      <c r="C1208" s="47"/>
      <c r="D1208" s="47"/>
      <c r="E1208" s="46"/>
      <c r="F1208" s="46"/>
      <c r="G1208" s="47"/>
      <c r="H1208" s="47"/>
      <c r="I1208" s="47"/>
      <c r="J1208" s="45" t="str">
        <f aca="false">IF($A1208="","",IF(COUNTIF(Accounts!$C$2:$C$201,$A1208)+COUNTIF('Service Principals'!$C$2:$C$201,$A1208)+COUNTIF('Managed Identities'!$C$2:$C$201,$A1208)&gt;0,"Yes","NOT IN INVENTORY"))</f>
        <v/>
      </c>
    </row>
    <row r="1209" customFormat="false" ht="15" hidden="false" customHeight="false" outlineLevel="0" collapsed="false">
      <c r="A1209" s="46"/>
      <c r="B1209" s="46"/>
      <c r="C1209" s="47"/>
      <c r="D1209" s="47"/>
      <c r="E1209" s="46"/>
      <c r="F1209" s="46"/>
      <c r="G1209" s="47"/>
      <c r="H1209" s="47"/>
      <c r="I1209" s="47"/>
      <c r="J1209" s="45" t="str">
        <f aca="false">IF($A1209="","",IF(COUNTIF(Accounts!$C$2:$C$201,$A1209)+COUNTIF('Service Principals'!$C$2:$C$201,$A1209)+COUNTIF('Managed Identities'!$C$2:$C$201,$A1209)&gt;0,"Yes","NOT IN INVENTORY"))</f>
        <v/>
      </c>
    </row>
    <row r="1210" customFormat="false" ht="15" hidden="false" customHeight="false" outlineLevel="0" collapsed="false">
      <c r="A1210" s="46"/>
      <c r="B1210" s="46"/>
      <c r="C1210" s="47"/>
      <c r="D1210" s="47"/>
      <c r="E1210" s="46"/>
      <c r="F1210" s="46"/>
      <c r="G1210" s="47"/>
      <c r="H1210" s="47"/>
      <c r="I1210" s="47"/>
      <c r="J1210" s="45" t="str">
        <f aca="false">IF($A1210="","",IF(COUNTIF(Accounts!$C$2:$C$201,$A1210)+COUNTIF('Service Principals'!$C$2:$C$201,$A1210)+COUNTIF('Managed Identities'!$C$2:$C$201,$A1210)&gt;0,"Yes","NOT IN INVENTORY"))</f>
        <v/>
      </c>
    </row>
    <row r="1211" customFormat="false" ht="15" hidden="false" customHeight="false" outlineLevel="0" collapsed="false">
      <c r="A1211" s="46"/>
      <c r="B1211" s="46"/>
      <c r="C1211" s="47"/>
      <c r="D1211" s="47"/>
      <c r="E1211" s="46"/>
      <c r="F1211" s="46"/>
      <c r="G1211" s="47"/>
      <c r="H1211" s="47"/>
      <c r="I1211" s="47"/>
      <c r="J1211" s="45" t="str">
        <f aca="false">IF($A1211="","",IF(COUNTIF(Accounts!$C$2:$C$201,$A1211)+COUNTIF('Service Principals'!$C$2:$C$201,$A1211)+COUNTIF('Managed Identities'!$C$2:$C$201,$A1211)&gt;0,"Yes","NOT IN INVENTORY"))</f>
        <v/>
      </c>
    </row>
    <row r="1212" customFormat="false" ht="15" hidden="false" customHeight="false" outlineLevel="0" collapsed="false">
      <c r="A1212" s="46"/>
      <c r="B1212" s="46"/>
      <c r="C1212" s="47"/>
      <c r="D1212" s="47"/>
      <c r="E1212" s="46"/>
      <c r="F1212" s="46"/>
      <c r="G1212" s="47"/>
      <c r="H1212" s="47"/>
      <c r="I1212" s="47"/>
      <c r="J1212" s="45" t="str">
        <f aca="false">IF($A1212="","",IF(COUNTIF(Accounts!$C$2:$C$201,$A1212)+COUNTIF('Service Principals'!$C$2:$C$201,$A1212)+COUNTIF('Managed Identities'!$C$2:$C$201,$A1212)&gt;0,"Yes","NOT IN INVENTORY"))</f>
        <v/>
      </c>
    </row>
    <row r="1213" customFormat="false" ht="15" hidden="false" customHeight="false" outlineLevel="0" collapsed="false">
      <c r="A1213" s="46"/>
      <c r="B1213" s="46"/>
      <c r="C1213" s="47"/>
      <c r="D1213" s="47"/>
      <c r="E1213" s="46"/>
      <c r="F1213" s="46"/>
      <c r="G1213" s="47"/>
      <c r="H1213" s="47"/>
      <c r="I1213" s="47"/>
      <c r="J1213" s="45" t="str">
        <f aca="false">IF($A1213="","",IF(COUNTIF(Accounts!$C$2:$C$201,$A1213)+COUNTIF('Service Principals'!$C$2:$C$201,$A1213)+COUNTIF('Managed Identities'!$C$2:$C$201,$A1213)&gt;0,"Yes","NOT IN INVENTORY"))</f>
        <v/>
      </c>
    </row>
    <row r="1214" customFormat="false" ht="15" hidden="false" customHeight="false" outlineLevel="0" collapsed="false">
      <c r="A1214" s="46"/>
      <c r="B1214" s="46"/>
      <c r="C1214" s="47"/>
      <c r="D1214" s="47"/>
      <c r="E1214" s="46"/>
      <c r="F1214" s="46"/>
      <c r="G1214" s="47"/>
      <c r="H1214" s="47"/>
      <c r="I1214" s="47"/>
      <c r="J1214" s="45" t="str">
        <f aca="false">IF($A1214="","",IF(COUNTIF(Accounts!$C$2:$C$201,$A1214)+COUNTIF('Service Principals'!$C$2:$C$201,$A1214)+COUNTIF('Managed Identities'!$C$2:$C$201,$A1214)&gt;0,"Yes","NOT IN INVENTORY"))</f>
        <v/>
      </c>
    </row>
    <row r="1215" customFormat="false" ht="15" hidden="false" customHeight="false" outlineLevel="0" collapsed="false">
      <c r="A1215" s="46"/>
      <c r="B1215" s="46"/>
      <c r="C1215" s="47"/>
      <c r="D1215" s="47"/>
      <c r="E1215" s="46"/>
      <c r="F1215" s="46"/>
      <c r="G1215" s="47"/>
      <c r="H1215" s="47"/>
      <c r="I1215" s="47"/>
      <c r="J1215" s="45" t="str">
        <f aca="false">IF($A1215="","",IF(COUNTIF(Accounts!$C$2:$C$201,$A1215)+COUNTIF('Service Principals'!$C$2:$C$201,$A1215)+COUNTIF('Managed Identities'!$C$2:$C$201,$A1215)&gt;0,"Yes","NOT IN INVENTORY"))</f>
        <v/>
      </c>
    </row>
    <row r="1216" customFormat="false" ht="15" hidden="false" customHeight="false" outlineLevel="0" collapsed="false">
      <c r="A1216" s="46"/>
      <c r="B1216" s="46"/>
      <c r="C1216" s="47"/>
      <c r="D1216" s="47"/>
      <c r="E1216" s="46"/>
      <c r="F1216" s="46"/>
      <c r="G1216" s="47"/>
      <c r="H1216" s="47"/>
      <c r="I1216" s="47"/>
      <c r="J1216" s="45" t="str">
        <f aca="false">IF($A1216="","",IF(COUNTIF(Accounts!$C$2:$C$201,$A1216)+COUNTIF('Service Principals'!$C$2:$C$201,$A1216)+COUNTIF('Managed Identities'!$C$2:$C$201,$A1216)&gt;0,"Yes","NOT IN INVENTORY"))</f>
        <v/>
      </c>
    </row>
    <row r="1217" customFormat="false" ht="15" hidden="false" customHeight="false" outlineLevel="0" collapsed="false">
      <c r="A1217" s="46"/>
      <c r="B1217" s="46"/>
      <c r="C1217" s="47"/>
      <c r="D1217" s="47"/>
      <c r="E1217" s="46"/>
      <c r="F1217" s="46"/>
      <c r="G1217" s="47"/>
      <c r="H1217" s="47"/>
      <c r="I1217" s="47"/>
      <c r="J1217" s="45" t="str">
        <f aca="false">IF($A1217="","",IF(COUNTIF(Accounts!$C$2:$C$201,$A1217)+COUNTIF('Service Principals'!$C$2:$C$201,$A1217)+COUNTIF('Managed Identities'!$C$2:$C$201,$A1217)&gt;0,"Yes","NOT IN INVENTORY"))</f>
        <v/>
      </c>
    </row>
    <row r="1218" customFormat="false" ht="15" hidden="false" customHeight="false" outlineLevel="0" collapsed="false">
      <c r="A1218" s="46"/>
      <c r="B1218" s="46"/>
      <c r="C1218" s="47"/>
      <c r="D1218" s="47"/>
      <c r="E1218" s="46"/>
      <c r="F1218" s="46"/>
      <c r="G1218" s="47"/>
      <c r="H1218" s="47"/>
      <c r="I1218" s="47"/>
      <c r="J1218" s="45" t="str">
        <f aca="false">IF($A1218="","",IF(COUNTIF(Accounts!$C$2:$C$201,$A1218)+COUNTIF('Service Principals'!$C$2:$C$201,$A1218)+COUNTIF('Managed Identities'!$C$2:$C$201,$A1218)&gt;0,"Yes","NOT IN INVENTORY"))</f>
        <v/>
      </c>
    </row>
    <row r="1219" customFormat="false" ht="15" hidden="false" customHeight="false" outlineLevel="0" collapsed="false">
      <c r="A1219" s="46"/>
      <c r="B1219" s="46"/>
      <c r="C1219" s="47"/>
      <c r="D1219" s="47"/>
      <c r="E1219" s="46"/>
      <c r="F1219" s="46"/>
      <c r="G1219" s="47"/>
      <c r="H1219" s="47"/>
      <c r="I1219" s="47"/>
      <c r="J1219" s="45" t="str">
        <f aca="false">IF($A1219="","",IF(COUNTIF(Accounts!$C$2:$C$201,$A1219)+COUNTIF('Service Principals'!$C$2:$C$201,$A1219)+COUNTIF('Managed Identities'!$C$2:$C$201,$A1219)&gt;0,"Yes","NOT IN INVENTORY"))</f>
        <v/>
      </c>
    </row>
    <row r="1220" customFormat="false" ht="15" hidden="false" customHeight="false" outlineLevel="0" collapsed="false">
      <c r="A1220" s="46"/>
      <c r="B1220" s="46"/>
      <c r="C1220" s="47"/>
      <c r="D1220" s="47"/>
      <c r="E1220" s="46"/>
      <c r="F1220" s="46"/>
      <c r="G1220" s="47"/>
      <c r="H1220" s="47"/>
      <c r="I1220" s="47"/>
      <c r="J1220" s="45" t="str">
        <f aca="false">IF($A1220="","",IF(COUNTIF(Accounts!$C$2:$C$201,$A1220)+COUNTIF('Service Principals'!$C$2:$C$201,$A1220)+COUNTIF('Managed Identities'!$C$2:$C$201,$A1220)&gt;0,"Yes","NOT IN INVENTORY"))</f>
        <v/>
      </c>
    </row>
    <row r="1221" customFormat="false" ht="15" hidden="false" customHeight="false" outlineLevel="0" collapsed="false">
      <c r="A1221" s="46"/>
      <c r="B1221" s="46"/>
      <c r="C1221" s="47"/>
      <c r="D1221" s="47"/>
      <c r="E1221" s="46"/>
      <c r="F1221" s="46"/>
      <c r="G1221" s="47"/>
      <c r="H1221" s="47"/>
      <c r="I1221" s="47"/>
      <c r="J1221" s="45" t="str">
        <f aca="false">IF($A1221="","",IF(COUNTIF(Accounts!$C$2:$C$201,$A1221)+COUNTIF('Service Principals'!$C$2:$C$201,$A1221)+COUNTIF('Managed Identities'!$C$2:$C$201,$A1221)&gt;0,"Yes","NOT IN INVENTORY"))</f>
        <v/>
      </c>
    </row>
    <row r="1222" customFormat="false" ht="15" hidden="false" customHeight="false" outlineLevel="0" collapsed="false">
      <c r="A1222" s="46"/>
      <c r="B1222" s="46"/>
      <c r="C1222" s="47"/>
      <c r="D1222" s="47"/>
      <c r="E1222" s="46"/>
      <c r="F1222" s="46"/>
      <c r="G1222" s="47"/>
      <c r="H1222" s="47"/>
      <c r="I1222" s="47"/>
      <c r="J1222" s="45" t="str">
        <f aca="false">IF($A1222="","",IF(COUNTIF(Accounts!$C$2:$C$201,$A1222)+COUNTIF('Service Principals'!$C$2:$C$201,$A1222)+COUNTIF('Managed Identities'!$C$2:$C$201,$A1222)&gt;0,"Yes","NOT IN INVENTORY"))</f>
        <v/>
      </c>
    </row>
    <row r="1223" customFormat="false" ht="15" hidden="false" customHeight="false" outlineLevel="0" collapsed="false">
      <c r="A1223" s="46"/>
      <c r="B1223" s="46"/>
      <c r="C1223" s="47"/>
      <c r="D1223" s="47"/>
      <c r="E1223" s="46"/>
      <c r="F1223" s="46"/>
      <c r="G1223" s="47"/>
      <c r="H1223" s="47"/>
      <c r="I1223" s="47"/>
      <c r="J1223" s="45" t="str">
        <f aca="false">IF($A1223="","",IF(COUNTIF(Accounts!$C$2:$C$201,$A1223)+COUNTIF('Service Principals'!$C$2:$C$201,$A1223)+COUNTIF('Managed Identities'!$C$2:$C$201,$A1223)&gt;0,"Yes","NOT IN INVENTORY"))</f>
        <v/>
      </c>
    </row>
    <row r="1224" customFormat="false" ht="15" hidden="false" customHeight="false" outlineLevel="0" collapsed="false">
      <c r="A1224" s="46"/>
      <c r="B1224" s="46"/>
      <c r="C1224" s="47"/>
      <c r="D1224" s="47"/>
      <c r="E1224" s="46"/>
      <c r="F1224" s="46"/>
      <c r="G1224" s="47"/>
      <c r="H1224" s="47"/>
      <c r="I1224" s="47"/>
      <c r="J1224" s="45" t="str">
        <f aca="false">IF($A1224="","",IF(COUNTIF(Accounts!$C$2:$C$201,$A1224)+COUNTIF('Service Principals'!$C$2:$C$201,$A1224)+COUNTIF('Managed Identities'!$C$2:$C$201,$A1224)&gt;0,"Yes","NOT IN INVENTORY"))</f>
        <v/>
      </c>
    </row>
    <row r="1225" customFormat="false" ht="15" hidden="false" customHeight="false" outlineLevel="0" collapsed="false">
      <c r="A1225" s="46"/>
      <c r="B1225" s="46"/>
      <c r="C1225" s="47"/>
      <c r="D1225" s="47"/>
      <c r="E1225" s="46"/>
      <c r="F1225" s="46"/>
      <c r="G1225" s="47"/>
      <c r="H1225" s="47"/>
      <c r="I1225" s="47"/>
      <c r="J1225" s="45" t="str">
        <f aca="false">IF($A1225="","",IF(COUNTIF(Accounts!$C$2:$C$201,$A1225)+COUNTIF('Service Principals'!$C$2:$C$201,$A1225)+COUNTIF('Managed Identities'!$C$2:$C$201,$A1225)&gt;0,"Yes","NOT IN INVENTORY"))</f>
        <v/>
      </c>
    </row>
    <row r="1226" customFormat="false" ht="15" hidden="false" customHeight="false" outlineLevel="0" collapsed="false">
      <c r="A1226" s="46"/>
      <c r="B1226" s="46"/>
      <c r="C1226" s="47"/>
      <c r="D1226" s="47"/>
      <c r="E1226" s="46"/>
      <c r="F1226" s="46"/>
      <c r="G1226" s="47"/>
      <c r="H1226" s="47"/>
      <c r="I1226" s="47"/>
      <c r="J1226" s="45" t="str">
        <f aca="false">IF($A1226="","",IF(COUNTIF(Accounts!$C$2:$C$201,$A1226)+COUNTIF('Service Principals'!$C$2:$C$201,$A1226)+COUNTIF('Managed Identities'!$C$2:$C$201,$A1226)&gt;0,"Yes","NOT IN INVENTORY"))</f>
        <v/>
      </c>
    </row>
    <row r="1227" customFormat="false" ht="15" hidden="false" customHeight="false" outlineLevel="0" collapsed="false">
      <c r="A1227" s="46"/>
      <c r="B1227" s="46"/>
      <c r="C1227" s="47"/>
      <c r="D1227" s="47"/>
      <c r="E1227" s="46"/>
      <c r="F1227" s="46"/>
      <c r="G1227" s="47"/>
      <c r="H1227" s="47"/>
      <c r="I1227" s="47"/>
      <c r="J1227" s="45" t="str">
        <f aca="false">IF($A1227="","",IF(COUNTIF(Accounts!$C$2:$C$201,$A1227)+COUNTIF('Service Principals'!$C$2:$C$201,$A1227)+COUNTIF('Managed Identities'!$C$2:$C$201,$A1227)&gt;0,"Yes","NOT IN INVENTORY"))</f>
        <v/>
      </c>
    </row>
    <row r="1228" customFormat="false" ht="15" hidden="false" customHeight="false" outlineLevel="0" collapsed="false">
      <c r="A1228" s="46"/>
      <c r="B1228" s="46"/>
      <c r="C1228" s="47"/>
      <c r="D1228" s="47"/>
      <c r="E1228" s="46"/>
      <c r="F1228" s="46"/>
      <c r="G1228" s="47"/>
      <c r="H1228" s="47"/>
      <c r="I1228" s="47"/>
      <c r="J1228" s="45" t="str">
        <f aca="false">IF($A1228="","",IF(COUNTIF(Accounts!$C$2:$C$201,$A1228)+COUNTIF('Service Principals'!$C$2:$C$201,$A1228)+COUNTIF('Managed Identities'!$C$2:$C$201,$A1228)&gt;0,"Yes","NOT IN INVENTORY"))</f>
        <v/>
      </c>
    </row>
    <row r="1229" customFormat="false" ht="15" hidden="false" customHeight="false" outlineLevel="0" collapsed="false">
      <c r="A1229" s="46"/>
      <c r="B1229" s="46"/>
      <c r="C1229" s="47"/>
      <c r="D1229" s="47"/>
      <c r="E1229" s="46"/>
      <c r="F1229" s="46"/>
      <c r="G1229" s="47"/>
      <c r="H1229" s="47"/>
      <c r="I1229" s="47"/>
      <c r="J1229" s="45" t="str">
        <f aca="false">IF($A1229="","",IF(COUNTIF(Accounts!$C$2:$C$201,$A1229)+COUNTIF('Service Principals'!$C$2:$C$201,$A1229)+COUNTIF('Managed Identities'!$C$2:$C$201,$A1229)&gt;0,"Yes","NOT IN INVENTORY"))</f>
        <v/>
      </c>
    </row>
    <row r="1230" customFormat="false" ht="15" hidden="false" customHeight="false" outlineLevel="0" collapsed="false">
      <c r="A1230" s="46"/>
      <c r="B1230" s="46"/>
      <c r="C1230" s="47"/>
      <c r="D1230" s="47"/>
      <c r="E1230" s="46"/>
      <c r="F1230" s="46"/>
      <c r="G1230" s="47"/>
      <c r="H1230" s="47"/>
      <c r="I1230" s="47"/>
      <c r="J1230" s="45" t="str">
        <f aca="false">IF($A1230="","",IF(COUNTIF(Accounts!$C$2:$C$201,$A1230)+COUNTIF('Service Principals'!$C$2:$C$201,$A1230)+COUNTIF('Managed Identities'!$C$2:$C$201,$A1230)&gt;0,"Yes","NOT IN INVENTORY"))</f>
        <v/>
      </c>
    </row>
    <row r="1231" customFormat="false" ht="15" hidden="false" customHeight="false" outlineLevel="0" collapsed="false">
      <c r="A1231" s="46"/>
      <c r="B1231" s="46"/>
      <c r="C1231" s="47"/>
      <c r="D1231" s="47"/>
      <c r="E1231" s="46"/>
      <c r="F1231" s="46"/>
      <c r="G1231" s="47"/>
      <c r="H1231" s="47"/>
      <c r="I1231" s="47"/>
      <c r="J1231" s="45" t="str">
        <f aca="false">IF($A1231="","",IF(COUNTIF(Accounts!$C$2:$C$201,$A1231)+COUNTIF('Service Principals'!$C$2:$C$201,$A1231)+COUNTIF('Managed Identities'!$C$2:$C$201,$A1231)&gt;0,"Yes","NOT IN INVENTORY"))</f>
        <v/>
      </c>
    </row>
    <row r="1232" customFormat="false" ht="15" hidden="false" customHeight="false" outlineLevel="0" collapsed="false">
      <c r="A1232" s="46"/>
      <c r="B1232" s="46"/>
      <c r="C1232" s="47"/>
      <c r="D1232" s="47"/>
      <c r="E1232" s="46"/>
      <c r="F1232" s="46"/>
      <c r="G1232" s="47"/>
      <c r="H1232" s="47"/>
      <c r="I1232" s="47"/>
      <c r="J1232" s="45" t="str">
        <f aca="false">IF($A1232="","",IF(COUNTIF(Accounts!$C$2:$C$201,$A1232)+COUNTIF('Service Principals'!$C$2:$C$201,$A1232)+COUNTIF('Managed Identities'!$C$2:$C$201,$A1232)&gt;0,"Yes","NOT IN INVENTORY"))</f>
        <v/>
      </c>
    </row>
    <row r="1233" customFormat="false" ht="15" hidden="false" customHeight="false" outlineLevel="0" collapsed="false">
      <c r="A1233" s="46"/>
      <c r="B1233" s="46"/>
      <c r="C1233" s="47"/>
      <c r="D1233" s="47"/>
      <c r="E1233" s="46"/>
      <c r="F1233" s="46"/>
      <c r="G1233" s="47"/>
      <c r="H1233" s="47"/>
      <c r="I1233" s="47"/>
      <c r="J1233" s="45" t="str">
        <f aca="false">IF($A1233="","",IF(COUNTIF(Accounts!$C$2:$C$201,$A1233)+COUNTIF('Service Principals'!$C$2:$C$201,$A1233)+COUNTIF('Managed Identities'!$C$2:$C$201,$A1233)&gt;0,"Yes","NOT IN INVENTORY"))</f>
        <v/>
      </c>
    </row>
    <row r="1234" customFormat="false" ht="15" hidden="false" customHeight="false" outlineLevel="0" collapsed="false">
      <c r="A1234" s="46"/>
      <c r="B1234" s="46"/>
      <c r="C1234" s="47"/>
      <c r="D1234" s="47"/>
      <c r="E1234" s="46"/>
      <c r="F1234" s="46"/>
      <c r="G1234" s="47"/>
      <c r="H1234" s="47"/>
      <c r="I1234" s="47"/>
      <c r="J1234" s="45" t="str">
        <f aca="false">IF($A1234="","",IF(COUNTIF(Accounts!$C$2:$C$201,$A1234)+COUNTIF('Service Principals'!$C$2:$C$201,$A1234)+COUNTIF('Managed Identities'!$C$2:$C$201,$A1234)&gt;0,"Yes","NOT IN INVENTORY"))</f>
        <v/>
      </c>
    </row>
    <row r="1235" customFormat="false" ht="15" hidden="false" customHeight="false" outlineLevel="0" collapsed="false">
      <c r="A1235" s="46"/>
      <c r="B1235" s="46"/>
      <c r="C1235" s="47"/>
      <c r="D1235" s="47"/>
      <c r="E1235" s="46"/>
      <c r="F1235" s="46"/>
      <c r="G1235" s="47"/>
      <c r="H1235" s="47"/>
      <c r="I1235" s="47"/>
      <c r="J1235" s="45" t="str">
        <f aca="false">IF($A1235="","",IF(COUNTIF(Accounts!$C$2:$C$201,$A1235)+COUNTIF('Service Principals'!$C$2:$C$201,$A1235)+COUNTIF('Managed Identities'!$C$2:$C$201,$A1235)&gt;0,"Yes","NOT IN INVENTORY"))</f>
        <v/>
      </c>
    </row>
    <row r="1236" customFormat="false" ht="15" hidden="false" customHeight="false" outlineLevel="0" collapsed="false">
      <c r="A1236" s="46"/>
      <c r="B1236" s="46"/>
      <c r="C1236" s="47"/>
      <c r="D1236" s="47"/>
      <c r="E1236" s="46"/>
      <c r="F1236" s="46"/>
      <c r="G1236" s="47"/>
      <c r="H1236" s="47"/>
      <c r="I1236" s="47"/>
      <c r="J1236" s="45" t="str">
        <f aca="false">IF($A1236="","",IF(COUNTIF(Accounts!$C$2:$C$201,$A1236)+COUNTIF('Service Principals'!$C$2:$C$201,$A1236)+COUNTIF('Managed Identities'!$C$2:$C$201,$A1236)&gt;0,"Yes","NOT IN INVENTORY"))</f>
        <v/>
      </c>
    </row>
    <row r="1237" customFormat="false" ht="15" hidden="false" customHeight="false" outlineLevel="0" collapsed="false">
      <c r="A1237" s="46"/>
      <c r="B1237" s="46"/>
      <c r="C1237" s="47"/>
      <c r="D1237" s="47"/>
      <c r="E1237" s="46"/>
      <c r="F1237" s="46"/>
      <c r="G1237" s="47"/>
      <c r="H1237" s="47"/>
      <c r="I1237" s="47"/>
      <c r="J1237" s="45" t="str">
        <f aca="false">IF($A1237="","",IF(COUNTIF(Accounts!$C$2:$C$201,$A1237)+COUNTIF('Service Principals'!$C$2:$C$201,$A1237)+COUNTIF('Managed Identities'!$C$2:$C$201,$A1237)&gt;0,"Yes","NOT IN INVENTORY"))</f>
        <v/>
      </c>
    </row>
    <row r="1238" customFormat="false" ht="15" hidden="false" customHeight="false" outlineLevel="0" collapsed="false">
      <c r="A1238" s="46"/>
      <c r="B1238" s="46"/>
      <c r="C1238" s="47"/>
      <c r="D1238" s="47"/>
      <c r="E1238" s="46"/>
      <c r="F1238" s="46"/>
      <c r="G1238" s="47"/>
      <c r="H1238" s="47"/>
      <c r="I1238" s="47"/>
      <c r="J1238" s="45" t="str">
        <f aca="false">IF($A1238="","",IF(COUNTIF(Accounts!$C$2:$C$201,$A1238)+COUNTIF('Service Principals'!$C$2:$C$201,$A1238)+COUNTIF('Managed Identities'!$C$2:$C$201,$A1238)&gt;0,"Yes","NOT IN INVENTORY"))</f>
        <v/>
      </c>
    </row>
    <row r="1239" customFormat="false" ht="15" hidden="false" customHeight="false" outlineLevel="0" collapsed="false">
      <c r="A1239" s="46"/>
      <c r="B1239" s="46"/>
      <c r="C1239" s="47"/>
      <c r="D1239" s="47"/>
      <c r="E1239" s="46"/>
      <c r="F1239" s="46"/>
      <c r="G1239" s="47"/>
      <c r="H1239" s="47"/>
      <c r="I1239" s="47"/>
      <c r="J1239" s="45" t="str">
        <f aca="false">IF($A1239="","",IF(COUNTIF(Accounts!$C$2:$C$201,$A1239)+COUNTIF('Service Principals'!$C$2:$C$201,$A1239)+COUNTIF('Managed Identities'!$C$2:$C$201,$A1239)&gt;0,"Yes","NOT IN INVENTORY"))</f>
        <v/>
      </c>
    </row>
    <row r="1240" customFormat="false" ht="15" hidden="false" customHeight="false" outlineLevel="0" collapsed="false">
      <c r="A1240" s="46"/>
      <c r="B1240" s="46"/>
      <c r="C1240" s="47"/>
      <c r="D1240" s="47"/>
      <c r="E1240" s="46"/>
      <c r="F1240" s="46"/>
      <c r="G1240" s="47"/>
      <c r="H1240" s="47"/>
      <c r="I1240" s="47"/>
      <c r="J1240" s="45" t="str">
        <f aca="false">IF($A1240="","",IF(COUNTIF(Accounts!$C$2:$C$201,$A1240)+COUNTIF('Service Principals'!$C$2:$C$201,$A1240)+COUNTIF('Managed Identities'!$C$2:$C$201,$A1240)&gt;0,"Yes","NOT IN INVENTORY"))</f>
        <v/>
      </c>
    </row>
    <row r="1241" customFormat="false" ht="15" hidden="false" customHeight="false" outlineLevel="0" collapsed="false">
      <c r="A1241" s="46"/>
      <c r="B1241" s="46"/>
      <c r="C1241" s="47"/>
      <c r="D1241" s="47"/>
      <c r="E1241" s="46"/>
      <c r="F1241" s="46"/>
      <c r="G1241" s="47"/>
      <c r="H1241" s="47"/>
      <c r="I1241" s="47"/>
      <c r="J1241" s="45" t="str">
        <f aca="false">IF($A1241="","",IF(COUNTIF(Accounts!$C$2:$C$201,$A1241)+COUNTIF('Service Principals'!$C$2:$C$201,$A1241)+COUNTIF('Managed Identities'!$C$2:$C$201,$A1241)&gt;0,"Yes","NOT IN INVENTORY"))</f>
        <v/>
      </c>
    </row>
    <row r="1242" customFormat="false" ht="15" hidden="false" customHeight="false" outlineLevel="0" collapsed="false">
      <c r="A1242" s="46"/>
      <c r="B1242" s="46"/>
      <c r="C1242" s="47"/>
      <c r="D1242" s="47"/>
      <c r="E1242" s="46"/>
      <c r="F1242" s="46"/>
      <c r="G1242" s="47"/>
      <c r="H1242" s="47"/>
      <c r="I1242" s="47"/>
      <c r="J1242" s="45" t="str">
        <f aca="false">IF($A1242="","",IF(COUNTIF(Accounts!$C$2:$C$201,$A1242)+COUNTIF('Service Principals'!$C$2:$C$201,$A1242)+COUNTIF('Managed Identities'!$C$2:$C$201,$A1242)&gt;0,"Yes","NOT IN INVENTORY"))</f>
        <v/>
      </c>
    </row>
    <row r="1243" customFormat="false" ht="15" hidden="false" customHeight="false" outlineLevel="0" collapsed="false">
      <c r="A1243" s="46"/>
      <c r="B1243" s="46"/>
      <c r="C1243" s="47"/>
      <c r="D1243" s="47"/>
      <c r="E1243" s="46"/>
      <c r="F1243" s="46"/>
      <c r="G1243" s="47"/>
      <c r="H1243" s="47"/>
      <c r="I1243" s="47"/>
      <c r="J1243" s="45" t="str">
        <f aca="false">IF($A1243="","",IF(COUNTIF(Accounts!$C$2:$C$201,$A1243)+COUNTIF('Service Principals'!$C$2:$C$201,$A1243)+COUNTIF('Managed Identities'!$C$2:$C$201,$A1243)&gt;0,"Yes","NOT IN INVENTORY"))</f>
        <v/>
      </c>
    </row>
    <row r="1244" customFormat="false" ht="15" hidden="false" customHeight="false" outlineLevel="0" collapsed="false">
      <c r="A1244" s="46"/>
      <c r="B1244" s="46"/>
      <c r="C1244" s="47"/>
      <c r="D1244" s="47"/>
      <c r="E1244" s="46"/>
      <c r="F1244" s="46"/>
      <c r="G1244" s="47"/>
      <c r="H1244" s="47"/>
      <c r="I1244" s="47"/>
      <c r="J1244" s="45" t="str">
        <f aca="false">IF($A1244="","",IF(COUNTIF(Accounts!$C$2:$C$201,$A1244)+COUNTIF('Service Principals'!$C$2:$C$201,$A1244)+COUNTIF('Managed Identities'!$C$2:$C$201,$A1244)&gt;0,"Yes","NOT IN INVENTORY"))</f>
        <v/>
      </c>
    </row>
    <row r="1245" customFormat="false" ht="15" hidden="false" customHeight="false" outlineLevel="0" collapsed="false">
      <c r="A1245" s="46"/>
      <c r="B1245" s="46"/>
      <c r="C1245" s="47"/>
      <c r="D1245" s="47"/>
      <c r="E1245" s="46"/>
      <c r="F1245" s="46"/>
      <c r="G1245" s="47"/>
      <c r="H1245" s="47"/>
      <c r="I1245" s="47"/>
      <c r="J1245" s="45" t="str">
        <f aca="false">IF($A1245="","",IF(COUNTIF(Accounts!$C$2:$C$201,$A1245)+COUNTIF('Service Principals'!$C$2:$C$201,$A1245)+COUNTIF('Managed Identities'!$C$2:$C$201,$A1245)&gt;0,"Yes","NOT IN INVENTORY"))</f>
        <v/>
      </c>
    </row>
    <row r="1246" customFormat="false" ht="15" hidden="false" customHeight="false" outlineLevel="0" collapsed="false">
      <c r="A1246" s="46"/>
      <c r="B1246" s="46"/>
      <c r="C1246" s="47"/>
      <c r="D1246" s="47"/>
      <c r="E1246" s="46"/>
      <c r="F1246" s="46"/>
      <c r="G1246" s="47"/>
      <c r="H1246" s="47"/>
      <c r="I1246" s="47"/>
      <c r="J1246" s="45" t="str">
        <f aca="false">IF($A1246="","",IF(COUNTIF(Accounts!$C$2:$C$201,$A1246)+COUNTIF('Service Principals'!$C$2:$C$201,$A1246)+COUNTIF('Managed Identities'!$C$2:$C$201,$A1246)&gt;0,"Yes","NOT IN INVENTORY"))</f>
        <v/>
      </c>
    </row>
    <row r="1247" customFormat="false" ht="15" hidden="false" customHeight="false" outlineLevel="0" collapsed="false">
      <c r="A1247" s="46"/>
      <c r="B1247" s="46"/>
      <c r="C1247" s="47"/>
      <c r="D1247" s="47"/>
      <c r="E1247" s="46"/>
      <c r="F1247" s="46"/>
      <c r="G1247" s="47"/>
      <c r="H1247" s="47"/>
      <c r="I1247" s="47"/>
      <c r="J1247" s="45" t="str">
        <f aca="false">IF($A1247="","",IF(COUNTIF(Accounts!$C$2:$C$201,$A1247)+COUNTIF('Service Principals'!$C$2:$C$201,$A1247)+COUNTIF('Managed Identities'!$C$2:$C$201,$A1247)&gt;0,"Yes","NOT IN INVENTORY"))</f>
        <v/>
      </c>
    </row>
    <row r="1248" customFormat="false" ht="15" hidden="false" customHeight="false" outlineLevel="0" collapsed="false">
      <c r="A1248" s="46"/>
      <c r="B1248" s="46"/>
      <c r="C1248" s="47"/>
      <c r="D1248" s="47"/>
      <c r="E1248" s="46"/>
      <c r="F1248" s="46"/>
      <c r="G1248" s="47"/>
      <c r="H1248" s="47"/>
      <c r="I1248" s="47"/>
      <c r="J1248" s="45" t="str">
        <f aca="false">IF($A1248="","",IF(COUNTIF(Accounts!$C$2:$C$201,$A1248)+COUNTIF('Service Principals'!$C$2:$C$201,$A1248)+COUNTIF('Managed Identities'!$C$2:$C$201,$A1248)&gt;0,"Yes","NOT IN INVENTORY"))</f>
        <v/>
      </c>
    </row>
    <row r="1249" customFormat="false" ht="15" hidden="false" customHeight="false" outlineLevel="0" collapsed="false">
      <c r="A1249" s="46"/>
      <c r="B1249" s="46"/>
      <c r="C1249" s="47"/>
      <c r="D1249" s="47"/>
      <c r="E1249" s="46"/>
      <c r="F1249" s="46"/>
      <c r="G1249" s="47"/>
      <c r="H1249" s="47"/>
      <c r="I1249" s="47"/>
      <c r="J1249" s="45" t="str">
        <f aca="false">IF($A1249="","",IF(COUNTIF(Accounts!$C$2:$C$201,$A1249)+COUNTIF('Service Principals'!$C$2:$C$201,$A1249)+COUNTIF('Managed Identities'!$C$2:$C$201,$A1249)&gt;0,"Yes","NOT IN INVENTORY"))</f>
        <v/>
      </c>
    </row>
    <row r="1250" customFormat="false" ht="15" hidden="false" customHeight="false" outlineLevel="0" collapsed="false">
      <c r="A1250" s="46"/>
      <c r="B1250" s="46"/>
      <c r="C1250" s="47"/>
      <c r="D1250" s="47"/>
      <c r="E1250" s="46"/>
      <c r="F1250" s="46"/>
      <c r="G1250" s="47"/>
      <c r="H1250" s="47"/>
      <c r="I1250" s="47"/>
      <c r="J1250" s="45" t="str">
        <f aca="false">IF($A1250="","",IF(COUNTIF(Accounts!$C$2:$C$201,$A1250)+COUNTIF('Service Principals'!$C$2:$C$201,$A1250)+COUNTIF('Managed Identities'!$C$2:$C$201,$A1250)&gt;0,"Yes","NOT IN INVENTORY"))</f>
        <v/>
      </c>
    </row>
    <row r="1251" customFormat="false" ht="15" hidden="false" customHeight="false" outlineLevel="0" collapsed="false">
      <c r="A1251" s="46"/>
      <c r="B1251" s="46"/>
      <c r="C1251" s="47"/>
      <c r="D1251" s="47"/>
      <c r="E1251" s="46"/>
      <c r="F1251" s="46"/>
      <c r="G1251" s="47"/>
      <c r="H1251" s="47"/>
      <c r="I1251" s="47"/>
      <c r="J1251" s="45" t="str">
        <f aca="false">IF($A1251="","",IF(COUNTIF(Accounts!$C$2:$C$201,$A1251)+COUNTIF('Service Principals'!$C$2:$C$201,$A1251)+COUNTIF('Managed Identities'!$C$2:$C$201,$A1251)&gt;0,"Yes","NOT IN INVENTORY"))</f>
        <v/>
      </c>
    </row>
    <row r="1252" customFormat="false" ht="15" hidden="false" customHeight="false" outlineLevel="0" collapsed="false">
      <c r="A1252" s="46"/>
      <c r="B1252" s="46"/>
      <c r="C1252" s="47"/>
      <c r="D1252" s="47"/>
      <c r="E1252" s="46"/>
      <c r="F1252" s="46"/>
      <c r="G1252" s="47"/>
      <c r="H1252" s="47"/>
      <c r="I1252" s="47"/>
      <c r="J1252" s="45" t="str">
        <f aca="false">IF($A1252="","",IF(COUNTIF(Accounts!$C$2:$C$201,$A1252)+COUNTIF('Service Principals'!$C$2:$C$201,$A1252)+COUNTIF('Managed Identities'!$C$2:$C$201,$A1252)&gt;0,"Yes","NOT IN INVENTORY"))</f>
        <v/>
      </c>
    </row>
    <row r="1253" customFormat="false" ht="15" hidden="false" customHeight="false" outlineLevel="0" collapsed="false">
      <c r="A1253" s="46"/>
      <c r="B1253" s="46"/>
      <c r="C1253" s="47"/>
      <c r="D1253" s="47"/>
      <c r="E1253" s="46"/>
      <c r="F1253" s="46"/>
      <c r="G1253" s="47"/>
      <c r="H1253" s="47"/>
      <c r="I1253" s="47"/>
      <c r="J1253" s="45" t="str">
        <f aca="false">IF($A1253="","",IF(COUNTIF(Accounts!$C$2:$C$201,$A1253)+COUNTIF('Service Principals'!$C$2:$C$201,$A1253)+COUNTIF('Managed Identities'!$C$2:$C$201,$A1253)&gt;0,"Yes","NOT IN INVENTORY"))</f>
        <v/>
      </c>
    </row>
    <row r="1254" customFormat="false" ht="15" hidden="false" customHeight="false" outlineLevel="0" collapsed="false">
      <c r="A1254" s="46"/>
      <c r="B1254" s="46"/>
      <c r="C1254" s="47"/>
      <c r="D1254" s="47"/>
      <c r="E1254" s="46"/>
      <c r="F1254" s="46"/>
      <c r="G1254" s="47"/>
      <c r="H1254" s="47"/>
      <c r="I1254" s="47"/>
      <c r="J1254" s="45" t="str">
        <f aca="false">IF($A1254="","",IF(COUNTIF(Accounts!$C$2:$C$201,$A1254)+COUNTIF('Service Principals'!$C$2:$C$201,$A1254)+COUNTIF('Managed Identities'!$C$2:$C$201,$A1254)&gt;0,"Yes","NOT IN INVENTORY"))</f>
        <v/>
      </c>
    </row>
    <row r="1255" customFormat="false" ht="15" hidden="false" customHeight="false" outlineLevel="0" collapsed="false">
      <c r="A1255" s="46"/>
      <c r="B1255" s="46"/>
      <c r="C1255" s="47"/>
      <c r="D1255" s="47"/>
      <c r="E1255" s="46"/>
      <c r="F1255" s="46"/>
      <c r="G1255" s="47"/>
      <c r="H1255" s="47"/>
      <c r="I1255" s="47"/>
      <c r="J1255" s="45" t="str">
        <f aca="false">IF($A1255="","",IF(COUNTIF(Accounts!$C$2:$C$201,$A1255)+COUNTIF('Service Principals'!$C$2:$C$201,$A1255)+COUNTIF('Managed Identities'!$C$2:$C$201,$A1255)&gt;0,"Yes","NOT IN INVENTORY"))</f>
        <v/>
      </c>
    </row>
    <row r="1256" customFormat="false" ht="15" hidden="false" customHeight="false" outlineLevel="0" collapsed="false">
      <c r="A1256" s="46"/>
      <c r="B1256" s="46"/>
      <c r="C1256" s="47"/>
      <c r="D1256" s="47"/>
      <c r="E1256" s="46"/>
      <c r="F1256" s="46"/>
      <c r="G1256" s="47"/>
      <c r="H1256" s="47"/>
      <c r="I1256" s="47"/>
      <c r="J1256" s="45" t="str">
        <f aca="false">IF($A1256="","",IF(COUNTIF(Accounts!$C$2:$C$201,$A1256)+COUNTIF('Service Principals'!$C$2:$C$201,$A1256)+COUNTIF('Managed Identities'!$C$2:$C$201,$A1256)&gt;0,"Yes","NOT IN INVENTORY"))</f>
        <v/>
      </c>
    </row>
    <row r="1257" customFormat="false" ht="15" hidden="false" customHeight="false" outlineLevel="0" collapsed="false">
      <c r="A1257" s="46"/>
      <c r="B1257" s="46"/>
      <c r="C1257" s="47"/>
      <c r="D1257" s="47"/>
      <c r="E1257" s="46"/>
      <c r="F1257" s="46"/>
      <c r="G1257" s="47"/>
      <c r="H1257" s="47"/>
      <c r="I1257" s="47"/>
      <c r="J1257" s="45" t="str">
        <f aca="false">IF($A1257="","",IF(COUNTIF(Accounts!$C$2:$C$201,$A1257)+COUNTIF('Service Principals'!$C$2:$C$201,$A1257)+COUNTIF('Managed Identities'!$C$2:$C$201,$A1257)&gt;0,"Yes","NOT IN INVENTORY"))</f>
        <v/>
      </c>
    </row>
    <row r="1258" customFormat="false" ht="15" hidden="false" customHeight="false" outlineLevel="0" collapsed="false">
      <c r="A1258" s="46"/>
      <c r="B1258" s="46"/>
      <c r="C1258" s="47"/>
      <c r="D1258" s="47"/>
      <c r="E1258" s="46"/>
      <c r="F1258" s="46"/>
      <c r="G1258" s="47"/>
      <c r="H1258" s="47"/>
      <c r="I1258" s="47"/>
      <c r="J1258" s="45" t="str">
        <f aca="false">IF($A1258="","",IF(COUNTIF(Accounts!$C$2:$C$201,$A1258)+COUNTIF('Service Principals'!$C$2:$C$201,$A1258)+COUNTIF('Managed Identities'!$C$2:$C$201,$A1258)&gt;0,"Yes","NOT IN INVENTORY"))</f>
        <v/>
      </c>
    </row>
    <row r="1259" customFormat="false" ht="15" hidden="false" customHeight="false" outlineLevel="0" collapsed="false">
      <c r="A1259" s="46"/>
      <c r="B1259" s="46"/>
      <c r="C1259" s="47"/>
      <c r="D1259" s="47"/>
      <c r="E1259" s="46"/>
      <c r="F1259" s="46"/>
      <c r="G1259" s="47"/>
      <c r="H1259" s="47"/>
      <c r="I1259" s="47"/>
      <c r="J1259" s="45" t="str">
        <f aca="false">IF($A1259="","",IF(COUNTIF(Accounts!$C$2:$C$201,$A1259)+COUNTIF('Service Principals'!$C$2:$C$201,$A1259)+COUNTIF('Managed Identities'!$C$2:$C$201,$A1259)&gt;0,"Yes","NOT IN INVENTORY"))</f>
        <v/>
      </c>
    </row>
    <row r="1260" customFormat="false" ht="15" hidden="false" customHeight="false" outlineLevel="0" collapsed="false">
      <c r="A1260" s="46"/>
      <c r="B1260" s="46"/>
      <c r="C1260" s="47"/>
      <c r="D1260" s="47"/>
      <c r="E1260" s="46"/>
      <c r="F1260" s="46"/>
      <c r="G1260" s="47"/>
      <c r="H1260" s="47"/>
      <c r="I1260" s="47"/>
      <c r="J1260" s="45" t="str">
        <f aca="false">IF($A1260="","",IF(COUNTIF(Accounts!$C$2:$C$201,$A1260)+COUNTIF('Service Principals'!$C$2:$C$201,$A1260)+COUNTIF('Managed Identities'!$C$2:$C$201,$A1260)&gt;0,"Yes","NOT IN INVENTORY"))</f>
        <v/>
      </c>
    </row>
    <row r="1261" customFormat="false" ht="15" hidden="false" customHeight="false" outlineLevel="0" collapsed="false">
      <c r="A1261" s="46"/>
      <c r="B1261" s="46"/>
      <c r="C1261" s="47"/>
      <c r="D1261" s="47"/>
      <c r="E1261" s="46"/>
      <c r="F1261" s="46"/>
      <c r="G1261" s="47"/>
      <c r="H1261" s="47"/>
      <c r="I1261" s="47"/>
      <c r="J1261" s="45" t="str">
        <f aca="false">IF($A1261="","",IF(COUNTIF(Accounts!$C$2:$C$201,$A1261)+COUNTIF('Service Principals'!$C$2:$C$201,$A1261)+COUNTIF('Managed Identities'!$C$2:$C$201,$A1261)&gt;0,"Yes","NOT IN INVENTORY"))</f>
        <v/>
      </c>
    </row>
    <row r="1262" customFormat="false" ht="15" hidden="false" customHeight="false" outlineLevel="0" collapsed="false">
      <c r="A1262" s="46"/>
      <c r="B1262" s="46"/>
      <c r="C1262" s="47"/>
      <c r="D1262" s="47"/>
      <c r="E1262" s="46"/>
      <c r="F1262" s="46"/>
      <c r="G1262" s="47"/>
      <c r="H1262" s="47"/>
      <c r="I1262" s="47"/>
      <c r="J1262" s="45" t="str">
        <f aca="false">IF($A1262="","",IF(COUNTIF(Accounts!$C$2:$C$201,$A1262)+COUNTIF('Service Principals'!$C$2:$C$201,$A1262)+COUNTIF('Managed Identities'!$C$2:$C$201,$A1262)&gt;0,"Yes","NOT IN INVENTORY"))</f>
        <v/>
      </c>
    </row>
    <row r="1263" customFormat="false" ht="15" hidden="false" customHeight="false" outlineLevel="0" collapsed="false">
      <c r="A1263" s="46"/>
      <c r="B1263" s="46"/>
      <c r="C1263" s="47"/>
      <c r="D1263" s="47"/>
      <c r="E1263" s="46"/>
      <c r="F1263" s="46"/>
      <c r="G1263" s="47"/>
      <c r="H1263" s="47"/>
      <c r="I1263" s="47"/>
      <c r="J1263" s="45" t="str">
        <f aca="false">IF($A1263="","",IF(COUNTIF(Accounts!$C$2:$C$201,$A1263)+COUNTIF('Service Principals'!$C$2:$C$201,$A1263)+COUNTIF('Managed Identities'!$C$2:$C$201,$A1263)&gt;0,"Yes","NOT IN INVENTORY"))</f>
        <v/>
      </c>
    </row>
    <row r="1264" customFormat="false" ht="15" hidden="false" customHeight="false" outlineLevel="0" collapsed="false">
      <c r="A1264" s="46"/>
      <c r="B1264" s="46"/>
      <c r="C1264" s="47"/>
      <c r="D1264" s="47"/>
      <c r="E1264" s="46"/>
      <c r="F1264" s="46"/>
      <c r="G1264" s="47"/>
      <c r="H1264" s="47"/>
      <c r="I1264" s="47"/>
      <c r="J1264" s="45" t="str">
        <f aca="false">IF($A1264="","",IF(COUNTIF(Accounts!$C$2:$C$201,$A1264)+COUNTIF('Service Principals'!$C$2:$C$201,$A1264)+COUNTIF('Managed Identities'!$C$2:$C$201,$A1264)&gt;0,"Yes","NOT IN INVENTORY"))</f>
        <v/>
      </c>
    </row>
    <row r="1265" customFormat="false" ht="15" hidden="false" customHeight="false" outlineLevel="0" collapsed="false">
      <c r="A1265" s="46"/>
      <c r="B1265" s="46"/>
      <c r="C1265" s="47"/>
      <c r="D1265" s="47"/>
      <c r="E1265" s="46"/>
      <c r="F1265" s="46"/>
      <c r="G1265" s="47"/>
      <c r="H1265" s="47"/>
      <c r="I1265" s="47"/>
      <c r="J1265" s="45" t="str">
        <f aca="false">IF($A1265="","",IF(COUNTIF(Accounts!$C$2:$C$201,$A1265)+COUNTIF('Service Principals'!$C$2:$C$201,$A1265)+COUNTIF('Managed Identities'!$C$2:$C$201,$A1265)&gt;0,"Yes","NOT IN INVENTORY"))</f>
        <v/>
      </c>
    </row>
    <row r="1266" customFormat="false" ht="15" hidden="false" customHeight="false" outlineLevel="0" collapsed="false">
      <c r="A1266" s="46"/>
      <c r="B1266" s="46"/>
      <c r="C1266" s="47"/>
      <c r="D1266" s="47"/>
      <c r="E1266" s="46"/>
      <c r="F1266" s="46"/>
      <c r="G1266" s="47"/>
      <c r="H1266" s="47"/>
      <c r="I1266" s="47"/>
      <c r="J1266" s="45" t="str">
        <f aca="false">IF($A1266="","",IF(COUNTIF(Accounts!$C$2:$C$201,$A1266)+COUNTIF('Service Principals'!$C$2:$C$201,$A1266)+COUNTIF('Managed Identities'!$C$2:$C$201,$A1266)&gt;0,"Yes","NOT IN INVENTORY"))</f>
        <v/>
      </c>
    </row>
    <row r="1267" customFormat="false" ht="15" hidden="false" customHeight="false" outlineLevel="0" collapsed="false">
      <c r="A1267" s="46"/>
      <c r="B1267" s="46"/>
      <c r="C1267" s="47"/>
      <c r="D1267" s="47"/>
      <c r="E1267" s="46"/>
      <c r="F1267" s="46"/>
      <c r="G1267" s="47"/>
      <c r="H1267" s="47"/>
      <c r="I1267" s="47"/>
      <c r="J1267" s="45" t="str">
        <f aca="false">IF($A1267="","",IF(COUNTIF(Accounts!$C$2:$C$201,$A1267)+COUNTIF('Service Principals'!$C$2:$C$201,$A1267)+COUNTIF('Managed Identities'!$C$2:$C$201,$A1267)&gt;0,"Yes","NOT IN INVENTORY"))</f>
        <v/>
      </c>
    </row>
    <row r="1268" customFormat="false" ht="15" hidden="false" customHeight="false" outlineLevel="0" collapsed="false">
      <c r="A1268" s="46"/>
      <c r="B1268" s="46"/>
      <c r="C1268" s="47"/>
      <c r="D1268" s="47"/>
      <c r="E1268" s="46"/>
      <c r="F1268" s="46"/>
      <c r="G1268" s="47"/>
      <c r="H1268" s="47"/>
      <c r="I1268" s="47"/>
      <c r="J1268" s="45" t="str">
        <f aca="false">IF($A1268="","",IF(COUNTIF(Accounts!$C$2:$C$201,$A1268)+COUNTIF('Service Principals'!$C$2:$C$201,$A1268)+COUNTIF('Managed Identities'!$C$2:$C$201,$A1268)&gt;0,"Yes","NOT IN INVENTORY"))</f>
        <v/>
      </c>
    </row>
    <row r="1269" customFormat="false" ht="15" hidden="false" customHeight="false" outlineLevel="0" collapsed="false">
      <c r="A1269" s="46"/>
      <c r="B1269" s="46"/>
      <c r="C1269" s="47"/>
      <c r="D1269" s="47"/>
      <c r="E1269" s="46"/>
      <c r="F1269" s="46"/>
      <c r="G1269" s="47"/>
      <c r="H1269" s="47"/>
      <c r="I1269" s="47"/>
      <c r="J1269" s="45" t="str">
        <f aca="false">IF($A1269="","",IF(COUNTIF(Accounts!$C$2:$C$201,$A1269)+COUNTIF('Service Principals'!$C$2:$C$201,$A1269)+COUNTIF('Managed Identities'!$C$2:$C$201,$A1269)&gt;0,"Yes","NOT IN INVENTORY"))</f>
        <v/>
      </c>
    </row>
    <row r="1270" customFormat="false" ht="15" hidden="false" customHeight="false" outlineLevel="0" collapsed="false">
      <c r="A1270" s="46"/>
      <c r="B1270" s="46"/>
      <c r="C1270" s="47"/>
      <c r="D1270" s="47"/>
      <c r="E1270" s="46"/>
      <c r="F1270" s="46"/>
      <c r="G1270" s="47"/>
      <c r="H1270" s="47"/>
      <c r="I1270" s="47"/>
      <c r="J1270" s="45" t="str">
        <f aca="false">IF($A1270="","",IF(COUNTIF(Accounts!$C$2:$C$201,$A1270)+COUNTIF('Service Principals'!$C$2:$C$201,$A1270)+COUNTIF('Managed Identities'!$C$2:$C$201,$A1270)&gt;0,"Yes","NOT IN INVENTORY"))</f>
        <v/>
      </c>
    </row>
    <row r="1271" customFormat="false" ht="15" hidden="false" customHeight="false" outlineLevel="0" collapsed="false">
      <c r="A1271" s="46"/>
      <c r="B1271" s="46"/>
      <c r="C1271" s="47"/>
      <c r="D1271" s="47"/>
      <c r="E1271" s="46"/>
      <c r="F1271" s="46"/>
      <c r="G1271" s="47"/>
      <c r="H1271" s="47"/>
      <c r="I1271" s="47"/>
      <c r="J1271" s="45" t="str">
        <f aca="false">IF($A1271="","",IF(COUNTIF(Accounts!$C$2:$C$201,$A1271)+COUNTIF('Service Principals'!$C$2:$C$201,$A1271)+COUNTIF('Managed Identities'!$C$2:$C$201,$A1271)&gt;0,"Yes","NOT IN INVENTORY"))</f>
        <v/>
      </c>
    </row>
    <row r="1272" customFormat="false" ht="15" hidden="false" customHeight="false" outlineLevel="0" collapsed="false">
      <c r="A1272" s="46"/>
      <c r="B1272" s="46"/>
      <c r="C1272" s="47"/>
      <c r="D1272" s="47"/>
      <c r="E1272" s="46"/>
      <c r="F1272" s="46"/>
      <c r="G1272" s="47"/>
      <c r="H1272" s="47"/>
      <c r="I1272" s="47"/>
      <c r="J1272" s="45" t="str">
        <f aca="false">IF($A1272="","",IF(COUNTIF(Accounts!$C$2:$C$201,$A1272)+COUNTIF('Service Principals'!$C$2:$C$201,$A1272)+COUNTIF('Managed Identities'!$C$2:$C$201,$A1272)&gt;0,"Yes","NOT IN INVENTORY"))</f>
        <v/>
      </c>
    </row>
    <row r="1273" customFormat="false" ht="15" hidden="false" customHeight="false" outlineLevel="0" collapsed="false">
      <c r="A1273" s="46"/>
      <c r="B1273" s="46"/>
      <c r="C1273" s="47"/>
      <c r="D1273" s="47"/>
      <c r="E1273" s="46"/>
      <c r="F1273" s="46"/>
      <c r="G1273" s="47"/>
      <c r="H1273" s="47"/>
      <c r="I1273" s="47"/>
      <c r="J1273" s="45" t="str">
        <f aca="false">IF($A1273="","",IF(COUNTIF(Accounts!$C$2:$C$201,$A1273)+COUNTIF('Service Principals'!$C$2:$C$201,$A1273)+COUNTIF('Managed Identities'!$C$2:$C$201,$A1273)&gt;0,"Yes","NOT IN INVENTORY"))</f>
        <v/>
      </c>
    </row>
    <row r="1274" customFormat="false" ht="15" hidden="false" customHeight="false" outlineLevel="0" collapsed="false">
      <c r="A1274" s="46"/>
      <c r="B1274" s="46"/>
      <c r="C1274" s="47"/>
      <c r="D1274" s="47"/>
      <c r="E1274" s="46"/>
      <c r="F1274" s="46"/>
      <c r="G1274" s="47"/>
      <c r="H1274" s="47"/>
      <c r="I1274" s="47"/>
      <c r="J1274" s="45" t="str">
        <f aca="false">IF($A1274="","",IF(COUNTIF(Accounts!$C$2:$C$201,$A1274)+COUNTIF('Service Principals'!$C$2:$C$201,$A1274)+COUNTIF('Managed Identities'!$C$2:$C$201,$A1274)&gt;0,"Yes","NOT IN INVENTORY"))</f>
        <v/>
      </c>
    </row>
    <row r="1275" customFormat="false" ht="15" hidden="false" customHeight="false" outlineLevel="0" collapsed="false">
      <c r="A1275" s="46"/>
      <c r="B1275" s="46"/>
      <c r="C1275" s="47"/>
      <c r="D1275" s="47"/>
      <c r="E1275" s="46"/>
      <c r="F1275" s="46"/>
      <c r="G1275" s="47"/>
      <c r="H1275" s="47"/>
      <c r="I1275" s="47"/>
      <c r="J1275" s="45" t="str">
        <f aca="false">IF($A1275="","",IF(COUNTIF(Accounts!$C$2:$C$201,$A1275)+COUNTIF('Service Principals'!$C$2:$C$201,$A1275)+COUNTIF('Managed Identities'!$C$2:$C$201,$A1275)&gt;0,"Yes","NOT IN INVENTORY"))</f>
        <v/>
      </c>
    </row>
    <row r="1276" customFormat="false" ht="15" hidden="false" customHeight="false" outlineLevel="0" collapsed="false">
      <c r="A1276" s="46"/>
      <c r="B1276" s="46"/>
      <c r="C1276" s="47"/>
      <c r="D1276" s="47"/>
      <c r="E1276" s="46"/>
      <c r="F1276" s="46"/>
      <c r="G1276" s="47"/>
      <c r="H1276" s="47"/>
      <c r="I1276" s="47"/>
      <c r="J1276" s="45" t="str">
        <f aca="false">IF($A1276="","",IF(COUNTIF(Accounts!$C$2:$C$201,$A1276)+COUNTIF('Service Principals'!$C$2:$C$201,$A1276)+COUNTIF('Managed Identities'!$C$2:$C$201,$A1276)&gt;0,"Yes","NOT IN INVENTORY"))</f>
        <v/>
      </c>
    </row>
    <row r="1277" customFormat="false" ht="15" hidden="false" customHeight="false" outlineLevel="0" collapsed="false">
      <c r="A1277" s="46"/>
      <c r="B1277" s="46"/>
      <c r="C1277" s="47"/>
      <c r="D1277" s="47"/>
      <c r="E1277" s="46"/>
      <c r="F1277" s="46"/>
      <c r="G1277" s="47"/>
      <c r="H1277" s="47"/>
      <c r="I1277" s="47"/>
      <c r="J1277" s="45" t="str">
        <f aca="false">IF($A1277="","",IF(COUNTIF(Accounts!$C$2:$C$201,$A1277)+COUNTIF('Service Principals'!$C$2:$C$201,$A1277)+COUNTIF('Managed Identities'!$C$2:$C$201,$A1277)&gt;0,"Yes","NOT IN INVENTORY"))</f>
        <v/>
      </c>
    </row>
    <row r="1278" customFormat="false" ht="15" hidden="false" customHeight="false" outlineLevel="0" collapsed="false">
      <c r="A1278" s="46"/>
      <c r="B1278" s="46"/>
      <c r="C1278" s="47"/>
      <c r="D1278" s="47"/>
      <c r="E1278" s="46"/>
      <c r="F1278" s="46"/>
      <c r="G1278" s="47"/>
      <c r="H1278" s="47"/>
      <c r="I1278" s="47"/>
      <c r="J1278" s="45" t="str">
        <f aca="false">IF($A1278="","",IF(COUNTIF(Accounts!$C$2:$C$201,$A1278)+COUNTIF('Service Principals'!$C$2:$C$201,$A1278)+COUNTIF('Managed Identities'!$C$2:$C$201,$A1278)&gt;0,"Yes","NOT IN INVENTORY"))</f>
        <v/>
      </c>
    </row>
    <row r="1279" customFormat="false" ht="15" hidden="false" customHeight="false" outlineLevel="0" collapsed="false">
      <c r="A1279" s="46"/>
      <c r="B1279" s="46"/>
      <c r="C1279" s="47"/>
      <c r="D1279" s="47"/>
      <c r="E1279" s="46"/>
      <c r="F1279" s="46"/>
      <c r="G1279" s="47"/>
      <c r="H1279" s="47"/>
      <c r="I1279" s="47"/>
      <c r="J1279" s="45" t="str">
        <f aca="false">IF($A1279="","",IF(COUNTIF(Accounts!$C$2:$C$201,$A1279)+COUNTIF('Service Principals'!$C$2:$C$201,$A1279)+COUNTIF('Managed Identities'!$C$2:$C$201,$A1279)&gt;0,"Yes","NOT IN INVENTORY"))</f>
        <v/>
      </c>
    </row>
    <row r="1280" customFormat="false" ht="15" hidden="false" customHeight="false" outlineLevel="0" collapsed="false">
      <c r="A1280" s="46"/>
      <c r="B1280" s="46"/>
      <c r="C1280" s="47"/>
      <c r="D1280" s="47"/>
      <c r="E1280" s="46"/>
      <c r="F1280" s="46"/>
      <c r="G1280" s="47"/>
      <c r="H1280" s="47"/>
      <c r="I1280" s="47"/>
      <c r="J1280" s="45" t="str">
        <f aca="false">IF($A1280="","",IF(COUNTIF(Accounts!$C$2:$C$201,$A1280)+COUNTIF('Service Principals'!$C$2:$C$201,$A1280)+COUNTIF('Managed Identities'!$C$2:$C$201,$A1280)&gt;0,"Yes","NOT IN INVENTORY"))</f>
        <v/>
      </c>
    </row>
    <row r="1281" customFormat="false" ht="15" hidden="false" customHeight="false" outlineLevel="0" collapsed="false">
      <c r="A1281" s="46"/>
      <c r="B1281" s="46"/>
      <c r="C1281" s="47"/>
      <c r="D1281" s="47"/>
      <c r="E1281" s="46"/>
      <c r="F1281" s="46"/>
      <c r="G1281" s="47"/>
      <c r="H1281" s="47"/>
      <c r="I1281" s="47"/>
      <c r="J1281" s="45" t="str">
        <f aca="false">IF($A1281="","",IF(COUNTIF(Accounts!$C$2:$C$201,$A1281)+COUNTIF('Service Principals'!$C$2:$C$201,$A1281)+COUNTIF('Managed Identities'!$C$2:$C$201,$A1281)&gt;0,"Yes","NOT IN INVENTORY"))</f>
        <v/>
      </c>
    </row>
    <row r="1282" customFormat="false" ht="15" hidden="false" customHeight="false" outlineLevel="0" collapsed="false">
      <c r="A1282" s="46"/>
      <c r="B1282" s="46"/>
      <c r="C1282" s="47"/>
      <c r="D1282" s="47"/>
      <c r="E1282" s="46"/>
      <c r="F1282" s="46"/>
      <c r="G1282" s="47"/>
      <c r="H1282" s="47"/>
      <c r="I1282" s="47"/>
      <c r="J1282" s="45" t="str">
        <f aca="false">IF($A1282="","",IF(COUNTIF(Accounts!$C$2:$C$201,$A1282)+COUNTIF('Service Principals'!$C$2:$C$201,$A1282)+COUNTIF('Managed Identities'!$C$2:$C$201,$A1282)&gt;0,"Yes","NOT IN INVENTORY"))</f>
        <v/>
      </c>
    </row>
    <row r="1283" customFormat="false" ht="15" hidden="false" customHeight="false" outlineLevel="0" collapsed="false">
      <c r="A1283" s="46"/>
      <c r="B1283" s="46"/>
      <c r="C1283" s="47"/>
      <c r="D1283" s="47"/>
      <c r="E1283" s="46"/>
      <c r="F1283" s="46"/>
      <c r="G1283" s="47"/>
      <c r="H1283" s="47"/>
      <c r="I1283" s="47"/>
      <c r="J1283" s="45" t="str">
        <f aca="false">IF($A1283="","",IF(COUNTIF(Accounts!$C$2:$C$201,$A1283)+COUNTIF('Service Principals'!$C$2:$C$201,$A1283)+COUNTIF('Managed Identities'!$C$2:$C$201,$A1283)&gt;0,"Yes","NOT IN INVENTORY"))</f>
        <v/>
      </c>
    </row>
    <row r="1284" customFormat="false" ht="15" hidden="false" customHeight="false" outlineLevel="0" collapsed="false">
      <c r="A1284" s="46"/>
      <c r="B1284" s="46"/>
      <c r="C1284" s="47"/>
      <c r="D1284" s="47"/>
      <c r="E1284" s="46"/>
      <c r="F1284" s="46"/>
      <c r="G1284" s="47"/>
      <c r="H1284" s="47"/>
      <c r="I1284" s="47"/>
      <c r="J1284" s="45" t="str">
        <f aca="false">IF($A1284="","",IF(COUNTIF(Accounts!$C$2:$C$201,$A1284)+COUNTIF('Service Principals'!$C$2:$C$201,$A1284)+COUNTIF('Managed Identities'!$C$2:$C$201,$A1284)&gt;0,"Yes","NOT IN INVENTORY"))</f>
        <v/>
      </c>
    </row>
    <row r="1285" customFormat="false" ht="15" hidden="false" customHeight="false" outlineLevel="0" collapsed="false">
      <c r="A1285" s="46"/>
      <c r="B1285" s="46"/>
      <c r="C1285" s="47"/>
      <c r="D1285" s="47"/>
      <c r="E1285" s="46"/>
      <c r="F1285" s="46"/>
      <c r="G1285" s="47"/>
      <c r="H1285" s="47"/>
      <c r="I1285" s="47"/>
      <c r="J1285" s="45" t="str">
        <f aca="false">IF($A1285="","",IF(COUNTIF(Accounts!$C$2:$C$201,$A1285)+COUNTIF('Service Principals'!$C$2:$C$201,$A1285)+COUNTIF('Managed Identities'!$C$2:$C$201,$A1285)&gt;0,"Yes","NOT IN INVENTORY"))</f>
        <v/>
      </c>
    </row>
    <row r="1286" customFormat="false" ht="15" hidden="false" customHeight="false" outlineLevel="0" collapsed="false">
      <c r="A1286" s="46"/>
      <c r="B1286" s="46"/>
      <c r="C1286" s="47"/>
      <c r="D1286" s="47"/>
      <c r="E1286" s="46"/>
      <c r="F1286" s="46"/>
      <c r="G1286" s="47"/>
      <c r="H1286" s="47"/>
      <c r="I1286" s="47"/>
      <c r="J1286" s="45" t="str">
        <f aca="false">IF($A1286="","",IF(COUNTIF(Accounts!$C$2:$C$201,$A1286)+COUNTIF('Service Principals'!$C$2:$C$201,$A1286)+COUNTIF('Managed Identities'!$C$2:$C$201,$A1286)&gt;0,"Yes","NOT IN INVENTORY"))</f>
        <v/>
      </c>
    </row>
    <row r="1287" customFormat="false" ht="15" hidden="false" customHeight="false" outlineLevel="0" collapsed="false">
      <c r="A1287" s="46"/>
      <c r="B1287" s="46"/>
      <c r="C1287" s="47"/>
      <c r="D1287" s="47"/>
      <c r="E1287" s="46"/>
      <c r="F1287" s="46"/>
      <c r="G1287" s="47"/>
      <c r="H1287" s="47"/>
      <c r="I1287" s="47"/>
      <c r="J1287" s="45" t="str">
        <f aca="false">IF($A1287="","",IF(COUNTIF(Accounts!$C$2:$C$201,$A1287)+COUNTIF('Service Principals'!$C$2:$C$201,$A1287)+COUNTIF('Managed Identities'!$C$2:$C$201,$A1287)&gt;0,"Yes","NOT IN INVENTORY"))</f>
        <v/>
      </c>
    </row>
    <row r="1288" customFormat="false" ht="15" hidden="false" customHeight="false" outlineLevel="0" collapsed="false">
      <c r="A1288" s="46"/>
      <c r="B1288" s="46"/>
      <c r="C1288" s="47"/>
      <c r="D1288" s="47"/>
      <c r="E1288" s="46"/>
      <c r="F1288" s="46"/>
      <c r="G1288" s="47"/>
      <c r="H1288" s="47"/>
      <c r="I1288" s="47"/>
      <c r="J1288" s="45" t="str">
        <f aca="false">IF($A1288="","",IF(COUNTIF(Accounts!$C$2:$C$201,$A1288)+COUNTIF('Service Principals'!$C$2:$C$201,$A1288)+COUNTIF('Managed Identities'!$C$2:$C$201,$A1288)&gt;0,"Yes","NOT IN INVENTORY"))</f>
        <v/>
      </c>
    </row>
    <row r="1289" customFormat="false" ht="15" hidden="false" customHeight="false" outlineLevel="0" collapsed="false">
      <c r="A1289" s="46"/>
      <c r="B1289" s="46"/>
      <c r="C1289" s="47"/>
      <c r="D1289" s="47"/>
      <c r="E1289" s="46"/>
      <c r="F1289" s="46"/>
      <c r="G1289" s="47"/>
      <c r="H1289" s="47"/>
      <c r="I1289" s="47"/>
      <c r="J1289" s="45" t="str">
        <f aca="false">IF($A1289="","",IF(COUNTIF(Accounts!$C$2:$C$201,$A1289)+COUNTIF('Service Principals'!$C$2:$C$201,$A1289)+COUNTIF('Managed Identities'!$C$2:$C$201,$A1289)&gt;0,"Yes","NOT IN INVENTORY"))</f>
        <v/>
      </c>
    </row>
    <row r="1290" customFormat="false" ht="15" hidden="false" customHeight="false" outlineLevel="0" collapsed="false">
      <c r="A1290" s="46"/>
      <c r="B1290" s="46"/>
      <c r="C1290" s="47"/>
      <c r="D1290" s="47"/>
      <c r="E1290" s="46"/>
      <c r="F1290" s="46"/>
      <c r="G1290" s="47"/>
      <c r="H1290" s="47"/>
      <c r="I1290" s="47"/>
      <c r="J1290" s="45" t="str">
        <f aca="false">IF($A1290="","",IF(COUNTIF(Accounts!$C$2:$C$201,$A1290)+COUNTIF('Service Principals'!$C$2:$C$201,$A1290)+COUNTIF('Managed Identities'!$C$2:$C$201,$A1290)&gt;0,"Yes","NOT IN INVENTORY"))</f>
        <v/>
      </c>
    </row>
    <row r="1291" customFormat="false" ht="15" hidden="false" customHeight="false" outlineLevel="0" collapsed="false">
      <c r="A1291" s="46"/>
      <c r="B1291" s="46"/>
      <c r="C1291" s="47"/>
      <c r="D1291" s="47"/>
      <c r="E1291" s="46"/>
      <c r="F1291" s="46"/>
      <c r="G1291" s="47"/>
      <c r="H1291" s="47"/>
      <c r="I1291" s="47"/>
      <c r="J1291" s="45" t="str">
        <f aca="false">IF($A1291="","",IF(COUNTIF(Accounts!$C$2:$C$201,$A1291)+COUNTIF('Service Principals'!$C$2:$C$201,$A1291)+COUNTIF('Managed Identities'!$C$2:$C$201,$A1291)&gt;0,"Yes","NOT IN INVENTORY"))</f>
        <v/>
      </c>
    </row>
    <row r="1292" customFormat="false" ht="15" hidden="false" customHeight="false" outlineLevel="0" collapsed="false">
      <c r="A1292" s="46"/>
      <c r="B1292" s="46"/>
      <c r="C1292" s="47"/>
      <c r="D1292" s="47"/>
      <c r="E1292" s="46"/>
      <c r="F1292" s="46"/>
      <c r="G1292" s="47"/>
      <c r="H1292" s="47"/>
      <c r="I1292" s="47"/>
      <c r="J1292" s="45" t="str">
        <f aca="false">IF($A1292="","",IF(COUNTIF(Accounts!$C$2:$C$201,$A1292)+COUNTIF('Service Principals'!$C$2:$C$201,$A1292)+COUNTIF('Managed Identities'!$C$2:$C$201,$A1292)&gt;0,"Yes","NOT IN INVENTORY"))</f>
        <v/>
      </c>
    </row>
    <row r="1293" customFormat="false" ht="15" hidden="false" customHeight="false" outlineLevel="0" collapsed="false">
      <c r="A1293" s="46"/>
      <c r="B1293" s="46"/>
      <c r="C1293" s="47"/>
      <c r="D1293" s="47"/>
      <c r="E1293" s="46"/>
      <c r="F1293" s="46"/>
      <c r="G1293" s="47"/>
      <c r="H1293" s="47"/>
      <c r="I1293" s="47"/>
      <c r="J1293" s="45" t="str">
        <f aca="false">IF($A1293="","",IF(COUNTIF(Accounts!$C$2:$C$201,$A1293)+COUNTIF('Service Principals'!$C$2:$C$201,$A1293)+COUNTIF('Managed Identities'!$C$2:$C$201,$A1293)&gt;0,"Yes","NOT IN INVENTORY"))</f>
        <v/>
      </c>
    </row>
    <row r="1294" customFormat="false" ht="15" hidden="false" customHeight="false" outlineLevel="0" collapsed="false">
      <c r="A1294" s="46"/>
      <c r="B1294" s="46"/>
      <c r="C1294" s="47"/>
      <c r="D1294" s="47"/>
      <c r="E1294" s="46"/>
      <c r="F1294" s="46"/>
      <c r="G1294" s="47"/>
      <c r="H1294" s="47"/>
      <c r="I1294" s="47"/>
      <c r="J1294" s="45" t="str">
        <f aca="false">IF($A1294="","",IF(COUNTIF(Accounts!$C$2:$C$201,$A1294)+COUNTIF('Service Principals'!$C$2:$C$201,$A1294)+COUNTIF('Managed Identities'!$C$2:$C$201,$A1294)&gt;0,"Yes","NOT IN INVENTORY"))</f>
        <v/>
      </c>
    </row>
    <row r="1295" customFormat="false" ht="15" hidden="false" customHeight="false" outlineLevel="0" collapsed="false">
      <c r="A1295" s="46"/>
      <c r="B1295" s="46"/>
      <c r="C1295" s="47"/>
      <c r="D1295" s="47"/>
      <c r="E1295" s="46"/>
      <c r="F1295" s="46"/>
      <c r="G1295" s="47"/>
      <c r="H1295" s="47"/>
      <c r="I1295" s="47"/>
      <c r="J1295" s="45" t="str">
        <f aca="false">IF($A1295="","",IF(COUNTIF(Accounts!$C$2:$C$201,$A1295)+COUNTIF('Service Principals'!$C$2:$C$201,$A1295)+COUNTIF('Managed Identities'!$C$2:$C$201,$A1295)&gt;0,"Yes","NOT IN INVENTORY"))</f>
        <v/>
      </c>
    </row>
    <row r="1296" customFormat="false" ht="15" hidden="false" customHeight="false" outlineLevel="0" collapsed="false">
      <c r="A1296" s="46"/>
      <c r="B1296" s="46"/>
      <c r="C1296" s="47"/>
      <c r="D1296" s="47"/>
      <c r="E1296" s="46"/>
      <c r="F1296" s="46"/>
      <c r="G1296" s="47"/>
      <c r="H1296" s="47"/>
      <c r="I1296" s="47"/>
      <c r="J1296" s="45" t="str">
        <f aca="false">IF($A1296="","",IF(COUNTIF(Accounts!$C$2:$C$201,$A1296)+COUNTIF('Service Principals'!$C$2:$C$201,$A1296)+COUNTIF('Managed Identities'!$C$2:$C$201,$A1296)&gt;0,"Yes","NOT IN INVENTORY"))</f>
        <v/>
      </c>
    </row>
    <row r="1297" customFormat="false" ht="15" hidden="false" customHeight="false" outlineLevel="0" collapsed="false">
      <c r="A1297" s="46"/>
      <c r="B1297" s="46"/>
      <c r="C1297" s="47"/>
      <c r="D1297" s="47"/>
      <c r="E1297" s="46"/>
      <c r="F1297" s="46"/>
      <c r="G1297" s="47"/>
      <c r="H1297" s="47"/>
      <c r="I1297" s="47"/>
      <c r="J1297" s="45" t="str">
        <f aca="false">IF($A1297="","",IF(COUNTIF(Accounts!$C$2:$C$201,$A1297)+COUNTIF('Service Principals'!$C$2:$C$201,$A1297)+COUNTIF('Managed Identities'!$C$2:$C$201,$A1297)&gt;0,"Yes","NOT IN INVENTORY"))</f>
        <v/>
      </c>
    </row>
    <row r="1298" customFormat="false" ht="15" hidden="false" customHeight="false" outlineLevel="0" collapsed="false">
      <c r="A1298" s="46"/>
      <c r="B1298" s="46"/>
      <c r="C1298" s="47"/>
      <c r="D1298" s="47"/>
      <c r="E1298" s="46"/>
      <c r="F1298" s="46"/>
      <c r="G1298" s="47"/>
      <c r="H1298" s="47"/>
      <c r="I1298" s="47"/>
      <c r="J1298" s="45" t="str">
        <f aca="false">IF($A1298="","",IF(COUNTIF(Accounts!$C$2:$C$201,$A1298)+COUNTIF('Service Principals'!$C$2:$C$201,$A1298)+COUNTIF('Managed Identities'!$C$2:$C$201,$A1298)&gt;0,"Yes","NOT IN INVENTORY"))</f>
        <v/>
      </c>
    </row>
    <row r="1299" customFormat="false" ht="15" hidden="false" customHeight="false" outlineLevel="0" collapsed="false">
      <c r="A1299" s="46"/>
      <c r="B1299" s="46"/>
      <c r="C1299" s="47"/>
      <c r="D1299" s="47"/>
      <c r="E1299" s="46"/>
      <c r="F1299" s="46"/>
      <c r="G1299" s="47"/>
      <c r="H1299" s="47"/>
      <c r="I1299" s="47"/>
      <c r="J1299" s="45" t="str">
        <f aca="false">IF($A1299="","",IF(COUNTIF(Accounts!$C$2:$C$201,$A1299)+COUNTIF('Service Principals'!$C$2:$C$201,$A1299)+COUNTIF('Managed Identities'!$C$2:$C$201,$A1299)&gt;0,"Yes","NOT IN INVENTORY"))</f>
        <v/>
      </c>
    </row>
    <row r="1300" customFormat="false" ht="15" hidden="false" customHeight="false" outlineLevel="0" collapsed="false">
      <c r="A1300" s="46"/>
      <c r="B1300" s="46"/>
      <c r="C1300" s="47"/>
      <c r="D1300" s="47"/>
      <c r="E1300" s="46"/>
      <c r="F1300" s="46"/>
      <c r="G1300" s="47"/>
      <c r="H1300" s="47"/>
      <c r="I1300" s="47"/>
      <c r="J1300" s="45" t="str">
        <f aca="false">IF($A1300="","",IF(COUNTIF(Accounts!$C$2:$C$201,$A1300)+COUNTIF('Service Principals'!$C$2:$C$201,$A1300)+COUNTIF('Managed Identities'!$C$2:$C$201,$A1300)&gt;0,"Yes","NOT IN INVENTORY"))</f>
        <v/>
      </c>
    </row>
    <row r="1301" customFormat="false" ht="15" hidden="false" customHeight="false" outlineLevel="0" collapsed="false">
      <c r="A1301" s="46"/>
      <c r="B1301" s="46"/>
      <c r="C1301" s="47"/>
      <c r="D1301" s="47"/>
      <c r="E1301" s="46"/>
      <c r="F1301" s="46"/>
      <c r="G1301" s="47"/>
      <c r="H1301" s="47"/>
      <c r="I1301" s="47"/>
      <c r="J1301" s="45" t="str">
        <f aca="false">IF($A1301="","",IF(COUNTIF(Accounts!$C$2:$C$201,$A1301)+COUNTIF('Service Principals'!$C$2:$C$201,$A1301)+COUNTIF('Managed Identities'!$C$2:$C$201,$A1301)&gt;0,"Yes","NOT IN INVENTORY"))</f>
        <v/>
      </c>
    </row>
    <row r="1302" customFormat="false" ht="15" hidden="false" customHeight="false" outlineLevel="0" collapsed="false">
      <c r="A1302" s="46"/>
      <c r="B1302" s="46"/>
      <c r="C1302" s="47"/>
      <c r="D1302" s="47"/>
      <c r="E1302" s="46"/>
      <c r="F1302" s="46"/>
      <c r="G1302" s="47"/>
      <c r="H1302" s="47"/>
      <c r="I1302" s="47"/>
      <c r="J1302" s="45" t="str">
        <f aca="false">IF($A1302="","",IF(COUNTIF(Accounts!$C$2:$C$201,$A1302)+COUNTIF('Service Principals'!$C$2:$C$201,$A1302)+COUNTIF('Managed Identities'!$C$2:$C$201,$A1302)&gt;0,"Yes","NOT IN INVENTORY"))</f>
        <v/>
      </c>
    </row>
    <row r="1303" customFormat="false" ht="15" hidden="false" customHeight="false" outlineLevel="0" collapsed="false">
      <c r="A1303" s="46"/>
      <c r="B1303" s="46"/>
      <c r="C1303" s="47"/>
      <c r="D1303" s="47"/>
      <c r="E1303" s="46"/>
      <c r="F1303" s="46"/>
      <c r="G1303" s="47"/>
      <c r="H1303" s="47"/>
      <c r="I1303" s="47"/>
      <c r="J1303" s="45" t="str">
        <f aca="false">IF($A1303="","",IF(COUNTIF(Accounts!$C$2:$C$201,$A1303)+COUNTIF('Service Principals'!$C$2:$C$201,$A1303)+COUNTIF('Managed Identities'!$C$2:$C$201,$A1303)&gt;0,"Yes","NOT IN INVENTORY"))</f>
        <v/>
      </c>
    </row>
    <row r="1304" customFormat="false" ht="15" hidden="false" customHeight="false" outlineLevel="0" collapsed="false">
      <c r="A1304" s="46"/>
      <c r="B1304" s="46"/>
      <c r="C1304" s="47"/>
      <c r="D1304" s="47"/>
      <c r="E1304" s="46"/>
      <c r="F1304" s="46"/>
      <c r="G1304" s="47"/>
      <c r="H1304" s="47"/>
      <c r="I1304" s="47"/>
      <c r="J1304" s="45" t="str">
        <f aca="false">IF($A1304="","",IF(COUNTIF(Accounts!$C$2:$C$201,$A1304)+COUNTIF('Service Principals'!$C$2:$C$201,$A1304)+COUNTIF('Managed Identities'!$C$2:$C$201,$A1304)&gt;0,"Yes","NOT IN INVENTORY"))</f>
        <v/>
      </c>
    </row>
    <row r="1305" customFormat="false" ht="15" hidden="false" customHeight="false" outlineLevel="0" collapsed="false">
      <c r="A1305" s="46"/>
      <c r="B1305" s="46"/>
      <c r="C1305" s="47"/>
      <c r="D1305" s="47"/>
      <c r="E1305" s="46"/>
      <c r="F1305" s="46"/>
      <c r="G1305" s="47"/>
      <c r="H1305" s="47"/>
      <c r="I1305" s="47"/>
      <c r="J1305" s="45" t="str">
        <f aca="false">IF($A1305="","",IF(COUNTIF(Accounts!$C$2:$C$201,$A1305)+COUNTIF('Service Principals'!$C$2:$C$201,$A1305)+COUNTIF('Managed Identities'!$C$2:$C$201,$A1305)&gt;0,"Yes","NOT IN INVENTORY"))</f>
        <v/>
      </c>
    </row>
    <row r="1306" customFormat="false" ht="15" hidden="false" customHeight="false" outlineLevel="0" collapsed="false">
      <c r="A1306" s="46"/>
      <c r="B1306" s="46"/>
      <c r="C1306" s="47"/>
      <c r="D1306" s="47"/>
      <c r="E1306" s="46"/>
      <c r="F1306" s="46"/>
      <c r="G1306" s="47"/>
      <c r="H1306" s="47"/>
      <c r="I1306" s="47"/>
      <c r="J1306" s="45" t="str">
        <f aca="false">IF($A1306="","",IF(COUNTIF(Accounts!$C$2:$C$201,$A1306)+COUNTIF('Service Principals'!$C$2:$C$201,$A1306)+COUNTIF('Managed Identities'!$C$2:$C$201,$A1306)&gt;0,"Yes","NOT IN INVENTORY"))</f>
        <v/>
      </c>
    </row>
    <row r="1307" customFormat="false" ht="15" hidden="false" customHeight="false" outlineLevel="0" collapsed="false">
      <c r="A1307" s="46"/>
      <c r="B1307" s="46"/>
      <c r="C1307" s="47"/>
      <c r="D1307" s="47"/>
      <c r="E1307" s="46"/>
      <c r="F1307" s="46"/>
      <c r="G1307" s="47"/>
      <c r="H1307" s="47"/>
      <c r="I1307" s="47"/>
      <c r="J1307" s="45" t="str">
        <f aca="false">IF($A1307="","",IF(COUNTIF(Accounts!$C$2:$C$201,$A1307)+COUNTIF('Service Principals'!$C$2:$C$201,$A1307)+COUNTIF('Managed Identities'!$C$2:$C$201,$A1307)&gt;0,"Yes","NOT IN INVENTORY"))</f>
        <v/>
      </c>
    </row>
    <row r="1308" customFormat="false" ht="15" hidden="false" customHeight="false" outlineLevel="0" collapsed="false">
      <c r="A1308" s="46"/>
      <c r="B1308" s="46"/>
      <c r="C1308" s="47"/>
      <c r="D1308" s="47"/>
      <c r="E1308" s="46"/>
      <c r="F1308" s="46"/>
      <c r="G1308" s="47"/>
      <c r="H1308" s="47"/>
      <c r="I1308" s="47"/>
      <c r="J1308" s="45" t="str">
        <f aca="false">IF($A1308="","",IF(COUNTIF(Accounts!$C$2:$C$201,$A1308)+COUNTIF('Service Principals'!$C$2:$C$201,$A1308)+COUNTIF('Managed Identities'!$C$2:$C$201,$A1308)&gt;0,"Yes","NOT IN INVENTORY"))</f>
        <v/>
      </c>
    </row>
    <row r="1309" customFormat="false" ht="15" hidden="false" customHeight="false" outlineLevel="0" collapsed="false">
      <c r="A1309" s="46"/>
      <c r="B1309" s="46"/>
      <c r="C1309" s="47"/>
      <c r="D1309" s="47"/>
      <c r="E1309" s="46"/>
      <c r="F1309" s="46"/>
      <c r="G1309" s="47"/>
      <c r="H1309" s="47"/>
      <c r="I1309" s="47"/>
      <c r="J1309" s="45" t="str">
        <f aca="false">IF($A1309="","",IF(COUNTIF(Accounts!$C$2:$C$201,$A1309)+COUNTIF('Service Principals'!$C$2:$C$201,$A1309)+COUNTIF('Managed Identities'!$C$2:$C$201,$A1309)&gt;0,"Yes","NOT IN INVENTORY"))</f>
        <v/>
      </c>
    </row>
    <row r="1310" customFormat="false" ht="15" hidden="false" customHeight="false" outlineLevel="0" collapsed="false">
      <c r="A1310" s="46"/>
      <c r="B1310" s="46"/>
      <c r="C1310" s="47"/>
      <c r="D1310" s="47"/>
      <c r="E1310" s="46"/>
      <c r="F1310" s="46"/>
      <c r="G1310" s="47"/>
      <c r="H1310" s="47"/>
      <c r="I1310" s="47"/>
      <c r="J1310" s="45" t="str">
        <f aca="false">IF($A1310="","",IF(COUNTIF(Accounts!$C$2:$C$201,$A1310)+COUNTIF('Service Principals'!$C$2:$C$201,$A1310)+COUNTIF('Managed Identities'!$C$2:$C$201,$A1310)&gt;0,"Yes","NOT IN INVENTORY"))</f>
        <v/>
      </c>
    </row>
    <row r="1311" customFormat="false" ht="15" hidden="false" customHeight="false" outlineLevel="0" collapsed="false">
      <c r="A1311" s="46"/>
      <c r="B1311" s="46"/>
      <c r="C1311" s="47"/>
      <c r="D1311" s="47"/>
      <c r="E1311" s="46"/>
      <c r="F1311" s="46"/>
      <c r="G1311" s="47"/>
      <c r="H1311" s="47"/>
      <c r="I1311" s="47"/>
      <c r="J1311" s="45" t="str">
        <f aca="false">IF($A1311="","",IF(COUNTIF(Accounts!$C$2:$C$201,$A1311)+COUNTIF('Service Principals'!$C$2:$C$201,$A1311)+COUNTIF('Managed Identities'!$C$2:$C$201,$A1311)&gt;0,"Yes","NOT IN INVENTORY"))</f>
        <v/>
      </c>
    </row>
    <row r="1312" customFormat="false" ht="15" hidden="false" customHeight="false" outlineLevel="0" collapsed="false">
      <c r="A1312" s="46"/>
      <c r="B1312" s="46"/>
      <c r="C1312" s="47"/>
      <c r="D1312" s="47"/>
      <c r="E1312" s="46"/>
      <c r="F1312" s="46"/>
      <c r="G1312" s="47"/>
      <c r="H1312" s="47"/>
      <c r="I1312" s="47"/>
      <c r="J1312" s="45" t="str">
        <f aca="false">IF($A1312="","",IF(COUNTIF(Accounts!$C$2:$C$201,$A1312)+COUNTIF('Service Principals'!$C$2:$C$201,$A1312)+COUNTIF('Managed Identities'!$C$2:$C$201,$A1312)&gt;0,"Yes","NOT IN INVENTORY"))</f>
        <v/>
      </c>
    </row>
    <row r="1313" customFormat="false" ht="15" hidden="false" customHeight="false" outlineLevel="0" collapsed="false">
      <c r="A1313" s="46"/>
      <c r="B1313" s="46"/>
      <c r="C1313" s="47"/>
      <c r="D1313" s="47"/>
      <c r="E1313" s="46"/>
      <c r="F1313" s="46"/>
      <c r="G1313" s="47"/>
      <c r="H1313" s="47"/>
      <c r="I1313" s="47"/>
      <c r="J1313" s="45" t="str">
        <f aca="false">IF($A1313="","",IF(COUNTIF(Accounts!$C$2:$C$201,$A1313)+COUNTIF('Service Principals'!$C$2:$C$201,$A1313)+COUNTIF('Managed Identities'!$C$2:$C$201,$A1313)&gt;0,"Yes","NOT IN INVENTORY"))</f>
        <v/>
      </c>
    </row>
    <row r="1314" customFormat="false" ht="15" hidden="false" customHeight="false" outlineLevel="0" collapsed="false">
      <c r="A1314" s="46"/>
      <c r="B1314" s="46"/>
      <c r="C1314" s="47"/>
      <c r="D1314" s="47"/>
      <c r="E1314" s="46"/>
      <c r="F1314" s="46"/>
      <c r="G1314" s="47"/>
      <c r="H1314" s="47"/>
      <c r="I1314" s="47"/>
      <c r="J1314" s="45" t="str">
        <f aca="false">IF($A1314="","",IF(COUNTIF(Accounts!$C$2:$C$201,$A1314)+COUNTIF('Service Principals'!$C$2:$C$201,$A1314)+COUNTIF('Managed Identities'!$C$2:$C$201,$A1314)&gt;0,"Yes","NOT IN INVENTORY"))</f>
        <v/>
      </c>
    </row>
    <row r="1315" customFormat="false" ht="15" hidden="false" customHeight="false" outlineLevel="0" collapsed="false">
      <c r="A1315" s="46"/>
      <c r="B1315" s="46"/>
      <c r="C1315" s="47"/>
      <c r="D1315" s="47"/>
      <c r="E1315" s="46"/>
      <c r="F1315" s="46"/>
      <c r="G1315" s="47"/>
      <c r="H1315" s="47"/>
      <c r="I1315" s="47"/>
      <c r="J1315" s="45" t="str">
        <f aca="false">IF($A1315="","",IF(COUNTIF(Accounts!$C$2:$C$201,$A1315)+COUNTIF('Service Principals'!$C$2:$C$201,$A1315)+COUNTIF('Managed Identities'!$C$2:$C$201,$A1315)&gt;0,"Yes","NOT IN INVENTORY"))</f>
        <v/>
      </c>
    </row>
    <row r="1316" customFormat="false" ht="15" hidden="false" customHeight="false" outlineLevel="0" collapsed="false">
      <c r="A1316" s="46"/>
      <c r="B1316" s="46"/>
      <c r="C1316" s="47"/>
      <c r="D1316" s="47"/>
      <c r="E1316" s="46"/>
      <c r="F1316" s="46"/>
      <c r="G1316" s="47"/>
      <c r="H1316" s="47"/>
      <c r="I1316" s="47"/>
      <c r="J1316" s="45" t="str">
        <f aca="false">IF($A1316="","",IF(COUNTIF(Accounts!$C$2:$C$201,$A1316)+COUNTIF('Service Principals'!$C$2:$C$201,$A1316)+COUNTIF('Managed Identities'!$C$2:$C$201,$A1316)&gt;0,"Yes","NOT IN INVENTORY"))</f>
        <v/>
      </c>
    </row>
    <row r="1317" customFormat="false" ht="15" hidden="false" customHeight="false" outlineLevel="0" collapsed="false">
      <c r="A1317" s="46"/>
      <c r="B1317" s="46"/>
      <c r="C1317" s="47"/>
      <c r="D1317" s="47"/>
      <c r="E1317" s="46"/>
      <c r="F1317" s="46"/>
      <c r="G1317" s="47"/>
      <c r="H1317" s="47"/>
      <c r="I1317" s="47"/>
      <c r="J1317" s="45" t="str">
        <f aca="false">IF($A1317="","",IF(COUNTIF(Accounts!$C$2:$C$201,$A1317)+COUNTIF('Service Principals'!$C$2:$C$201,$A1317)+COUNTIF('Managed Identities'!$C$2:$C$201,$A1317)&gt;0,"Yes","NOT IN INVENTORY"))</f>
        <v/>
      </c>
    </row>
    <row r="1318" customFormat="false" ht="15" hidden="false" customHeight="false" outlineLevel="0" collapsed="false">
      <c r="A1318" s="46"/>
      <c r="B1318" s="46"/>
      <c r="C1318" s="47"/>
      <c r="D1318" s="47"/>
      <c r="E1318" s="46"/>
      <c r="F1318" s="46"/>
      <c r="G1318" s="47"/>
      <c r="H1318" s="47"/>
      <c r="I1318" s="47"/>
      <c r="J1318" s="45" t="str">
        <f aca="false">IF($A1318="","",IF(COUNTIF(Accounts!$C$2:$C$201,$A1318)+COUNTIF('Service Principals'!$C$2:$C$201,$A1318)+COUNTIF('Managed Identities'!$C$2:$C$201,$A1318)&gt;0,"Yes","NOT IN INVENTORY"))</f>
        <v/>
      </c>
    </row>
    <row r="1319" customFormat="false" ht="15" hidden="false" customHeight="false" outlineLevel="0" collapsed="false">
      <c r="A1319" s="46"/>
      <c r="B1319" s="46"/>
      <c r="C1319" s="47"/>
      <c r="D1319" s="47"/>
      <c r="E1319" s="46"/>
      <c r="F1319" s="46"/>
      <c r="G1319" s="47"/>
      <c r="H1319" s="47"/>
      <c r="I1319" s="47"/>
      <c r="J1319" s="45" t="str">
        <f aca="false">IF($A1319="","",IF(COUNTIF(Accounts!$C$2:$C$201,$A1319)+COUNTIF('Service Principals'!$C$2:$C$201,$A1319)+COUNTIF('Managed Identities'!$C$2:$C$201,$A1319)&gt;0,"Yes","NOT IN INVENTORY"))</f>
        <v/>
      </c>
    </row>
    <row r="1320" customFormat="false" ht="15" hidden="false" customHeight="false" outlineLevel="0" collapsed="false">
      <c r="A1320" s="46"/>
      <c r="B1320" s="46"/>
      <c r="C1320" s="47"/>
      <c r="D1320" s="47"/>
      <c r="E1320" s="46"/>
      <c r="F1320" s="46"/>
      <c r="G1320" s="47"/>
      <c r="H1320" s="47"/>
      <c r="I1320" s="47"/>
      <c r="J1320" s="45" t="str">
        <f aca="false">IF($A1320="","",IF(COUNTIF(Accounts!$C$2:$C$201,$A1320)+COUNTIF('Service Principals'!$C$2:$C$201,$A1320)+COUNTIF('Managed Identities'!$C$2:$C$201,$A1320)&gt;0,"Yes","NOT IN INVENTORY"))</f>
        <v/>
      </c>
    </row>
    <row r="1321" customFormat="false" ht="15" hidden="false" customHeight="false" outlineLevel="0" collapsed="false">
      <c r="A1321" s="46"/>
      <c r="B1321" s="46"/>
      <c r="C1321" s="47"/>
      <c r="D1321" s="47"/>
      <c r="E1321" s="46"/>
      <c r="F1321" s="46"/>
      <c r="G1321" s="47"/>
      <c r="H1321" s="47"/>
      <c r="I1321" s="47"/>
      <c r="J1321" s="45" t="str">
        <f aca="false">IF($A1321="","",IF(COUNTIF(Accounts!$C$2:$C$201,$A1321)+COUNTIF('Service Principals'!$C$2:$C$201,$A1321)+COUNTIF('Managed Identities'!$C$2:$C$201,$A1321)&gt;0,"Yes","NOT IN INVENTORY"))</f>
        <v/>
      </c>
    </row>
    <row r="1322" customFormat="false" ht="15" hidden="false" customHeight="false" outlineLevel="0" collapsed="false">
      <c r="A1322" s="46"/>
      <c r="B1322" s="46"/>
      <c r="C1322" s="47"/>
      <c r="D1322" s="47"/>
      <c r="E1322" s="46"/>
      <c r="F1322" s="46"/>
      <c r="G1322" s="47"/>
      <c r="H1322" s="47"/>
      <c r="I1322" s="47"/>
      <c r="J1322" s="45" t="str">
        <f aca="false">IF($A1322="","",IF(COUNTIF(Accounts!$C$2:$C$201,$A1322)+COUNTIF('Service Principals'!$C$2:$C$201,$A1322)+COUNTIF('Managed Identities'!$C$2:$C$201,$A1322)&gt;0,"Yes","NOT IN INVENTORY"))</f>
        <v/>
      </c>
    </row>
    <row r="1323" customFormat="false" ht="15" hidden="false" customHeight="false" outlineLevel="0" collapsed="false">
      <c r="A1323" s="46"/>
      <c r="B1323" s="46"/>
      <c r="C1323" s="47"/>
      <c r="D1323" s="47"/>
      <c r="E1323" s="46"/>
      <c r="F1323" s="46"/>
      <c r="G1323" s="47"/>
      <c r="H1323" s="47"/>
      <c r="I1323" s="47"/>
      <c r="J1323" s="45" t="str">
        <f aca="false">IF($A1323="","",IF(COUNTIF(Accounts!$C$2:$C$201,$A1323)+COUNTIF('Service Principals'!$C$2:$C$201,$A1323)+COUNTIF('Managed Identities'!$C$2:$C$201,$A1323)&gt;0,"Yes","NOT IN INVENTORY"))</f>
        <v/>
      </c>
    </row>
    <row r="1324" customFormat="false" ht="15" hidden="false" customHeight="false" outlineLevel="0" collapsed="false">
      <c r="A1324" s="46"/>
      <c r="B1324" s="46"/>
      <c r="C1324" s="47"/>
      <c r="D1324" s="47"/>
      <c r="E1324" s="46"/>
      <c r="F1324" s="46"/>
      <c r="G1324" s="47"/>
      <c r="H1324" s="47"/>
      <c r="I1324" s="47"/>
      <c r="J1324" s="45" t="str">
        <f aca="false">IF($A1324="","",IF(COUNTIF(Accounts!$C$2:$C$201,$A1324)+COUNTIF('Service Principals'!$C$2:$C$201,$A1324)+COUNTIF('Managed Identities'!$C$2:$C$201,$A1324)&gt;0,"Yes","NOT IN INVENTORY"))</f>
        <v/>
      </c>
    </row>
    <row r="1325" customFormat="false" ht="15" hidden="false" customHeight="false" outlineLevel="0" collapsed="false">
      <c r="A1325" s="46"/>
      <c r="B1325" s="46"/>
      <c r="C1325" s="47"/>
      <c r="D1325" s="47"/>
      <c r="E1325" s="46"/>
      <c r="F1325" s="46"/>
      <c r="G1325" s="47"/>
      <c r="H1325" s="47"/>
      <c r="I1325" s="47"/>
      <c r="J1325" s="45" t="str">
        <f aca="false">IF($A1325="","",IF(COUNTIF(Accounts!$C$2:$C$201,$A1325)+COUNTIF('Service Principals'!$C$2:$C$201,$A1325)+COUNTIF('Managed Identities'!$C$2:$C$201,$A1325)&gt;0,"Yes","NOT IN INVENTORY"))</f>
        <v/>
      </c>
    </row>
    <row r="1326" customFormat="false" ht="15" hidden="false" customHeight="false" outlineLevel="0" collapsed="false">
      <c r="A1326" s="46"/>
      <c r="B1326" s="46"/>
      <c r="C1326" s="47"/>
      <c r="D1326" s="47"/>
      <c r="E1326" s="46"/>
      <c r="F1326" s="46"/>
      <c r="G1326" s="47"/>
      <c r="H1326" s="47"/>
      <c r="I1326" s="47"/>
      <c r="J1326" s="45" t="str">
        <f aca="false">IF($A1326="","",IF(COUNTIF(Accounts!$C$2:$C$201,$A1326)+COUNTIF('Service Principals'!$C$2:$C$201,$A1326)+COUNTIF('Managed Identities'!$C$2:$C$201,$A1326)&gt;0,"Yes","NOT IN INVENTORY"))</f>
        <v/>
      </c>
    </row>
    <row r="1327" customFormat="false" ht="15" hidden="false" customHeight="false" outlineLevel="0" collapsed="false">
      <c r="A1327" s="46"/>
      <c r="B1327" s="46"/>
      <c r="C1327" s="47"/>
      <c r="D1327" s="47"/>
      <c r="E1327" s="46"/>
      <c r="F1327" s="46"/>
      <c r="G1327" s="47"/>
      <c r="H1327" s="47"/>
      <c r="I1327" s="47"/>
      <c r="J1327" s="45" t="str">
        <f aca="false">IF($A1327="","",IF(COUNTIF(Accounts!$C$2:$C$201,$A1327)+COUNTIF('Service Principals'!$C$2:$C$201,$A1327)+COUNTIF('Managed Identities'!$C$2:$C$201,$A1327)&gt;0,"Yes","NOT IN INVENTORY"))</f>
        <v/>
      </c>
    </row>
    <row r="1328" customFormat="false" ht="15" hidden="false" customHeight="false" outlineLevel="0" collapsed="false">
      <c r="A1328" s="46"/>
      <c r="B1328" s="46"/>
      <c r="C1328" s="47"/>
      <c r="D1328" s="47"/>
      <c r="E1328" s="46"/>
      <c r="F1328" s="46"/>
      <c r="G1328" s="47"/>
      <c r="H1328" s="47"/>
      <c r="I1328" s="47"/>
      <c r="J1328" s="45" t="str">
        <f aca="false">IF($A1328="","",IF(COUNTIF(Accounts!$C$2:$C$201,$A1328)+COUNTIF('Service Principals'!$C$2:$C$201,$A1328)+COUNTIF('Managed Identities'!$C$2:$C$201,$A1328)&gt;0,"Yes","NOT IN INVENTORY"))</f>
        <v/>
      </c>
    </row>
    <row r="1329" customFormat="false" ht="15" hidden="false" customHeight="false" outlineLevel="0" collapsed="false">
      <c r="A1329" s="46"/>
      <c r="B1329" s="46"/>
      <c r="C1329" s="47"/>
      <c r="D1329" s="47"/>
      <c r="E1329" s="46"/>
      <c r="F1329" s="46"/>
      <c r="G1329" s="47"/>
      <c r="H1329" s="47"/>
      <c r="I1329" s="47"/>
      <c r="J1329" s="45" t="str">
        <f aca="false">IF($A1329="","",IF(COUNTIF(Accounts!$C$2:$C$201,$A1329)+COUNTIF('Service Principals'!$C$2:$C$201,$A1329)+COUNTIF('Managed Identities'!$C$2:$C$201,$A1329)&gt;0,"Yes","NOT IN INVENTORY"))</f>
        <v/>
      </c>
    </row>
    <row r="1330" customFormat="false" ht="15" hidden="false" customHeight="false" outlineLevel="0" collapsed="false">
      <c r="A1330" s="46"/>
      <c r="B1330" s="46"/>
      <c r="C1330" s="47"/>
      <c r="D1330" s="47"/>
      <c r="E1330" s="46"/>
      <c r="F1330" s="46"/>
      <c r="G1330" s="47"/>
      <c r="H1330" s="47"/>
      <c r="I1330" s="47"/>
      <c r="J1330" s="45" t="str">
        <f aca="false">IF($A1330="","",IF(COUNTIF(Accounts!$C$2:$C$201,$A1330)+COUNTIF('Service Principals'!$C$2:$C$201,$A1330)+COUNTIF('Managed Identities'!$C$2:$C$201,$A1330)&gt;0,"Yes","NOT IN INVENTORY"))</f>
        <v/>
      </c>
    </row>
    <row r="1331" customFormat="false" ht="15" hidden="false" customHeight="false" outlineLevel="0" collapsed="false">
      <c r="A1331" s="46"/>
      <c r="B1331" s="46"/>
      <c r="C1331" s="47"/>
      <c r="D1331" s="47"/>
      <c r="E1331" s="46"/>
      <c r="F1331" s="46"/>
      <c r="G1331" s="47"/>
      <c r="H1331" s="47"/>
      <c r="I1331" s="47"/>
      <c r="J1331" s="45" t="str">
        <f aca="false">IF($A1331="","",IF(COUNTIF(Accounts!$C$2:$C$201,$A1331)+COUNTIF('Service Principals'!$C$2:$C$201,$A1331)+COUNTIF('Managed Identities'!$C$2:$C$201,$A1331)&gt;0,"Yes","NOT IN INVENTORY"))</f>
        <v/>
      </c>
    </row>
    <row r="1332" customFormat="false" ht="15" hidden="false" customHeight="false" outlineLevel="0" collapsed="false">
      <c r="A1332" s="46"/>
      <c r="B1332" s="46"/>
      <c r="C1332" s="47"/>
      <c r="D1332" s="47"/>
      <c r="E1332" s="46"/>
      <c r="F1332" s="46"/>
      <c r="G1332" s="47"/>
      <c r="H1332" s="47"/>
      <c r="I1332" s="47"/>
      <c r="J1332" s="45" t="str">
        <f aca="false">IF($A1332="","",IF(COUNTIF(Accounts!$C$2:$C$201,$A1332)+COUNTIF('Service Principals'!$C$2:$C$201,$A1332)+COUNTIF('Managed Identities'!$C$2:$C$201,$A1332)&gt;0,"Yes","NOT IN INVENTORY"))</f>
        <v/>
      </c>
    </row>
    <row r="1333" customFormat="false" ht="15" hidden="false" customHeight="false" outlineLevel="0" collapsed="false">
      <c r="A1333" s="46"/>
      <c r="B1333" s="46"/>
      <c r="C1333" s="47"/>
      <c r="D1333" s="47"/>
      <c r="E1333" s="46"/>
      <c r="F1333" s="46"/>
      <c r="G1333" s="47"/>
      <c r="H1333" s="47"/>
      <c r="I1333" s="47"/>
      <c r="J1333" s="45" t="str">
        <f aca="false">IF($A1333="","",IF(COUNTIF(Accounts!$C$2:$C$201,$A1333)+COUNTIF('Service Principals'!$C$2:$C$201,$A1333)+COUNTIF('Managed Identities'!$C$2:$C$201,$A1333)&gt;0,"Yes","NOT IN INVENTORY"))</f>
        <v/>
      </c>
    </row>
    <row r="1334" customFormat="false" ht="15" hidden="false" customHeight="false" outlineLevel="0" collapsed="false">
      <c r="A1334" s="46"/>
      <c r="B1334" s="46"/>
      <c r="C1334" s="47"/>
      <c r="D1334" s="47"/>
      <c r="E1334" s="46"/>
      <c r="F1334" s="46"/>
      <c r="G1334" s="47"/>
      <c r="H1334" s="47"/>
      <c r="I1334" s="47"/>
      <c r="J1334" s="45" t="str">
        <f aca="false">IF($A1334="","",IF(COUNTIF(Accounts!$C$2:$C$201,$A1334)+COUNTIF('Service Principals'!$C$2:$C$201,$A1334)+COUNTIF('Managed Identities'!$C$2:$C$201,$A1334)&gt;0,"Yes","NOT IN INVENTORY"))</f>
        <v/>
      </c>
    </row>
    <row r="1335" customFormat="false" ht="15" hidden="false" customHeight="false" outlineLevel="0" collapsed="false">
      <c r="A1335" s="46"/>
      <c r="B1335" s="46"/>
      <c r="C1335" s="47"/>
      <c r="D1335" s="47"/>
      <c r="E1335" s="46"/>
      <c r="F1335" s="46"/>
      <c r="G1335" s="47"/>
      <c r="H1335" s="47"/>
      <c r="I1335" s="47"/>
      <c r="J1335" s="45" t="str">
        <f aca="false">IF($A1335="","",IF(COUNTIF(Accounts!$C$2:$C$201,$A1335)+COUNTIF('Service Principals'!$C$2:$C$201,$A1335)+COUNTIF('Managed Identities'!$C$2:$C$201,$A1335)&gt;0,"Yes","NOT IN INVENTORY"))</f>
        <v/>
      </c>
    </row>
    <row r="1336" customFormat="false" ht="15" hidden="false" customHeight="false" outlineLevel="0" collapsed="false">
      <c r="A1336" s="46"/>
      <c r="B1336" s="46"/>
      <c r="C1336" s="47"/>
      <c r="D1336" s="47"/>
      <c r="E1336" s="46"/>
      <c r="F1336" s="46"/>
      <c r="G1336" s="47"/>
      <c r="H1336" s="47"/>
      <c r="I1336" s="47"/>
      <c r="J1336" s="45" t="str">
        <f aca="false">IF($A1336="","",IF(COUNTIF(Accounts!$C$2:$C$201,$A1336)+COUNTIF('Service Principals'!$C$2:$C$201,$A1336)+COUNTIF('Managed Identities'!$C$2:$C$201,$A1336)&gt;0,"Yes","NOT IN INVENTORY"))</f>
        <v/>
      </c>
    </row>
    <row r="1337" customFormat="false" ht="15" hidden="false" customHeight="false" outlineLevel="0" collapsed="false">
      <c r="A1337" s="46"/>
      <c r="B1337" s="46"/>
      <c r="C1337" s="47"/>
      <c r="D1337" s="47"/>
      <c r="E1337" s="46"/>
      <c r="F1337" s="46"/>
      <c r="G1337" s="47"/>
      <c r="H1337" s="47"/>
      <c r="I1337" s="47"/>
      <c r="J1337" s="45" t="str">
        <f aca="false">IF($A1337="","",IF(COUNTIF(Accounts!$C$2:$C$201,$A1337)+COUNTIF('Service Principals'!$C$2:$C$201,$A1337)+COUNTIF('Managed Identities'!$C$2:$C$201,$A1337)&gt;0,"Yes","NOT IN INVENTORY"))</f>
        <v/>
      </c>
    </row>
    <row r="1338" customFormat="false" ht="15" hidden="false" customHeight="false" outlineLevel="0" collapsed="false">
      <c r="A1338" s="46"/>
      <c r="B1338" s="46"/>
      <c r="C1338" s="47"/>
      <c r="D1338" s="47"/>
      <c r="E1338" s="46"/>
      <c r="F1338" s="46"/>
      <c r="G1338" s="47"/>
      <c r="H1338" s="47"/>
      <c r="I1338" s="47"/>
      <c r="J1338" s="45" t="str">
        <f aca="false">IF($A1338="","",IF(COUNTIF(Accounts!$C$2:$C$201,$A1338)+COUNTIF('Service Principals'!$C$2:$C$201,$A1338)+COUNTIF('Managed Identities'!$C$2:$C$201,$A1338)&gt;0,"Yes","NOT IN INVENTORY"))</f>
        <v/>
      </c>
    </row>
    <row r="1339" customFormat="false" ht="15" hidden="false" customHeight="false" outlineLevel="0" collapsed="false">
      <c r="A1339" s="46"/>
      <c r="B1339" s="46"/>
      <c r="C1339" s="47"/>
      <c r="D1339" s="47"/>
      <c r="E1339" s="46"/>
      <c r="F1339" s="46"/>
      <c r="G1339" s="47"/>
      <c r="H1339" s="47"/>
      <c r="I1339" s="47"/>
      <c r="J1339" s="45" t="str">
        <f aca="false">IF($A1339="","",IF(COUNTIF(Accounts!$C$2:$C$201,$A1339)+COUNTIF('Service Principals'!$C$2:$C$201,$A1339)+COUNTIF('Managed Identities'!$C$2:$C$201,$A1339)&gt;0,"Yes","NOT IN INVENTORY"))</f>
        <v/>
      </c>
    </row>
    <row r="1340" customFormat="false" ht="15" hidden="false" customHeight="false" outlineLevel="0" collapsed="false">
      <c r="A1340" s="46"/>
      <c r="B1340" s="46"/>
      <c r="C1340" s="47"/>
      <c r="D1340" s="47"/>
      <c r="E1340" s="46"/>
      <c r="F1340" s="46"/>
      <c r="G1340" s="47"/>
      <c r="H1340" s="47"/>
      <c r="I1340" s="47"/>
      <c r="J1340" s="45" t="str">
        <f aca="false">IF($A1340="","",IF(COUNTIF(Accounts!$C$2:$C$201,$A1340)+COUNTIF('Service Principals'!$C$2:$C$201,$A1340)+COUNTIF('Managed Identities'!$C$2:$C$201,$A1340)&gt;0,"Yes","NOT IN INVENTORY"))</f>
        <v/>
      </c>
    </row>
    <row r="1341" customFormat="false" ht="15" hidden="false" customHeight="false" outlineLevel="0" collapsed="false">
      <c r="A1341" s="46"/>
      <c r="B1341" s="46"/>
      <c r="C1341" s="47"/>
      <c r="D1341" s="47"/>
      <c r="E1341" s="46"/>
      <c r="F1341" s="46"/>
      <c r="G1341" s="47"/>
      <c r="H1341" s="47"/>
      <c r="I1341" s="47"/>
      <c r="J1341" s="45" t="str">
        <f aca="false">IF($A1341="","",IF(COUNTIF(Accounts!$C$2:$C$201,$A1341)+COUNTIF('Service Principals'!$C$2:$C$201,$A1341)+COUNTIF('Managed Identities'!$C$2:$C$201,$A1341)&gt;0,"Yes","NOT IN INVENTORY"))</f>
        <v/>
      </c>
    </row>
    <row r="1342" customFormat="false" ht="15" hidden="false" customHeight="false" outlineLevel="0" collapsed="false">
      <c r="A1342" s="46"/>
      <c r="B1342" s="46"/>
      <c r="C1342" s="47"/>
      <c r="D1342" s="47"/>
      <c r="E1342" s="46"/>
      <c r="F1342" s="46"/>
      <c r="G1342" s="47"/>
      <c r="H1342" s="47"/>
      <c r="I1342" s="47"/>
      <c r="J1342" s="45" t="str">
        <f aca="false">IF($A1342="","",IF(COUNTIF(Accounts!$C$2:$C$201,$A1342)+COUNTIF('Service Principals'!$C$2:$C$201,$A1342)+COUNTIF('Managed Identities'!$C$2:$C$201,$A1342)&gt;0,"Yes","NOT IN INVENTORY"))</f>
        <v/>
      </c>
    </row>
    <row r="1343" customFormat="false" ht="15" hidden="false" customHeight="false" outlineLevel="0" collapsed="false">
      <c r="A1343" s="46"/>
      <c r="B1343" s="46"/>
      <c r="C1343" s="47"/>
      <c r="D1343" s="47"/>
      <c r="E1343" s="46"/>
      <c r="F1343" s="46"/>
      <c r="G1343" s="47"/>
      <c r="H1343" s="47"/>
      <c r="I1343" s="47"/>
      <c r="J1343" s="45" t="str">
        <f aca="false">IF($A1343="","",IF(COUNTIF(Accounts!$C$2:$C$201,$A1343)+COUNTIF('Service Principals'!$C$2:$C$201,$A1343)+COUNTIF('Managed Identities'!$C$2:$C$201,$A1343)&gt;0,"Yes","NOT IN INVENTORY"))</f>
        <v/>
      </c>
    </row>
    <row r="1344" customFormat="false" ht="15" hidden="false" customHeight="false" outlineLevel="0" collapsed="false">
      <c r="A1344" s="46"/>
      <c r="B1344" s="46"/>
      <c r="C1344" s="47"/>
      <c r="D1344" s="47"/>
      <c r="E1344" s="46"/>
      <c r="F1344" s="46"/>
      <c r="G1344" s="47"/>
      <c r="H1344" s="47"/>
      <c r="I1344" s="47"/>
      <c r="J1344" s="45" t="str">
        <f aca="false">IF($A1344="","",IF(COUNTIF(Accounts!$C$2:$C$201,$A1344)+COUNTIF('Service Principals'!$C$2:$C$201,$A1344)+COUNTIF('Managed Identities'!$C$2:$C$201,$A1344)&gt;0,"Yes","NOT IN INVENTORY"))</f>
        <v/>
      </c>
    </row>
    <row r="1345" customFormat="false" ht="15" hidden="false" customHeight="false" outlineLevel="0" collapsed="false">
      <c r="A1345" s="46"/>
      <c r="B1345" s="46"/>
      <c r="C1345" s="47"/>
      <c r="D1345" s="47"/>
      <c r="E1345" s="46"/>
      <c r="F1345" s="46"/>
      <c r="G1345" s="47"/>
      <c r="H1345" s="47"/>
      <c r="I1345" s="47"/>
      <c r="J1345" s="45" t="str">
        <f aca="false">IF($A1345="","",IF(COUNTIF(Accounts!$C$2:$C$201,$A1345)+COUNTIF('Service Principals'!$C$2:$C$201,$A1345)+COUNTIF('Managed Identities'!$C$2:$C$201,$A1345)&gt;0,"Yes","NOT IN INVENTORY"))</f>
        <v/>
      </c>
    </row>
    <row r="1346" customFormat="false" ht="15" hidden="false" customHeight="false" outlineLevel="0" collapsed="false">
      <c r="A1346" s="46"/>
      <c r="B1346" s="46"/>
      <c r="C1346" s="47"/>
      <c r="D1346" s="47"/>
      <c r="E1346" s="46"/>
      <c r="F1346" s="46"/>
      <c r="G1346" s="47"/>
      <c r="H1346" s="47"/>
      <c r="I1346" s="47"/>
      <c r="J1346" s="45" t="str">
        <f aca="false">IF($A1346="","",IF(COUNTIF(Accounts!$C$2:$C$201,$A1346)+COUNTIF('Service Principals'!$C$2:$C$201,$A1346)+COUNTIF('Managed Identities'!$C$2:$C$201,$A1346)&gt;0,"Yes","NOT IN INVENTORY"))</f>
        <v/>
      </c>
    </row>
    <row r="1347" customFormat="false" ht="15" hidden="false" customHeight="false" outlineLevel="0" collapsed="false">
      <c r="A1347" s="46"/>
      <c r="B1347" s="46"/>
      <c r="C1347" s="47"/>
      <c r="D1347" s="47"/>
      <c r="E1347" s="46"/>
      <c r="F1347" s="46"/>
      <c r="G1347" s="47"/>
      <c r="H1347" s="47"/>
      <c r="I1347" s="47"/>
      <c r="J1347" s="45" t="str">
        <f aca="false">IF($A1347="","",IF(COUNTIF(Accounts!$C$2:$C$201,$A1347)+COUNTIF('Service Principals'!$C$2:$C$201,$A1347)+COUNTIF('Managed Identities'!$C$2:$C$201,$A1347)&gt;0,"Yes","NOT IN INVENTORY"))</f>
        <v/>
      </c>
    </row>
    <row r="1348" customFormat="false" ht="15" hidden="false" customHeight="false" outlineLevel="0" collapsed="false">
      <c r="A1348" s="46"/>
      <c r="B1348" s="46"/>
      <c r="C1348" s="47"/>
      <c r="D1348" s="47"/>
      <c r="E1348" s="46"/>
      <c r="F1348" s="46"/>
      <c r="G1348" s="47"/>
      <c r="H1348" s="47"/>
      <c r="I1348" s="47"/>
      <c r="J1348" s="45" t="str">
        <f aca="false">IF($A1348="","",IF(COUNTIF(Accounts!$C$2:$C$201,$A1348)+COUNTIF('Service Principals'!$C$2:$C$201,$A1348)+COUNTIF('Managed Identities'!$C$2:$C$201,$A1348)&gt;0,"Yes","NOT IN INVENTORY"))</f>
        <v/>
      </c>
    </row>
    <row r="1349" customFormat="false" ht="15" hidden="false" customHeight="false" outlineLevel="0" collapsed="false">
      <c r="A1349" s="46"/>
      <c r="B1349" s="46"/>
      <c r="C1349" s="47"/>
      <c r="D1349" s="47"/>
      <c r="E1349" s="46"/>
      <c r="F1349" s="46"/>
      <c r="G1349" s="47"/>
      <c r="H1349" s="47"/>
      <c r="I1349" s="47"/>
      <c r="J1349" s="45" t="str">
        <f aca="false">IF($A1349="","",IF(COUNTIF(Accounts!$C$2:$C$201,$A1349)+COUNTIF('Service Principals'!$C$2:$C$201,$A1349)+COUNTIF('Managed Identities'!$C$2:$C$201,$A1349)&gt;0,"Yes","NOT IN INVENTORY"))</f>
        <v/>
      </c>
    </row>
    <row r="1350" customFormat="false" ht="15" hidden="false" customHeight="false" outlineLevel="0" collapsed="false">
      <c r="A1350" s="46"/>
      <c r="B1350" s="46"/>
      <c r="C1350" s="47"/>
      <c r="D1350" s="47"/>
      <c r="E1350" s="46"/>
      <c r="F1350" s="46"/>
      <c r="G1350" s="47"/>
      <c r="H1350" s="47"/>
      <c r="I1350" s="47"/>
      <c r="J1350" s="45" t="str">
        <f aca="false">IF($A1350="","",IF(COUNTIF(Accounts!$C$2:$C$201,$A1350)+COUNTIF('Service Principals'!$C$2:$C$201,$A1350)+COUNTIF('Managed Identities'!$C$2:$C$201,$A1350)&gt;0,"Yes","NOT IN INVENTORY"))</f>
        <v/>
      </c>
    </row>
    <row r="1351" customFormat="false" ht="15" hidden="false" customHeight="false" outlineLevel="0" collapsed="false">
      <c r="A1351" s="46"/>
      <c r="B1351" s="46"/>
      <c r="C1351" s="47"/>
      <c r="D1351" s="47"/>
      <c r="E1351" s="46"/>
      <c r="F1351" s="46"/>
      <c r="G1351" s="47"/>
      <c r="H1351" s="47"/>
      <c r="I1351" s="47"/>
      <c r="J1351" s="45" t="str">
        <f aca="false">IF($A1351="","",IF(COUNTIF(Accounts!$C$2:$C$201,$A1351)+COUNTIF('Service Principals'!$C$2:$C$201,$A1351)+COUNTIF('Managed Identities'!$C$2:$C$201,$A1351)&gt;0,"Yes","NOT IN INVENTORY"))</f>
        <v/>
      </c>
    </row>
    <row r="1352" customFormat="false" ht="15" hidden="false" customHeight="false" outlineLevel="0" collapsed="false">
      <c r="A1352" s="46"/>
      <c r="B1352" s="46"/>
      <c r="C1352" s="47"/>
      <c r="D1352" s="47"/>
      <c r="E1352" s="46"/>
      <c r="F1352" s="46"/>
      <c r="G1352" s="47"/>
      <c r="H1352" s="47"/>
      <c r="I1352" s="47"/>
      <c r="J1352" s="45" t="str">
        <f aca="false">IF($A1352="","",IF(COUNTIF(Accounts!$C$2:$C$201,$A1352)+COUNTIF('Service Principals'!$C$2:$C$201,$A1352)+COUNTIF('Managed Identities'!$C$2:$C$201,$A1352)&gt;0,"Yes","NOT IN INVENTORY"))</f>
        <v/>
      </c>
    </row>
    <row r="1353" customFormat="false" ht="15" hidden="false" customHeight="false" outlineLevel="0" collapsed="false">
      <c r="A1353" s="46"/>
      <c r="B1353" s="46"/>
      <c r="C1353" s="47"/>
      <c r="D1353" s="47"/>
      <c r="E1353" s="46"/>
      <c r="F1353" s="46"/>
      <c r="G1353" s="47"/>
      <c r="H1353" s="47"/>
      <c r="I1353" s="47"/>
      <c r="J1353" s="45" t="str">
        <f aca="false">IF($A1353="","",IF(COUNTIF(Accounts!$C$2:$C$201,$A1353)+COUNTIF('Service Principals'!$C$2:$C$201,$A1353)+COUNTIF('Managed Identities'!$C$2:$C$201,$A1353)&gt;0,"Yes","NOT IN INVENTORY"))</f>
        <v/>
      </c>
    </row>
    <row r="1354" customFormat="false" ht="15" hidden="false" customHeight="false" outlineLevel="0" collapsed="false">
      <c r="A1354" s="46"/>
      <c r="B1354" s="46"/>
      <c r="C1354" s="47"/>
      <c r="D1354" s="47"/>
      <c r="E1354" s="46"/>
      <c r="F1354" s="46"/>
      <c r="G1354" s="47"/>
      <c r="H1354" s="47"/>
      <c r="I1354" s="47"/>
      <c r="J1354" s="45" t="str">
        <f aca="false">IF($A1354="","",IF(COUNTIF(Accounts!$C$2:$C$201,$A1354)+COUNTIF('Service Principals'!$C$2:$C$201,$A1354)+COUNTIF('Managed Identities'!$C$2:$C$201,$A1354)&gt;0,"Yes","NOT IN INVENTORY"))</f>
        <v/>
      </c>
    </row>
    <row r="1355" customFormat="false" ht="15" hidden="false" customHeight="false" outlineLevel="0" collapsed="false">
      <c r="A1355" s="46"/>
      <c r="B1355" s="46"/>
      <c r="C1355" s="47"/>
      <c r="D1355" s="47"/>
      <c r="E1355" s="46"/>
      <c r="F1355" s="46"/>
      <c r="G1355" s="47"/>
      <c r="H1355" s="47"/>
      <c r="I1355" s="47"/>
      <c r="J1355" s="45" t="str">
        <f aca="false">IF($A1355="","",IF(COUNTIF(Accounts!$C$2:$C$201,$A1355)+COUNTIF('Service Principals'!$C$2:$C$201,$A1355)+COUNTIF('Managed Identities'!$C$2:$C$201,$A1355)&gt;0,"Yes","NOT IN INVENTORY"))</f>
        <v/>
      </c>
    </row>
    <row r="1356" customFormat="false" ht="15" hidden="false" customHeight="false" outlineLevel="0" collapsed="false">
      <c r="A1356" s="46"/>
      <c r="B1356" s="46"/>
      <c r="C1356" s="47"/>
      <c r="D1356" s="47"/>
      <c r="E1356" s="46"/>
      <c r="F1356" s="46"/>
      <c r="G1356" s="47"/>
      <c r="H1356" s="47"/>
      <c r="I1356" s="47"/>
      <c r="J1356" s="45" t="str">
        <f aca="false">IF($A1356="","",IF(COUNTIF(Accounts!$C$2:$C$201,$A1356)+COUNTIF('Service Principals'!$C$2:$C$201,$A1356)+COUNTIF('Managed Identities'!$C$2:$C$201,$A1356)&gt;0,"Yes","NOT IN INVENTORY"))</f>
        <v/>
      </c>
    </row>
    <row r="1357" customFormat="false" ht="15" hidden="false" customHeight="false" outlineLevel="0" collapsed="false">
      <c r="A1357" s="46"/>
      <c r="B1357" s="46"/>
      <c r="C1357" s="47"/>
      <c r="D1357" s="47"/>
      <c r="E1357" s="46"/>
      <c r="F1357" s="46"/>
      <c r="G1357" s="47"/>
      <c r="H1357" s="47"/>
      <c r="I1357" s="47"/>
      <c r="J1357" s="45" t="str">
        <f aca="false">IF($A1357="","",IF(COUNTIF(Accounts!$C$2:$C$201,$A1357)+COUNTIF('Service Principals'!$C$2:$C$201,$A1357)+COUNTIF('Managed Identities'!$C$2:$C$201,$A1357)&gt;0,"Yes","NOT IN INVENTORY"))</f>
        <v/>
      </c>
    </row>
    <row r="1358" customFormat="false" ht="15" hidden="false" customHeight="false" outlineLevel="0" collapsed="false">
      <c r="A1358" s="46"/>
      <c r="B1358" s="46"/>
      <c r="C1358" s="47"/>
      <c r="D1358" s="47"/>
      <c r="E1358" s="46"/>
      <c r="F1358" s="46"/>
      <c r="G1358" s="47"/>
      <c r="H1358" s="47"/>
      <c r="I1358" s="47"/>
      <c r="J1358" s="45" t="str">
        <f aca="false">IF($A1358="","",IF(COUNTIF(Accounts!$C$2:$C$201,$A1358)+COUNTIF('Service Principals'!$C$2:$C$201,$A1358)+COUNTIF('Managed Identities'!$C$2:$C$201,$A1358)&gt;0,"Yes","NOT IN INVENTORY"))</f>
        <v/>
      </c>
    </row>
    <row r="1359" customFormat="false" ht="15" hidden="false" customHeight="false" outlineLevel="0" collapsed="false">
      <c r="A1359" s="46"/>
      <c r="B1359" s="46"/>
      <c r="C1359" s="47"/>
      <c r="D1359" s="47"/>
      <c r="E1359" s="46"/>
      <c r="F1359" s="46"/>
      <c r="G1359" s="47"/>
      <c r="H1359" s="47"/>
      <c r="I1359" s="47"/>
      <c r="J1359" s="45" t="str">
        <f aca="false">IF($A1359="","",IF(COUNTIF(Accounts!$C$2:$C$201,$A1359)+COUNTIF('Service Principals'!$C$2:$C$201,$A1359)+COUNTIF('Managed Identities'!$C$2:$C$201,$A1359)&gt;0,"Yes","NOT IN INVENTORY"))</f>
        <v/>
      </c>
    </row>
    <row r="1360" customFormat="false" ht="15" hidden="false" customHeight="false" outlineLevel="0" collapsed="false">
      <c r="A1360" s="46"/>
      <c r="B1360" s="46"/>
      <c r="C1360" s="47"/>
      <c r="D1360" s="47"/>
      <c r="E1360" s="46"/>
      <c r="F1360" s="46"/>
      <c r="G1360" s="47"/>
      <c r="H1360" s="47"/>
      <c r="I1360" s="47"/>
      <c r="J1360" s="45" t="str">
        <f aca="false">IF($A1360="","",IF(COUNTIF(Accounts!$C$2:$C$201,$A1360)+COUNTIF('Service Principals'!$C$2:$C$201,$A1360)+COUNTIF('Managed Identities'!$C$2:$C$201,$A1360)&gt;0,"Yes","NOT IN INVENTORY"))</f>
        <v/>
      </c>
    </row>
    <row r="1361" customFormat="false" ht="15" hidden="false" customHeight="false" outlineLevel="0" collapsed="false">
      <c r="A1361" s="46"/>
      <c r="B1361" s="46"/>
      <c r="C1361" s="47"/>
      <c r="D1361" s="47"/>
      <c r="E1361" s="46"/>
      <c r="F1361" s="46"/>
      <c r="G1361" s="47"/>
      <c r="H1361" s="47"/>
      <c r="I1361" s="47"/>
      <c r="J1361" s="45" t="str">
        <f aca="false">IF($A1361="","",IF(COUNTIF(Accounts!$C$2:$C$201,$A1361)+COUNTIF('Service Principals'!$C$2:$C$201,$A1361)+COUNTIF('Managed Identities'!$C$2:$C$201,$A1361)&gt;0,"Yes","NOT IN INVENTORY"))</f>
        <v/>
      </c>
    </row>
    <row r="1362" customFormat="false" ht="15" hidden="false" customHeight="false" outlineLevel="0" collapsed="false">
      <c r="A1362" s="46"/>
      <c r="B1362" s="46"/>
      <c r="C1362" s="47"/>
      <c r="D1362" s="47"/>
      <c r="E1362" s="46"/>
      <c r="F1362" s="46"/>
      <c r="G1362" s="47"/>
      <c r="H1362" s="47"/>
      <c r="I1362" s="47"/>
      <c r="J1362" s="45" t="str">
        <f aca="false">IF($A1362="","",IF(COUNTIF(Accounts!$C$2:$C$201,$A1362)+COUNTIF('Service Principals'!$C$2:$C$201,$A1362)+COUNTIF('Managed Identities'!$C$2:$C$201,$A1362)&gt;0,"Yes","NOT IN INVENTORY"))</f>
        <v/>
      </c>
    </row>
    <row r="1363" customFormat="false" ht="15" hidden="false" customHeight="false" outlineLevel="0" collapsed="false">
      <c r="A1363" s="46"/>
      <c r="B1363" s="46"/>
      <c r="C1363" s="47"/>
      <c r="D1363" s="47"/>
      <c r="E1363" s="46"/>
      <c r="F1363" s="46"/>
      <c r="G1363" s="47"/>
      <c r="H1363" s="47"/>
      <c r="I1363" s="47"/>
      <c r="J1363" s="45" t="str">
        <f aca="false">IF($A1363="","",IF(COUNTIF(Accounts!$C$2:$C$201,$A1363)+COUNTIF('Service Principals'!$C$2:$C$201,$A1363)+COUNTIF('Managed Identities'!$C$2:$C$201,$A1363)&gt;0,"Yes","NOT IN INVENTORY"))</f>
        <v/>
      </c>
    </row>
    <row r="1364" customFormat="false" ht="15" hidden="false" customHeight="false" outlineLevel="0" collapsed="false">
      <c r="A1364" s="46"/>
      <c r="B1364" s="46"/>
      <c r="C1364" s="47"/>
      <c r="D1364" s="47"/>
      <c r="E1364" s="46"/>
      <c r="F1364" s="46"/>
      <c r="G1364" s="47"/>
      <c r="H1364" s="47"/>
      <c r="I1364" s="47"/>
      <c r="J1364" s="45" t="str">
        <f aca="false">IF($A1364="","",IF(COUNTIF(Accounts!$C$2:$C$201,$A1364)+COUNTIF('Service Principals'!$C$2:$C$201,$A1364)+COUNTIF('Managed Identities'!$C$2:$C$201,$A1364)&gt;0,"Yes","NOT IN INVENTORY"))</f>
        <v/>
      </c>
    </row>
    <row r="1365" customFormat="false" ht="15" hidden="false" customHeight="false" outlineLevel="0" collapsed="false">
      <c r="A1365" s="46"/>
      <c r="B1365" s="46"/>
      <c r="C1365" s="47"/>
      <c r="D1365" s="47"/>
      <c r="E1365" s="46"/>
      <c r="F1365" s="46"/>
      <c r="G1365" s="47"/>
      <c r="H1365" s="47"/>
      <c r="I1365" s="47"/>
      <c r="J1365" s="45" t="str">
        <f aca="false">IF($A1365="","",IF(COUNTIF(Accounts!$C$2:$C$201,$A1365)+COUNTIF('Service Principals'!$C$2:$C$201,$A1365)+COUNTIF('Managed Identities'!$C$2:$C$201,$A1365)&gt;0,"Yes","NOT IN INVENTORY"))</f>
        <v/>
      </c>
    </row>
    <row r="1366" customFormat="false" ht="15" hidden="false" customHeight="false" outlineLevel="0" collapsed="false">
      <c r="A1366" s="46"/>
      <c r="B1366" s="46"/>
      <c r="C1366" s="47"/>
      <c r="D1366" s="47"/>
      <c r="E1366" s="46"/>
      <c r="F1366" s="46"/>
      <c r="G1366" s="47"/>
      <c r="H1366" s="47"/>
      <c r="I1366" s="47"/>
      <c r="J1366" s="45" t="str">
        <f aca="false">IF($A1366="","",IF(COUNTIF(Accounts!$C$2:$C$201,$A1366)+COUNTIF('Service Principals'!$C$2:$C$201,$A1366)+COUNTIF('Managed Identities'!$C$2:$C$201,$A1366)&gt;0,"Yes","NOT IN INVENTORY"))</f>
        <v/>
      </c>
    </row>
    <row r="1367" customFormat="false" ht="15" hidden="false" customHeight="false" outlineLevel="0" collapsed="false">
      <c r="A1367" s="46"/>
      <c r="B1367" s="46"/>
      <c r="C1367" s="47"/>
      <c r="D1367" s="47"/>
      <c r="E1367" s="46"/>
      <c r="F1367" s="46"/>
      <c r="G1367" s="47"/>
      <c r="H1367" s="47"/>
      <c r="I1367" s="47"/>
      <c r="J1367" s="45" t="str">
        <f aca="false">IF($A1367="","",IF(COUNTIF(Accounts!$C$2:$C$201,$A1367)+COUNTIF('Service Principals'!$C$2:$C$201,$A1367)+COUNTIF('Managed Identities'!$C$2:$C$201,$A1367)&gt;0,"Yes","NOT IN INVENTORY"))</f>
        <v/>
      </c>
    </row>
    <row r="1368" customFormat="false" ht="15" hidden="false" customHeight="false" outlineLevel="0" collapsed="false">
      <c r="A1368" s="46"/>
      <c r="B1368" s="46"/>
      <c r="C1368" s="47"/>
      <c r="D1368" s="47"/>
      <c r="E1368" s="46"/>
      <c r="F1368" s="46"/>
      <c r="G1368" s="47"/>
      <c r="H1368" s="47"/>
      <c r="I1368" s="47"/>
      <c r="J1368" s="45" t="str">
        <f aca="false">IF($A1368="","",IF(COUNTIF(Accounts!$C$2:$C$201,$A1368)+COUNTIF('Service Principals'!$C$2:$C$201,$A1368)+COUNTIF('Managed Identities'!$C$2:$C$201,$A1368)&gt;0,"Yes","NOT IN INVENTORY"))</f>
        <v/>
      </c>
    </row>
    <row r="1369" customFormat="false" ht="15" hidden="false" customHeight="false" outlineLevel="0" collapsed="false">
      <c r="A1369" s="46"/>
      <c r="B1369" s="46"/>
      <c r="C1369" s="47"/>
      <c r="D1369" s="47"/>
      <c r="E1369" s="46"/>
      <c r="F1369" s="46"/>
      <c r="G1369" s="47"/>
      <c r="H1369" s="47"/>
      <c r="I1369" s="47"/>
      <c r="J1369" s="45" t="str">
        <f aca="false">IF($A1369="","",IF(COUNTIF(Accounts!$C$2:$C$201,$A1369)+COUNTIF('Service Principals'!$C$2:$C$201,$A1369)+COUNTIF('Managed Identities'!$C$2:$C$201,$A1369)&gt;0,"Yes","NOT IN INVENTORY"))</f>
        <v/>
      </c>
    </row>
    <row r="1370" customFormat="false" ht="15" hidden="false" customHeight="false" outlineLevel="0" collapsed="false">
      <c r="A1370" s="46"/>
      <c r="B1370" s="46"/>
      <c r="C1370" s="47"/>
      <c r="D1370" s="47"/>
      <c r="E1370" s="46"/>
      <c r="F1370" s="46"/>
      <c r="G1370" s="47"/>
      <c r="H1370" s="47"/>
      <c r="I1370" s="47"/>
      <c r="J1370" s="45" t="str">
        <f aca="false">IF($A1370="","",IF(COUNTIF(Accounts!$C$2:$C$201,$A1370)+COUNTIF('Service Principals'!$C$2:$C$201,$A1370)+COUNTIF('Managed Identities'!$C$2:$C$201,$A1370)&gt;0,"Yes","NOT IN INVENTORY"))</f>
        <v/>
      </c>
    </row>
    <row r="1371" customFormat="false" ht="15" hidden="false" customHeight="false" outlineLevel="0" collapsed="false">
      <c r="A1371" s="46"/>
      <c r="B1371" s="46"/>
      <c r="C1371" s="47"/>
      <c r="D1371" s="47"/>
      <c r="E1371" s="46"/>
      <c r="F1371" s="46"/>
      <c r="G1371" s="47"/>
      <c r="H1371" s="47"/>
      <c r="I1371" s="47"/>
      <c r="J1371" s="45" t="str">
        <f aca="false">IF($A1371="","",IF(COUNTIF(Accounts!$C$2:$C$201,$A1371)+COUNTIF('Service Principals'!$C$2:$C$201,$A1371)+COUNTIF('Managed Identities'!$C$2:$C$201,$A1371)&gt;0,"Yes","NOT IN INVENTORY"))</f>
        <v/>
      </c>
    </row>
    <row r="1372" customFormat="false" ht="15" hidden="false" customHeight="false" outlineLevel="0" collapsed="false">
      <c r="A1372" s="46"/>
      <c r="B1372" s="46"/>
      <c r="C1372" s="47"/>
      <c r="D1372" s="47"/>
      <c r="E1372" s="46"/>
      <c r="F1372" s="46"/>
      <c r="G1372" s="47"/>
      <c r="H1372" s="47"/>
      <c r="I1372" s="47"/>
      <c r="J1372" s="45" t="str">
        <f aca="false">IF($A1372="","",IF(COUNTIF(Accounts!$C$2:$C$201,$A1372)+COUNTIF('Service Principals'!$C$2:$C$201,$A1372)+COUNTIF('Managed Identities'!$C$2:$C$201,$A1372)&gt;0,"Yes","NOT IN INVENTORY"))</f>
        <v/>
      </c>
    </row>
    <row r="1373" customFormat="false" ht="15" hidden="false" customHeight="false" outlineLevel="0" collapsed="false">
      <c r="A1373" s="46"/>
      <c r="B1373" s="46"/>
      <c r="C1373" s="47"/>
      <c r="D1373" s="47"/>
      <c r="E1373" s="46"/>
      <c r="F1373" s="46"/>
      <c r="G1373" s="47"/>
      <c r="H1373" s="47"/>
      <c r="I1373" s="47"/>
      <c r="J1373" s="45" t="str">
        <f aca="false">IF($A1373="","",IF(COUNTIF(Accounts!$C$2:$C$201,$A1373)+COUNTIF('Service Principals'!$C$2:$C$201,$A1373)+COUNTIF('Managed Identities'!$C$2:$C$201,$A1373)&gt;0,"Yes","NOT IN INVENTORY"))</f>
        <v/>
      </c>
    </row>
    <row r="1374" customFormat="false" ht="15" hidden="false" customHeight="false" outlineLevel="0" collapsed="false">
      <c r="A1374" s="46"/>
      <c r="B1374" s="46"/>
      <c r="C1374" s="47"/>
      <c r="D1374" s="47"/>
      <c r="E1374" s="46"/>
      <c r="F1374" s="46"/>
      <c r="G1374" s="47"/>
      <c r="H1374" s="47"/>
      <c r="I1374" s="47"/>
      <c r="J1374" s="45" t="str">
        <f aca="false">IF($A1374="","",IF(COUNTIF(Accounts!$C$2:$C$201,$A1374)+COUNTIF('Service Principals'!$C$2:$C$201,$A1374)+COUNTIF('Managed Identities'!$C$2:$C$201,$A1374)&gt;0,"Yes","NOT IN INVENTORY"))</f>
        <v/>
      </c>
    </row>
    <row r="1375" customFormat="false" ht="15" hidden="false" customHeight="false" outlineLevel="0" collapsed="false">
      <c r="A1375" s="46"/>
      <c r="B1375" s="46"/>
      <c r="C1375" s="47"/>
      <c r="D1375" s="47"/>
      <c r="E1375" s="46"/>
      <c r="F1375" s="46"/>
      <c r="G1375" s="47"/>
      <c r="H1375" s="47"/>
      <c r="I1375" s="47"/>
      <c r="J1375" s="45" t="str">
        <f aca="false">IF($A1375="","",IF(COUNTIF(Accounts!$C$2:$C$201,$A1375)+COUNTIF('Service Principals'!$C$2:$C$201,$A1375)+COUNTIF('Managed Identities'!$C$2:$C$201,$A1375)&gt;0,"Yes","NOT IN INVENTORY"))</f>
        <v/>
      </c>
    </row>
    <row r="1376" customFormat="false" ht="15" hidden="false" customHeight="false" outlineLevel="0" collapsed="false">
      <c r="A1376" s="46"/>
      <c r="B1376" s="46"/>
      <c r="C1376" s="47"/>
      <c r="D1376" s="47"/>
      <c r="E1376" s="46"/>
      <c r="F1376" s="46"/>
      <c r="G1376" s="47"/>
      <c r="H1376" s="47"/>
      <c r="I1376" s="47"/>
      <c r="J1376" s="45" t="str">
        <f aca="false">IF($A1376="","",IF(COUNTIF(Accounts!$C$2:$C$201,$A1376)+COUNTIF('Service Principals'!$C$2:$C$201,$A1376)+COUNTIF('Managed Identities'!$C$2:$C$201,$A1376)&gt;0,"Yes","NOT IN INVENTORY"))</f>
        <v/>
      </c>
    </row>
    <row r="1377" customFormat="false" ht="15" hidden="false" customHeight="false" outlineLevel="0" collapsed="false">
      <c r="A1377" s="46"/>
      <c r="B1377" s="46"/>
      <c r="C1377" s="47"/>
      <c r="D1377" s="47"/>
      <c r="E1377" s="46"/>
      <c r="F1377" s="46"/>
      <c r="G1377" s="47"/>
      <c r="H1377" s="47"/>
      <c r="I1377" s="47"/>
      <c r="J1377" s="45" t="str">
        <f aca="false">IF($A1377="","",IF(COUNTIF(Accounts!$C$2:$C$201,$A1377)+COUNTIF('Service Principals'!$C$2:$C$201,$A1377)+COUNTIF('Managed Identities'!$C$2:$C$201,$A1377)&gt;0,"Yes","NOT IN INVENTORY"))</f>
        <v/>
      </c>
    </row>
    <row r="1378" customFormat="false" ht="15" hidden="false" customHeight="false" outlineLevel="0" collapsed="false">
      <c r="A1378" s="46"/>
      <c r="B1378" s="46"/>
      <c r="C1378" s="47"/>
      <c r="D1378" s="47"/>
      <c r="E1378" s="46"/>
      <c r="F1378" s="46"/>
      <c r="G1378" s="47"/>
      <c r="H1378" s="47"/>
      <c r="I1378" s="47"/>
      <c r="J1378" s="45" t="str">
        <f aca="false">IF($A1378="","",IF(COUNTIF(Accounts!$C$2:$C$201,$A1378)+COUNTIF('Service Principals'!$C$2:$C$201,$A1378)+COUNTIF('Managed Identities'!$C$2:$C$201,$A1378)&gt;0,"Yes","NOT IN INVENTORY"))</f>
        <v/>
      </c>
    </row>
    <row r="1379" customFormat="false" ht="15" hidden="false" customHeight="false" outlineLevel="0" collapsed="false">
      <c r="A1379" s="46"/>
      <c r="B1379" s="46"/>
      <c r="C1379" s="47"/>
      <c r="D1379" s="47"/>
      <c r="E1379" s="46"/>
      <c r="F1379" s="46"/>
      <c r="G1379" s="47"/>
      <c r="H1379" s="47"/>
      <c r="I1379" s="47"/>
      <c r="J1379" s="45" t="str">
        <f aca="false">IF($A1379="","",IF(COUNTIF(Accounts!$C$2:$C$201,$A1379)+COUNTIF('Service Principals'!$C$2:$C$201,$A1379)+COUNTIF('Managed Identities'!$C$2:$C$201,$A1379)&gt;0,"Yes","NOT IN INVENTORY"))</f>
        <v/>
      </c>
    </row>
    <row r="1380" customFormat="false" ht="15" hidden="false" customHeight="false" outlineLevel="0" collapsed="false">
      <c r="A1380" s="46"/>
      <c r="B1380" s="46"/>
      <c r="C1380" s="47"/>
      <c r="D1380" s="47"/>
      <c r="E1380" s="46"/>
      <c r="F1380" s="46"/>
      <c r="G1380" s="47"/>
      <c r="H1380" s="47"/>
      <c r="I1380" s="47"/>
      <c r="J1380" s="45" t="str">
        <f aca="false">IF($A1380="","",IF(COUNTIF(Accounts!$C$2:$C$201,$A1380)+COUNTIF('Service Principals'!$C$2:$C$201,$A1380)+COUNTIF('Managed Identities'!$C$2:$C$201,$A1380)&gt;0,"Yes","NOT IN INVENTORY"))</f>
        <v/>
      </c>
    </row>
    <row r="1381" customFormat="false" ht="15" hidden="false" customHeight="false" outlineLevel="0" collapsed="false">
      <c r="A1381" s="46"/>
      <c r="B1381" s="46"/>
      <c r="C1381" s="47"/>
      <c r="D1381" s="47"/>
      <c r="E1381" s="46"/>
      <c r="F1381" s="46"/>
      <c r="G1381" s="47"/>
      <c r="H1381" s="47"/>
      <c r="I1381" s="47"/>
      <c r="J1381" s="45" t="str">
        <f aca="false">IF($A1381="","",IF(COUNTIF(Accounts!$C$2:$C$201,$A1381)+COUNTIF('Service Principals'!$C$2:$C$201,$A1381)+COUNTIF('Managed Identities'!$C$2:$C$201,$A1381)&gt;0,"Yes","NOT IN INVENTORY"))</f>
        <v/>
      </c>
    </row>
    <row r="1382" customFormat="false" ht="15" hidden="false" customHeight="false" outlineLevel="0" collapsed="false">
      <c r="A1382" s="46"/>
      <c r="B1382" s="46"/>
      <c r="C1382" s="47"/>
      <c r="D1382" s="47"/>
      <c r="E1382" s="46"/>
      <c r="F1382" s="46"/>
      <c r="G1382" s="47"/>
      <c r="H1382" s="47"/>
      <c r="I1382" s="47"/>
      <c r="J1382" s="45" t="str">
        <f aca="false">IF($A1382="","",IF(COUNTIF(Accounts!$C$2:$C$201,$A1382)+COUNTIF('Service Principals'!$C$2:$C$201,$A1382)+COUNTIF('Managed Identities'!$C$2:$C$201,$A1382)&gt;0,"Yes","NOT IN INVENTORY"))</f>
        <v/>
      </c>
    </row>
    <row r="1383" customFormat="false" ht="15" hidden="false" customHeight="false" outlineLevel="0" collapsed="false">
      <c r="A1383" s="46"/>
      <c r="B1383" s="46"/>
      <c r="C1383" s="47"/>
      <c r="D1383" s="47"/>
      <c r="E1383" s="46"/>
      <c r="F1383" s="46"/>
      <c r="G1383" s="47"/>
      <c r="H1383" s="47"/>
      <c r="I1383" s="47"/>
      <c r="J1383" s="45" t="str">
        <f aca="false">IF($A1383="","",IF(COUNTIF(Accounts!$C$2:$C$201,$A1383)+COUNTIF('Service Principals'!$C$2:$C$201,$A1383)+COUNTIF('Managed Identities'!$C$2:$C$201,$A1383)&gt;0,"Yes","NOT IN INVENTORY"))</f>
        <v/>
      </c>
    </row>
    <row r="1384" customFormat="false" ht="15" hidden="false" customHeight="false" outlineLevel="0" collapsed="false">
      <c r="A1384" s="46"/>
      <c r="B1384" s="46"/>
      <c r="C1384" s="47"/>
      <c r="D1384" s="47"/>
      <c r="E1384" s="46"/>
      <c r="F1384" s="46"/>
      <c r="G1384" s="47"/>
      <c r="H1384" s="47"/>
      <c r="I1384" s="47"/>
      <c r="J1384" s="45" t="str">
        <f aca="false">IF($A1384="","",IF(COUNTIF(Accounts!$C$2:$C$201,$A1384)+COUNTIF('Service Principals'!$C$2:$C$201,$A1384)+COUNTIF('Managed Identities'!$C$2:$C$201,$A1384)&gt;0,"Yes","NOT IN INVENTORY"))</f>
        <v/>
      </c>
    </row>
    <row r="1385" customFormat="false" ht="15" hidden="false" customHeight="false" outlineLevel="0" collapsed="false">
      <c r="A1385" s="46"/>
      <c r="B1385" s="46"/>
      <c r="C1385" s="47"/>
      <c r="D1385" s="47"/>
      <c r="E1385" s="46"/>
      <c r="F1385" s="46"/>
      <c r="G1385" s="47"/>
      <c r="H1385" s="47"/>
      <c r="I1385" s="47"/>
      <c r="J1385" s="45" t="str">
        <f aca="false">IF($A1385="","",IF(COUNTIF(Accounts!$C$2:$C$201,$A1385)+COUNTIF('Service Principals'!$C$2:$C$201,$A1385)+COUNTIF('Managed Identities'!$C$2:$C$201,$A1385)&gt;0,"Yes","NOT IN INVENTORY"))</f>
        <v/>
      </c>
    </row>
    <row r="1386" customFormat="false" ht="15" hidden="false" customHeight="false" outlineLevel="0" collapsed="false">
      <c r="A1386" s="46"/>
      <c r="B1386" s="46"/>
      <c r="C1386" s="47"/>
      <c r="D1386" s="47"/>
      <c r="E1386" s="46"/>
      <c r="F1386" s="46"/>
      <c r="G1386" s="47"/>
      <c r="H1386" s="47"/>
      <c r="I1386" s="47"/>
      <c r="J1386" s="45" t="str">
        <f aca="false">IF($A1386="","",IF(COUNTIF(Accounts!$C$2:$C$201,$A1386)+COUNTIF('Service Principals'!$C$2:$C$201,$A1386)+COUNTIF('Managed Identities'!$C$2:$C$201,$A1386)&gt;0,"Yes","NOT IN INVENTORY"))</f>
        <v/>
      </c>
    </row>
    <row r="1387" customFormat="false" ht="15" hidden="false" customHeight="false" outlineLevel="0" collapsed="false">
      <c r="A1387" s="46"/>
      <c r="B1387" s="46"/>
      <c r="C1387" s="47"/>
      <c r="D1387" s="47"/>
      <c r="E1387" s="46"/>
      <c r="F1387" s="46"/>
      <c r="G1387" s="47"/>
      <c r="H1387" s="47"/>
      <c r="I1387" s="47"/>
      <c r="J1387" s="45" t="str">
        <f aca="false">IF($A1387="","",IF(COUNTIF(Accounts!$C$2:$C$201,$A1387)+COUNTIF('Service Principals'!$C$2:$C$201,$A1387)+COUNTIF('Managed Identities'!$C$2:$C$201,$A1387)&gt;0,"Yes","NOT IN INVENTORY"))</f>
        <v/>
      </c>
    </row>
    <row r="1388" customFormat="false" ht="15" hidden="false" customHeight="false" outlineLevel="0" collapsed="false">
      <c r="A1388" s="46"/>
      <c r="B1388" s="46"/>
      <c r="C1388" s="47"/>
      <c r="D1388" s="47"/>
      <c r="E1388" s="46"/>
      <c r="F1388" s="46"/>
      <c r="G1388" s="47"/>
      <c r="H1388" s="47"/>
      <c r="I1388" s="47"/>
      <c r="J1388" s="45" t="str">
        <f aca="false">IF($A1388="","",IF(COUNTIF(Accounts!$C$2:$C$201,$A1388)+COUNTIF('Service Principals'!$C$2:$C$201,$A1388)+COUNTIF('Managed Identities'!$C$2:$C$201,$A1388)&gt;0,"Yes","NOT IN INVENTORY"))</f>
        <v/>
      </c>
    </row>
    <row r="1389" customFormat="false" ht="15" hidden="false" customHeight="false" outlineLevel="0" collapsed="false">
      <c r="A1389" s="46"/>
      <c r="B1389" s="46"/>
      <c r="C1389" s="47"/>
      <c r="D1389" s="47"/>
      <c r="E1389" s="46"/>
      <c r="F1389" s="46"/>
      <c r="G1389" s="47"/>
      <c r="H1389" s="47"/>
      <c r="I1389" s="47"/>
      <c r="J1389" s="45" t="str">
        <f aca="false">IF($A1389="","",IF(COUNTIF(Accounts!$C$2:$C$201,$A1389)+COUNTIF('Service Principals'!$C$2:$C$201,$A1389)+COUNTIF('Managed Identities'!$C$2:$C$201,$A1389)&gt;0,"Yes","NOT IN INVENTORY"))</f>
        <v/>
      </c>
    </row>
    <row r="1390" customFormat="false" ht="15" hidden="false" customHeight="false" outlineLevel="0" collapsed="false">
      <c r="A1390" s="46"/>
      <c r="B1390" s="46"/>
      <c r="C1390" s="47"/>
      <c r="D1390" s="47"/>
      <c r="E1390" s="46"/>
      <c r="F1390" s="46"/>
      <c r="G1390" s="47"/>
      <c r="H1390" s="47"/>
      <c r="I1390" s="47"/>
      <c r="J1390" s="45" t="str">
        <f aca="false">IF($A1390="","",IF(COUNTIF(Accounts!$C$2:$C$201,$A1390)+COUNTIF('Service Principals'!$C$2:$C$201,$A1390)+COUNTIF('Managed Identities'!$C$2:$C$201,$A1390)&gt;0,"Yes","NOT IN INVENTORY"))</f>
        <v/>
      </c>
    </row>
    <row r="1391" customFormat="false" ht="15" hidden="false" customHeight="false" outlineLevel="0" collapsed="false">
      <c r="A1391" s="46"/>
      <c r="B1391" s="46"/>
      <c r="C1391" s="47"/>
      <c r="D1391" s="47"/>
      <c r="E1391" s="46"/>
      <c r="F1391" s="46"/>
      <c r="G1391" s="47"/>
      <c r="H1391" s="47"/>
      <c r="I1391" s="47"/>
      <c r="J1391" s="45" t="str">
        <f aca="false">IF($A1391="","",IF(COUNTIF(Accounts!$C$2:$C$201,$A1391)+COUNTIF('Service Principals'!$C$2:$C$201,$A1391)+COUNTIF('Managed Identities'!$C$2:$C$201,$A1391)&gt;0,"Yes","NOT IN INVENTORY"))</f>
        <v/>
      </c>
    </row>
    <row r="1392" customFormat="false" ht="15" hidden="false" customHeight="false" outlineLevel="0" collapsed="false">
      <c r="A1392" s="46"/>
      <c r="B1392" s="46"/>
      <c r="C1392" s="47"/>
      <c r="D1392" s="47"/>
      <c r="E1392" s="46"/>
      <c r="F1392" s="46"/>
      <c r="G1392" s="47"/>
      <c r="H1392" s="47"/>
      <c r="I1392" s="47"/>
      <c r="J1392" s="45" t="str">
        <f aca="false">IF($A1392="","",IF(COUNTIF(Accounts!$C$2:$C$201,$A1392)+COUNTIF('Service Principals'!$C$2:$C$201,$A1392)+COUNTIF('Managed Identities'!$C$2:$C$201,$A1392)&gt;0,"Yes","NOT IN INVENTORY"))</f>
        <v/>
      </c>
    </row>
    <row r="1393" customFormat="false" ht="15" hidden="false" customHeight="false" outlineLevel="0" collapsed="false">
      <c r="A1393" s="46"/>
      <c r="B1393" s="46"/>
      <c r="C1393" s="47"/>
      <c r="D1393" s="47"/>
      <c r="E1393" s="46"/>
      <c r="F1393" s="46"/>
      <c r="G1393" s="47"/>
      <c r="H1393" s="47"/>
      <c r="I1393" s="47"/>
      <c r="J1393" s="45" t="str">
        <f aca="false">IF($A1393="","",IF(COUNTIF(Accounts!$C$2:$C$201,$A1393)+COUNTIF('Service Principals'!$C$2:$C$201,$A1393)+COUNTIF('Managed Identities'!$C$2:$C$201,$A1393)&gt;0,"Yes","NOT IN INVENTORY"))</f>
        <v/>
      </c>
    </row>
    <row r="1394" customFormat="false" ht="15" hidden="false" customHeight="false" outlineLevel="0" collapsed="false">
      <c r="A1394" s="46"/>
      <c r="B1394" s="46"/>
      <c r="C1394" s="47"/>
      <c r="D1394" s="47"/>
      <c r="E1394" s="46"/>
      <c r="F1394" s="46"/>
      <c r="G1394" s="47"/>
      <c r="H1394" s="47"/>
      <c r="I1394" s="47"/>
      <c r="J1394" s="45" t="str">
        <f aca="false">IF($A1394="","",IF(COUNTIF(Accounts!$C$2:$C$201,$A1394)+COUNTIF('Service Principals'!$C$2:$C$201,$A1394)+COUNTIF('Managed Identities'!$C$2:$C$201,$A1394)&gt;0,"Yes","NOT IN INVENTORY"))</f>
        <v/>
      </c>
    </row>
    <row r="1395" customFormat="false" ht="15" hidden="false" customHeight="false" outlineLevel="0" collapsed="false">
      <c r="A1395" s="46"/>
      <c r="B1395" s="46"/>
      <c r="C1395" s="47"/>
      <c r="D1395" s="47"/>
      <c r="E1395" s="46"/>
      <c r="F1395" s="46"/>
      <c r="G1395" s="47"/>
      <c r="H1395" s="47"/>
      <c r="I1395" s="47"/>
      <c r="J1395" s="45" t="str">
        <f aca="false">IF($A1395="","",IF(COUNTIF(Accounts!$C$2:$C$201,$A1395)+COUNTIF('Service Principals'!$C$2:$C$201,$A1395)+COUNTIF('Managed Identities'!$C$2:$C$201,$A1395)&gt;0,"Yes","NOT IN INVENTORY"))</f>
        <v/>
      </c>
    </row>
    <row r="1396" customFormat="false" ht="15" hidden="false" customHeight="false" outlineLevel="0" collapsed="false">
      <c r="A1396" s="46"/>
      <c r="B1396" s="46"/>
      <c r="C1396" s="47"/>
      <c r="D1396" s="47"/>
      <c r="E1396" s="46"/>
      <c r="F1396" s="46"/>
      <c r="G1396" s="47"/>
      <c r="H1396" s="47"/>
      <c r="I1396" s="47"/>
      <c r="J1396" s="45" t="str">
        <f aca="false">IF($A1396="","",IF(COUNTIF(Accounts!$C$2:$C$201,$A1396)+COUNTIF('Service Principals'!$C$2:$C$201,$A1396)+COUNTIF('Managed Identities'!$C$2:$C$201,$A1396)&gt;0,"Yes","NOT IN INVENTORY"))</f>
        <v/>
      </c>
    </row>
    <row r="1397" customFormat="false" ht="15" hidden="false" customHeight="false" outlineLevel="0" collapsed="false">
      <c r="A1397" s="46"/>
      <c r="B1397" s="46"/>
      <c r="C1397" s="47"/>
      <c r="D1397" s="47"/>
      <c r="E1397" s="46"/>
      <c r="F1397" s="46"/>
      <c r="G1397" s="47"/>
      <c r="H1397" s="47"/>
      <c r="I1397" s="47"/>
      <c r="J1397" s="45" t="str">
        <f aca="false">IF($A1397="","",IF(COUNTIF(Accounts!$C$2:$C$201,$A1397)+COUNTIF('Service Principals'!$C$2:$C$201,$A1397)+COUNTIF('Managed Identities'!$C$2:$C$201,$A1397)&gt;0,"Yes","NOT IN INVENTORY"))</f>
        <v/>
      </c>
    </row>
    <row r="1398" customFormat="false" ht="15" hidden="false" customHeight="false" outlineLevel="0" collapsed="false">
      <c r="A1398" s="46"/>
      <c r="B1398" s="46"/>
      <c r="C1398" s="47"/>
      <c r="D1398" s="47"/>
      <c r="E1398" s="46"/>
      <c r="F1398" s="46"/>
      <c r="G1398" s="47"/>
      <c r="H1398" s="47"/>
      <c r="I1398" s="47"/>
      <c r="J1398" s="45" t="str">
        <f aca="false">IF($A1398="","",IF(COUNTIF(Accounts!$C$2:$C$201,$A1398)+COUNTIF('Service Principals'!$C$2:$C$201,$A1398)+COUNTIF('Managed Identities'!$C$2:$C$201,$A1398)&gt;0,"Yes","NOT IN INVENTORY"))</f>
        <v/>
      </c>
    </row>
    <row r="1399" customFormat="false" ht="15" hidden="false" customHeight="false" outlineLevel="0" collapsed="false">
      <c r="A1399" s="46"/>
      <c r="B1399" s="46"/>
      <c r="C1399" s="47"/>
      <c r="D1399" s="47"/>
      <c r="E1399" s="46"/>
      <c r="F1399" s="46"/>
      <c r="G1399" s="47"/>
      <c r="H1399" s="47"/>
      <c r="I1399" s="47"/>
      <c r="J1399" s="45" t="str">
        <f aca="false">IF($A1399="","",IF(COUNTIF(Accounts!$C$2:$C$201,$A1399)+COUNTIF('Service Principals'!$C$2:$C$201,$A1399)+COUNTIF('Managed Identities'!$C$2:$C$201,$A1399)&gt;0,"Yes","NOT IN INVENTORY"))</f>
        <v/>
      </c>
    </row>
    <row r="1400" customFormat="false" ht="15" hidden="false" customHeight="false" outlineLevel="0" collapsed="false">
      <c r="A1400" s="46"/>
      <c r="B1400" s="46"/>
      <c r="C1400" s="47"/>
      <c r="D1400" s="47"/>
      <c r="E1400" s="46"/>
      <c r="F1400" s="46"/>
      <c r="G1400" s="47"/>
      <c r="H1400" s="47"/>
      <c r="I1400" s="47"/>
      <c r="J1400" s="45" t="str">
        <f aca="false">IF($A1400="","",IF(COUNTIF(Accounts!$C$2:$C$201,$A1400)+COUNTIF('Service Principals'!$C$2:$C$201,$A1400)+COUNTIF('Managed Identities'!$C$2:$C$201,$A1400)&gt;0,"Yes","NOT IN INVENTORY"))</f>
        <v/>
      </c>
    </row>
    <row r="1401" customFormat="false" ht="15" hidden="false" customHeight="false" outlineLevel="0" collapsed="false">
      <c r="A1401" s="46"/>
      <c r="B1401" s="46"/>
      <c r="C1401" s="47"/>
      <c r="D1401" s="47"/>
      <c r="E1401" s="46"/>
      <c r="F1401" s="46"/>
      <c r="G1401" s="47"/>
      <c r="H1401" s="47"/>
      <c r="I1401" s="47"/>
      <c r="J1401" s="45" t="str">
        <f aca="false">IF($A1401="","",IF(COUNTIF(Accounts!$C$2:$C$201,$A1401)+COUNTIF('Service Principals'!$C$2:$C$201,$A1401)+COUNTIF('Managed Identities'!$C$2:$C$201,$A1401)&gt;0,"Yes","NOT IN INVENTORY"))</f>
        <v/>
      </c>
    </row>
    <row r="1402" customFormat="false" ht="15" hidden="false" customHeight="false" outlineLevel="0" collapsed="false">
      <c r="A1402" s="46"/>
      <c r="B1402" s="46"/>
      <c r="C1402" s="47"/>
      <c r="D1402" s="47"/>
      <c r="E1402" s="46"/>
      <c r="F1402" s="46"/>
      <c r="G1402" s="47"/>
      <c r="H1402" s="47"/>
      <c r="I1402" s="47"/>
      <c r="J1402" s="45" t="str">
        <f aca="false">IF($A1402="","",IF(COUNTIF(Accounts!$C$2:$C$201,$A1402)+COUNTIF('Service Principals'!$C$2:$C$201,$A1402)+COUNTIF('Managed Identities'!$C$2:$C$201,$A1402)&gt;0,"Yes","NOT IN INVENTORY"))</f>
        <v/>
      </c>
    </row>
    <row r="1403" customFormat="false" ht="15" hidden="false" customHeight="false" outlineLevel="0" collapsed="false">
      <c r="A1403" s="46"/>
      <c r="B1403" s="46"/>
      <c r="C1403" s="47"/>
      <c r="D1403" s="47"/>
      <c r="E1403" s="46"/>
      <c r="F1403" s="46"/>
      <c r="G1403" s="47"/>
      <c r="H1403" s="47"/>
      <c r="I1403" s="47"/>
      <c r="J1403" s="45" t="str">
        <f aca="false">IF($A1403="","",IF(COUNTIF(Accounts!$C$2:$C$201,$A1403)+COUNTIF('Service Principals'!$C$2:$C$201,$A1403)+COUNTIF('Managed Identities'!$C$2:$C$201,$A1403)&gt;0,"Yes","NOT IN INVENTORY"))</f>
        <v/>
      </c>
    </row>
    <row r="1404" customFormat="false" ht="15" hidden="false" customHeight="false" outlineLevel="0" collapsed="false">
      <c r="A1404" s="46"/>
      <c r="B1404" s="46"/>
      <c r="C1404" s="47"/>
      <c r="D1404" s="47"/>
      <c r="E1404" s="46"/>
      <c r="F1404" s="46"/>
      <c r="G1404" s="47"/>
      <c r="H1404" s="47"/>
      <c r="I1404" s="47"/>
      <c r="J1404" s="45" t="str">
        <f aca="false">IF($A1404="","",IF(COUNTIF(Accounts!$C$2:$C$201,$A1404)+COUNTIF('Service Principals'!$C$2:$C$201,$A1404)+COUNTIF('Managed Identities'!$C$2:$C$201,$A1404)&gt;0,"Yes","NOT IN INVENTORY"))</f>
        <v/>
      </c>
    </row>
    <row r="1405" customFormat="false" ht="15" hidden="false" customHeight="false" outlineLevel="0" collapsed="false">
      <c r="A1405" s="46"/>
      <c r="B1405" s="46"/>
      <c r="C1405" s="47"/>
      <c r="D1405" s="47"/>
      <c r="E1405" s="46"/>
      <c r="F1405" s="46"/>
      <c r="G1405" s="47"/>
      <c r="H1405" s="47"/>
      <c r="I1405" s="47"/>
      <c r="J1405" s="45" t="str">
        <f aca="false">IF($A1405="","",IF(COUNTIF(Accounts!$C$2:$C$201,$A1405)+COUNTIF('Service Principals'!$C$2:$C$201,$A1405)+COUNTIF('Managed Identities'!$C$2:$C$201,$A1405)&gt;0,"Yes","NOT IN INVENTORY"))</f>
        <v/>
      </c>
    </row>
    <row r="1406" customFormat="false" ht="15" hidden="false" customHeight="false" outlineLevel="0" collapsed="false">
      <c r="A1406" s="46"/>
      <c r="B1406" s="46"/>
      <c r="C1406" s="47"/>
      <c r="D1406" s="47"/>
      <c r="E1406" s="46"/>
      <c r="F1406" s="46"/>
      <c r="G1406" s="47"/>
      <c r="H1406" s="47"/>
      <c r="I1406" s="47"/>
      <c r="J1406" s="45" t="str">
        <f aca="false">IF($A1406="","",IF(COUNTIF(Accounts!$C$2:$C$201,$A1406)+COUNTIF('Service Principals'!$C$2:$C$201,$A1406)+COUNTIF('Managed Identities'!$C$2:$C$201,$A1406)&gt;0,"Yes","NOT IN INVENTORY"))</f>
        <v/>
      </c>
    </row>
    <row r="1407" customFormat="false" ht="15" hidden="false" customHeight="false" outlineLevel="0" collapsed="false">
      <c r="A1407" s="46"/>
      <c r="B1407" s="46"/>
      <c r="C1407" s="47"/>
      <c r="D1407" s="47"/>
      <c r="E1407" s="46"/>
      <c r="F1407" s="46"/>
      <c r="G1407" s="47"/>
      <c r="H1407" s="47"/>
      <c r="I1407" s="47"/>
      <c r="J1407" s="45" t="str">
        <f aca="false">IF($A1407="","",IF(COUNTIF(Accounts!$C$2:$C$201,$A1407)+COUNTIF('Service Principals'!$C$2:$C$201,$A1407)+COUNTIF('Managed Identities'!$C$2:$C$201,$A1407)&gt;0,"Yes","NOT IN INVENTORY"))</f>
        <v/>
      </c>
    </row>
    <row r="1408" customFormat="false" ht="15" hidden="false" customHeight="false" outlineLevel="0" collapsed="false">
      <c r="A1408" s="46"/>
      <c r="B1408" s="46"/>
      <c r="C1408" s="47"/>
      <c r="D1408" s="47"/>
      <c r="E1408" s="46"/>
      <c r="F1408" s="46"/>
      <c r="G1408" s="47"/>
      <c r="H1408" s="47"/>
      <c r="I1408" s="47"/>
      <c r="J1408" s="45" t="str">
        <f aca="false">IF($A1408="","",IF(COUNTIF(Accounts!$C$2:$C$201,$A1408)+COUNTIF('Service Principals'!$C$2:$C$201,$A1408)+COUNTIF('Managed Identities'!$C$2:$C$201,$A1408)&gt;0,"Yes","NOT IN INVENTORY"))</f>
        <v/>
      </c>
    </row>
    <row r="1409" customFormat="false" ht="15" hidden="false" customHeight="false" outlineLevel="0" collapsed="false">
      <c r="A1409" s="46"/>
      <c r="B1409" s="46"/>
      <c r="C1409" s="47"/>
      <c r="D1409" s="47"/>
      <c r="E1409" s="46"/>
      <c r="F1409" s="46"/>
      <c r="G1409" s="47"/>
      <c r="H1409" s="47"/>
      <c r="I1409" s="47"/>
      <c r="J1409" s="45" t="str">
        <f aca="false">IF($A1409="","",IF(COUNTIF(Accounts!$C$2:$C$201,$A1409)+COUNTIF('Service Principals'!$C$2:$C$201,$A1409)+COUNTIF('Managed Identities'!$C$2:$C$201,$A1409)&gt;0,"Yes","NOT IN INVENTORY"))</f>
        <v/>
      </c>
    </row>
    <row r="1410" customFormat="false" ht="15" hidden="false" customHeight="false" outlineLevel="0" collapsed="false">
      <c r="A1410" s="46"/>
      <c r="B1410" s="46"/>
      <c r="C1410" s="47"/>
      <c r="D1410" s="47"/>
      <c r="E1410" s="46"/>
      <c r="F1410" s="46"/>
      <c r="G1410" s="47"/>
      <c r="H1410" s="47"/>
      <c r="I1410" s="47"/>
      <c r="J1410" s="45" t="str">
        <f aca="false">IF($A1410="","",IF(COUNTIF(Accounts!$C$2:$C$201,$A1410)+COUNTIF('Service Principals'!$C$2:$C$201,$A1410)+COUNTIF('Managed Identities'!$C$2:$C$201,$A1410)&gt;0,"Yes","NOT IN INVENTORY"))</f>
        <v/>
      </c>
    </row>
    <row r="1411" customFormat="false" ht="15" hidden="false" customHeight="false" outlineLevel="0" collapsed="false">
      <c r="A1411" s="46"/>
      <c r="B1411" s="46"/>
      <c r="C1411" s="47"/>
      <c r="D1411" s="47"/>
      <c r="E1411" s="46"/>
      <c r="F1411" s="46"/>
      <c r="G1411" s="47"/>
      <c r="H1411" s="47"/>
      <c r="I1411" s="47"/>
      <c r="J1411" s="45" t="str">
        <f aca="false">IF($A1411="","",IF(COUNTIF(Accounts!$C$2:$C$201,$A1411)+COUNTIF('Service Principals'!$C$2:$C$201,$A1411)+COUNTIF('Managed Identities'!$C$2:$C$201,$A1411)&gt;0,"Yes","NOT IN INVENTORY"))</f>
        <v/>
      </c>
    </row>
    <row r="1412" customFormat="false" ht="15" hidden="false" customHeight="false" outlineLevel="0" collapsed="false">
      <c r="A1412" s="46"/>
      <c r="B1412" s="46"/>
      <c r="C1412" s="47"/>
      <c r="D1412" s="47"/>
      <c r="E1412" s="46"/>
      <c r="F1412" s="46"/>
      <c r="G1412" s="47"/>
      <c r="H1412" s="47"/>
      <c r="I1412" s="47"/>
      <c r="J1412" s="45" t="str">
        <f aca="false">IF($A1412="","",IF(COUNTIF(Accounts!$C$2:$C$201,$A1412)+COUNTIF('Service Principals'!$C$2:$C$201,$A1412)+COUNTIF('Managed Identities'!$C$2:$C$201,$A1412)&gt;0,"Yes","NOT IN INVENTORY"))</f>
        <v/>
      </c>
    </row>
    <row r="1413" customFormat="false" ht="15" hidden="false" customHeight="false" outlineLevel="0" collapsed="false">
      <c r="A1413" s="46"/>
      <c r="B1413" s="46"/>
      <c r="C1413" s="47"/>
      <c r="D1413" s="47"/>
      <c r="E1413" s="46"/>
      <c r="F1413" s="46"/>
      <c r="G1413" s="47"/>
      <c r="H1413" s="47"/>
      <c r="I1413" s="47"/>
      <c r="J1413" s="45" t="str">
        <f aca="false">IF($A1413="","",IF(COUNTIF(Accounts!$C$2:$C$201,$A1413)+COUNTIF('Service Principals'!$C$2:$C$201,$A1413)+COUNTIF('Managed Identities'!$C$2:$C$201,$A1413)&gt;0,"Yes","NOT IN INVENTORY"))</f>
        <v/>
      </c>
    </row>
    <row r="1414" customFormat="false" ht="15" hidden="false" customHeight="false" outlineLevel="0" collapsed="false">
      <c r="A1414" s="46"/>
      <c r="B1414" s="46"/>
      <c r="C1414" s="47"/>
      <c r="D1414" s="47"/>
      <c r="E1414" s="46"/>
      <c r="F1414" s="46"/>
      <c r="G1414" s="47"/>
      <c r="H1414" s="47"/>
      <c r="I1414" s="47"/>
      <c r="J1414" s="45" t="str">
        <f aca="false">IF($A1414="","",IF(COUNTIF(Accounts!$C$2:$C$201,$A1414)+COUNTIF('Service Principals'!$C$2:$C$201,$A1414)+COUNTIF('Managed Identities'!$C$2:$C$201,$A1414)&gt;0,"Yes","NOT IN INVENTORY"))</f>
        <v/>
      </c>
    </row>
    <row r="1415" customFormat="false" ht="15" hidden="false" customHeight="false" outlineLevel="0" collapsed="false">
      <c r="A1415" s="46"/>
      <c r="B1415" s="46"/>
      <c r="C1415" s="47"/>
      <c r="D1415" s="47"/>
      <c r="E1415" s="46"/>
      <c r="F1415" s="46"/>
      <c r="G1415" s="47"/>
      <c r="H1415" s="47"/>
      <c r="I1415" s="47"/>
      <c r="J1415" s="45" t="str">
        <f aca="false">IF($A1415="","",IF(COUNTIF(Accounts!$C$2:$C$201,$A1415)+COUNTIF('Service Principals'!$C$2:$C$201,$A1415)+COUNTIF('Managed Identities'!$C$2:$C$201,$A1415)&gt;0,"Yes","NOT IN INVENTORY"))</f>
        <v/>
      </c>
    </row>
    <row r="1416" customFormat="false" ht="15" hidden="false" customHeight="false" outlineLevel="0" collapsed="false">
      <c r="A1416" s="46"/>
      <c r="B1416" s="46"/>
      <c r="C1416" s="47"/>
      <c r="D1416" s="47"/>
      <c r="E1416" s="46"/>
      <c r="F1416" s="46"/>
      <c r="G1416" s="47"/>
      <c r="H1416" s="47"/>
      <c r="I1416" s="47"/>
      <c r="J1416" s="45" t="str">
        <f aca="false">IF($A1416="","",IF(COUNTIF(Accounts!$C$2:$C$201,$A1416)+COUNTIF('Service Principals'!$C$2:$C$201,$A1416)+COUNTIF('Managed Identities'!$C$2:$C$201,$A1416)&gt;0,"Yes","NOT IN INVENTORY"))</f>
        <v/>
      </c>
    </row>
    <row r="1417" customFormat="false" ht="15" hidden="false" customHeight="false" outlineLevel="0" collapsed="false">
      <c r="A1417" s="46"/>
      <c r="B1417" s="46"/>
      <c r="C1417" s="47"/>
      <c r="D1417" s="47"/>
      <c r="E1417" s="46"/>
      <c r="F1417" s="46"/>
      <c r="G1417" s="47"/>
      <c r="H1417" s="47"/>
      <c r="I1417" s="47"/>
      <c r="J1417" s="45" t="str">
        <f aca="false">IF($A1417="","",IF(COUNTIF(Accounts!$C$2:$C$201,$A1417)+COUNTIF('Service Principals'!$C$2:$C$201,$A1417)+COUNTIF('Managed Identities'!$C$2:$C$201,$A1417)&gt;0,"Yes","NOT IN INVENTORY"))</f>
        <v/>
      </c>
    </row>
    <row r="1418" customFormat="false" ht="15" hidden="false" customHeight="false" outlineLevel="0" collapsed="false">
      <c r="A1418" s="46"/>
      <c r="B1418" s="46"/>
      <c r="C1418" s="47"/>
      <c r="D1418" s="47"/>
      <c r="E1418" s="46"/>
      <c r="F1418" s="46"/>
      <c r="G1418" s="47"/>
      <c r="H1418" s="47"/>
      <c r="I1418" s="47"/>
      <c r="J1418" s="45" t="str">
        <f aca="false">IF($A1418="","",IF(COUNTIF(Accounts!$C$2:$C$201,$A1418)+COUNTIF('Service Principals'!$C$2:$C$201,$A1418)+COUNTIF('Managed Identities'!$C$2:$C$201,$A1418)&gt;0,"Yes","NOT IN INVENTORY"))</f>
        <v/>
      </c>
    </row>
    <row r="1419" customFormat="false" ht="15" hidden="false" customHeight="false" outlineLevel="0" collapsed="false">
      <c r="A1419" s="46"/>
      <c r="B1419" s="46"/>
      <c r="C1419" s="47"/>
      <c r="D1419" s="47"/>
      <c r="E1419" s="46"/>
      <c r="F1419" s="46"/>
      <c r="G1419" s="47"/>
      <c r="H1419" s="47"/>
      <c r="I1419" s="47"/>
      <c r="J1419" s="45" t="str">
        <f aca="false">IF($A1419="","",IF(COUNTIF(Accounts!$C$2:$C$201,$A1419)+COUNTIF('Service Principals'!$C$2:$C$201,$A1419)+COUNTIF('Managed Identities'!$C$2:$C$201,$A1419)&gt;0,"Yes","NOT IN INVENTORY"))</f>
        <v/>
      </c>
    </row>
    <row r="1420" customFormat="false" ht="15" hidden="false" customHeight="false" outlineLevel="0" collapsed="false">
      <c r="A1420" s="46"/>
      <c r="B1420" s="46"/>
      <c r="C1420" s="47"/>
      <c r="D1420" s="47"/>
      <c r="E1420" s="46"/>
      <c r="F1420" s="46"/>
      <c r="G1420" s="47"/>
      <c r="H1420" s="47"/>
      <c r="I1420" s="47"/>
      <c r="J1420" s="45" t="str">
        <f aca="false">IF($A1420="","",IF(COUNTIF(Accounts!$C$2:$C$201,$A1420)+COUNTIF('Service Principals'!$C$2:$C$201,$A1420)+COUNTIF('Managed Identities'!$C$2:$C$201,$A1420)&gt;0,"Yes","NOT IN INVENTORY"))</f>
        <v/>
      </c>
    </row>
    <row r="1421" customFormat="false" ht="15" hidden="false" customHeight="false" outlineLevel="0" collapsed="false">
      <c r="A1421" s="46"/>
      <c r="B1421" s="46"/>
      <c r="C1421" s="47"/>
      <c r="D1421" s="47"/>
      <c r="E1421" s="46"/>
      <c r="F1421" s="46"/>
      <c r="G1421" s="47"/>
      <c r="H1421" s="47"/>
      <c r="I1421" s="47"/>
      <c r="J1421" s="45" t="str">
        <f aca="false">IF($A1421="","",IF(COUNTIF(Accounts!$C$2:$C$201,$A1421)+COUNTIF('Service Principals'!$C$2:$C$201,$A1421)+COUNTIF('Managed Identities'!$C$2:$C$201,$A1421)&gt;0,"Yes","NOT IN INVENTORY"))</f>
        <v/>
      </c>
    </row>
    <row r="1422" customFormat="false" ht="15" hidden="false" customHeight="false" outlineLevel="0" collapsed="false">
      <c r="A1422" s="46"/>
      <c r="B1422" s="46"/>
      <c r="C1422" s="47"/>
      <c r="D1422" s="47"/>
      <c r="E1422" s="46"/>
      <c r="F1422" s="46"/>
      <c r="G1422" s="47"/>
      <c r="H1422" s="47"/>
      <c r="I1422" s="47"/>
      <c r="J1422" s="45" t="str">
        <f aca="false">IF($A1422="","",IF(COUNTIF(Accounts!$C$2:$C$201,$A1422)+COUNTIF('Service Principals'!$C$2:$C$201,$A1422)+COUNTIF('Managed Identities'!$C$2:$C$201,$A1422)&gt;0,"Yes","NOT IN INVENTORY"))</f>
        <v/>
      </c>
    </row>
    <row r="1423" customFormat="false" ht="15" hidden="false" customHeight="false" outlineLevel="0" collapsed="false">
      <c r="A1423" s="46"/>
      <c r="B1423" s="46"/>
      <c r="C1423" s="47"/>
      <c r="D1423" s="47"/>
      <c r="E1423" s="46"/>
      <c r="F1423" s="46"/>
      <c r="G1423" s="47"/>
      <c r="H1423" s="47"/>
      <c r="I1423" s="47"/>
      <c r="J1423" s="45" t="str">
        <f aca="false">IF($A1423="","",IF(COUNTIF(Accounts!$C$2:$C$201,$A1423)+COUNTIF('Service Principals'!$C$2:$C$201,$A1423)+COUNTIF('Managed Identities'!$C$2:$C$201,$A1423)&gt;0,"Yes","NOT IN INVENTORY"))</f>
        <v/>
      </c>
    </row>
    <row r="1424" customFormat="false" ht="15" hidden="false" customHeight="false" outlineLevel="0" collapsed="false">
      <c r="A1424" s="46"/>
      <c r="B1424" s="46"/>
      <c r="C1424" s="47"/>
      <c r="D1424" s="47"/>
      <c r="E1424" s="46"/>
      <c r="F1424" s="46"/>
      <c r="G1424" s="47"/>
      <c r="H1424" s="47"/>
      <c r="I1424" s="47"/>
      <c r="J1424" s="45" t="str">
        <f aca="false">IF($A1424="","",IF(COUNTIF(Accounts!$C$2:$C$201,$A1424)+COUNTIF('Service Principals'!$C$2:$C$201,$A1424)+COUNTIF('Managed Identities'!$C$2:$C$201,$A1424)&gt;0,"Yes","NOT IN INVENTORY"))</f>
        <v/>
      </c>
    </row>
    <row r="1425" customFormat="false" ht="15" hidden="false" customHeight="false" outlineLevel="0" collapsed="false">
      <c r="A1425" s="46"/>
      <c r="B1425" s="46"/>
      <c r="C1425" s="47"/>
      <c r="D1425" s="47"/>
      <c r="E1425" s="46"/>
      <c r="F1425" s="46"/>
      <c r="G1425" s="47"/>
      <c r="H1425" s="47"/>
      <c r="I1425" s="47"/>
      <c r="J1425" s="45" t="str">
        <f aca="false">IF($A1425="","",IF(COUNTIF(Accounts!$C$2:$C$201,$A1425)+COUNTIF('Service Principals'!$C$2:$C$201,$A1425)+COUNTIF('Managed Identities'!$C$2:$C$201,$A1425)&gt;0,"Yes","NOT IN INVENTORY"))</f>
        <v/>
      </c>
    </row>
    <row r="1426" customFormat="false" ht="15" hidden="false" customHeight="false" outlineLevel="0" collapsed="false">
      <c r="A1426" s="46"/>
      <c r="B1426" s="46"/>
      <c r="C1426" s="47"/>
      <c r="D1426" s="47"/>
      <c r="E1426" s="46"/>
      <c r="F1426" s="46"/>
      <c r="G1426" s="47"/>
      <c r="H1426" s="47"/>
      <c r="I1426" s="47"/>
      <c r="J1426" s="45" t="str">
        <f aca="false">IF($A1426="","",IF(COUNTIF(Accounts!$C$2:$C$201,$A1426)+COUNTIF('Service Principals'!$C$2:$C$201,$A1426)+COUNTIF('Managed Identities'!$C$2:$C$201,$A1426)&gt;0,"Yes","NOT IN INVENTORY"))</f>
        <v/>
      </c>
    </row>
    <row r="1427" customFormat="false" ht="15" hidden="false" customHeight="false" outlineLevel="0" collapsed="false">
      <c r="A1427" s="46"/>
      <c r="B1427" s="46"/>
      <c r="C1427" s="47"/>
      <c r="D1427" s="47"/>
      <c r="E1427" s="46"/>
      <c r="F1427" s="46"/>
      <c r="G1427" s="47"/>
      <c r="H1427" s="47"/>
      <c r="I1427" s="47"/>
      <c r="J1427" s="45" t="str">
        <f aca="false">IF($A1427="","",IF(COUNTIF(Accounts!$C$2:$C$201,$A1427)+COUNTIF('Service Principals'!$C$2:$C$201,$A1427)+COUNTIF('Managed Identities'!$C$2:$C$201,$A1427)&gt;0,"Yes","NOT IN INVENTORY"))</f>
        <v/>
      </c>
    </row>
    <row r="1428" customFormat="false" ht="15" hidden="false" customHeight="false" outlineLevel="0" collapsed="false">
      <c r="A1428" s="46"/>
      <c r="B1428" s="46"/>
      <c r="C1428" s="47"/>
      <c r="D1428" s="47"/>
      <c r="E1428" s="46"/>
      <c r="F1428" s="46"/>
      <c r="G1428" s="47"/>
      <c r="H1428" s="47"/>
      <c r="I1428" s="47"/>
      <c r="J1428" s="45" t="str">
        <f aca="false">IF($A1428="","",IF(COUNTIF(Accounts!$C$2:$C$201,$A1428)+COUNTIF('Service Principals'!$C$2:$C$201,$A1428)+COUNTIF('Managed Identities'!$C$2:$C$201,$A1428)&gt;0,"Yes","NOT IN INVENTORY"))</f>
        <v/>
      </c>
    </row>
    <row r="1429" customFormat="false" ht="15" hidden="false" customHeight="false" outlineLevel="0" collapsed="false">
      <c r="A1429" s="46"/>
      <c r="B1429" s="46"/>
      <c r="C1429" s="47"/>
      <c r="D1429" s="47"/>
      <c r="E1429" s="46"/>
      <c r="F1429" s="46"/>
      <c r="G1429" s="47"/>
      <c r="H1429" s="47"/>
      <c r="I1429" s="47"/>
      <c r="J1429" s="45" t="str">
        <f aca="false">IF($A1429="","",IF(COUNTIF(Accounts!$C$2:$C$201,$A1429)+COUNTIF('Service Principals'!$C$2:$C$201,$A1429)+COUNTIF('Managed Identities'!$C$2:$C$201,$A1429)&gt;0,"Yes","NOT IN INVENTORY"))</f>
        <v/>
      </c>
    </row>
    <row r="1430" customFormat="false" ht="15" hidden="false" customHeight="false" outlineLevel="0" collapsed="false">
      <c r="A1430" s="46"/>
      <c r="B1430" s="46"/>
      <c r="C1430" s="47"/>
      <c r="D1430" s="47"/>
      <c r="E1430" s="46"/>
      <c r="F1430" s="46"/>
      <c r="G1430" s="47"/>
      <c r="H1430" s="47"/>
      <c r="I1430" s="47"/>
      <c r="J1430" s="45" t="str">
        <f aca="false">IF($A1430="","",IF(COUNTIF(Accounts!$C$2:$C$201,$A1430)+COUNTIF('Service Principals'!$C$2:$C$201,$A1430)+COUNTIF('Managed Identities'!$C$2:$C$201,$A1430)&gt;0,"Yes","NOT IN INVENTORY"))</f>
        <v/>
      </c>
    </row>
    <row r="1431" customFormat="false" ht="15" hidden="false" customHeight="false" outlineLevel="0" collapsed="false">
      <c r="A1431" s="46"/>
      <c r="B1431" s="46"/>
      <c r="C1431" s="47"/>
      <c r="D1431" s="47"/>
      <c r="E1431" s="46"/>
      <c r="F1431" s="46"/>
      <c r="G1431" s="47"/>
      <c r="H1431" s="47"/>
      <c r="I1431" s="47"/>
      <c r="J1431" s="45" t="str">
        <f aca="false">IF($A1431="","",IF(COUNTIF(Accounts!$C$2:$C$201,$A1431)+COUNTIF('Service Principals'!$C$2:$C$201,$A1431)+COUNTIF('Managed Identities'!$C$2:$C$201,$A1431)&gt;0,"Yes","NOT IN INVENTORY"))</f>
        <v/>
      </c>
    </row>
    <row r="1432" customFormat="false" ht="15" hidden="false" customHeight="false" outlineLevel="0" collapsed="false">
      <c r="A1432" s="46"/>
      <c r="B1432" s="46"/>
      <c r="C1432" s="47"/>
      <c r="D1432" s="47"/>
      <c r="E1432" s="46"/>
      <c r="F1432" s="46"/>
      <c r="G1432" s="47"/>
      <c r="H1432" s="47"/>
      <c r="I1432" s="47"/>
      <c r="J1432" s="45" t="str">
        <f aca="false">IF($A1432="","",IF(COUNTIF(Accounts!$C$2:$C$201,$A1432)+COUNTIF('Service Principals'!$C$2:$C$201,$A1432)+COUNTIF('Managed Identities'!$C$2:$C$201,$A1432)&gt;0,"Yes","NOT IN INVENTORY"))</f>
        <v/>
      </c>
    </row>
    <row r="1433" customFormat="false" ht="15" hidden="false" customHeight="false" outlineLevel="0" collapsed="false">
      <c r="A1433" s="46"/>
      <c r="B1433" s="46"/>
      <c r="C1433" s="47"/>
      <c r="D1433" s="47"/>
      <c r="E1433" s="46"/>
      <c r="F1433" s="46"/>
      <c r="G1433" s="47"/>
      <c r="H1433" s="47"/>
      <c r="I1433" s="47"/>
      <c r="J1433" s="45" t="str">
        <f aca="false">IF($A1433="","",IF(COUNTIF(Accounts!$C$2:$C$201,$A1433)+COUNTIF('Service Principals'!$C$2:$C$201,$A1433)+COUNTIF('Managed Identities'!$C$2:$C$201,$A1433)&gt;0,"Yes","NOT IN INVENTORY"))</f>
        <v/>
      </c>
    </row>
    <row r="1434" customFormat="false" ht="15" hidden="false" customHeight="false" outlineLevel="0" collapsed="false">
      <c r="A1434" s="46"/>
      <c r="B1434" s="46"/>
      <c r="C1434" s="47"/>
      <c r="D1434" s="47"/>
      <c r="E1434" s="46"/>
      <c r="F1434" s="46"/>
      <c r="G1434" s="47"/>
      <c r="H1434" s="47"/>
      <c r="I1434" s="47"/>
      <c r="J1434" s="45" t="str">
        <f aca="false">IF($A1434="","",IF(COUNTIF(Accounts!$C$2:$C$201,$A1434)+COUNTIF('Service Principals'!$C$2:$C$201,$A1434)+COUNTIF('Managed Identities'!$C$2:$C$201,$A1434)&gt;0,"Yes","NOT IN INVENTORY"))</f>
        <v/>
      </c>
    </row>
    <row r="1435" customFormat="false" ht="15" hidden="false" customHeight="false" outlineLevel="0" collapsed="false">
      <c r="A1435" s="46"/>
      <c r="B1435" s="46"/>
      <c r="C1435" s="47"/>
      <c r="D1435" s="47"/>
      <c r="E1435" s="46"/>
      <c r="F1435" s="46"/>
      <c r="G1435" s="47"/>
      <c r="H1435" s="47"/>
      <c r="I1435" s="47"/>
      <c r="J1435" s="45" t="str">
        <f aca="false">IF($A1435="","",IF(COUNTIF(Accounts!$C$2:$C$201,$A1435)+COUNTIF('Service Principals'!$C$2:$C$201,$A1435)+COUNTIF('Managed Identities'!$C$2:$C$201,$A1435)&gt;0,"Yes","NOT IN INVENTORY"))</f>
        <v/>
      </c>
    </row>
    <row r="1436" customFormat="false" ht="15" hidden="false" customHeight="false" outlineLevel="0" collapsed="false">
      <c r="A1436" s="46"/>
      <c r="B1436" s="46"/>
      <c r="C1436" s="47"/>
      <c r="D1436" s="47"/>
      <c r="E1436" s="46"/>
      <c r="F1436" s="46"/>
      <c r="G1436" s="47"/>
      <c r="H1436" s="47"/>
      <c r="I1436" s="47"/>
      <c r="J1436" s="45" t="str">
        <f aca="false">IF($A1436="","",IF(COUNTIF(Accounts!$C$2:$C$201,$A1436)+COUNTIF('Service Principals'!$C$2:$C$201,$A1436)+COUNTIF('Managed Identities'!$C$2:$C$201,$A1436)&gt;0,"Yes","NOT IN INVENTORY"))</f>
        <v/>
      </c>
    </row>
    <row r="1437" customFormat="false" ht="15" hidden="false" customHeight="false" outlineLevel="0" collapsed="false">
      <c r="A1437" s="46"/>
      <c r="B1437" s="46"/>
      <c r="C1437" s="47"/>
      <c r="D1437" s="47"/>
      <c r="E1437" s="46"/>
      <c r="F1437" s="46"/>
      <c r="G1437" s="47"/>
      <c r="H1437" s="47"/>
      <c r="I1437" s="47"/>
      <c r="J1437" s="45" t="str">
        <f aca="false">IF($A1437="","",IF(COUNTIF(Accounts!$C$2:$C$201,$A1437)+COUNTIF('Service Principals'!$C$2:$C$201,$A1437)+COUNTIF('Managed Identities'!$C$2:$C$201,$A1437)&gt;0,"Yes","NOT IN INVENTORY"))</f>
        <v/>
      </c>
    </row>
    <row r="1438" customFormat="false" ht="15" hidden="false" customHeight="false" outlineLevel="0" collapsed="false">
      <c r="A1438" s="46"/>
      <c r="B1438" s="46"/>
      <c r="C1438" s="47"/>
      <c r="D1438" s="47"/>
      <c r="E1438" s="46"/>
      <c r="F1438" s="46"/>
      <c r="G1438" s="47"/>
      <c r="H1438" s="47"/>
      <c r="I1438" s="47"/>
      <c r="J1438" s="45" t="str">
        <f aca="false">IF($A1438="","",IF(COUNTIF(Accounts!$C$2:$C$201,$A1438)+COUNTIF('Service Principals'!$C$2:$C$201,$A1438)+COUNTIF('Managed Identities'!$C$2:$C$201,$A1438)&gt;0,"Yes","NOT IN INVENTORY"))</f>
        <v/>
      </c>
    </row>
    <row r="1439" customFormat="false" ht="15" hidden="false" customHeight="false" outlineLevel="0" collapsed="false">
      <c r="A1439" s="46"/>
      <c r="B1439" s="46"/>
      <c r="C1439" s="47"/>
      <c r="D1439" s="47"/>
      <c r="E1439" s="46"/>
      <c r="F1439" s="46"/>
      <c r="G1439" s="47"/>
      <c r="H1439" s="47"/>
      <c r="I1439" s="47"/>
      <c r="J1439" s="45" t="str">
        <f aca="false">IF($A1439="","",IF(COUNTIF(Accounts!$C$2:$C$201,$A1439)+COUNTIF('Service Principals'!$C$2:$C$201,$A1439)+COUNTIF('Managed Identities'!$C$2:$C$201,$A1439)&gt;0,"Yes","NOT IN INVENTORY"))</f>
        <v/>
      </c>
    </row>
    <row r="1440" customFormat="false" ht="15" hidden="false" customHeight="false" outlineLevel="0" collapsed="false">
      <c r="A1440" s="46"/>
      <c r="B1440" s="46"/>
      <c r="C1440" s="47"/>
      <c r="D1440" s="47"/>
      <c r="E1440" s="46"/>
      <c r="F1440" s="46"/>
      <c r="G1440" s="47"/>
      <c r="H1440" s="47"/>
      <c r="I1440" s="47"/>
      <c r="J1440" s="45" t="str">
        <f aca="false">IF($A1440="","",IF(COUNTIF(Accounts!$C$2:$C$201,$A1440)+COUNTIF('Service Principals'!$C$2:$C$201,$A1440)+COUNTIF('Managed Identities'!$C$2:$C$201,$A1440)&gt;0,"Yes","NOT IN INVENTORY"))</f>
        <v/>
      </c>
    </row>
    <row r="1441" customFormat="false" ht="15" hidden="false" customHeight="false" outlineLevel="0" collapsed="false">
      <c r="A1441" s="46"/>
      <c r="B1441" s="46"/>
      <c r="C1441" s="47"/>
      <c r="D1441" s="47"/>
      <c r="E1441" s="46"/>
      <c r="F1441" s="46"/>
      <c r="G1441" s="47"/>
      <c r="H1441" s="47"/>
      <c r="I1441" s="47"/>
      <c r="J1441" s="45" t="str">
        <f aca="false">IF($A1441="","",IF(COUNTIF(Accounts!$C$2:$C$201,$A1441)+COUNTIF('Service Principals'!$C$2:$C$201,$A1441)+COUNTIF('Managed Identities'!$C$2:$C$201,$A1441)&gt;0,"Yes","NOT IN INVENTORY"))</f>
        <v/>
      </c>
    </row>
    <row r="1442" customFormat="false" ht="15" hidden="false" customHeight="false" outlineLevel="0" collapsed="false">
      <c r="A1442" s="46"/>
      <c r="B1442" s="46"/>
      <c r="C1442" s="47"/>
      <c r="D1442" s="47"/>
      <c r="E1442" s="46"/>
      <c r="F1442" s="46"/>
      <c r="G1442" s="47"/>
      <c r="H1442" s="47"/>
      <c r="I1442" s="47"/>
      <c r="J1442" s="45" t="str">
        <f aca="false">IF($A1442="","",IF(COUNTIF(Accounts!$C$2:$C$201,$A1442)+COUNTIF('Service Principals'!$C$2:$C$201,$A1442)+COUNTIF('Managed Identities'!$C$2:$C$201,$A1442)&gt;0,"Yes","NOT IN INVENTORY"))</f>
        <v/>
      </c>
    </row>
    <row r="1443" customFormat="false" ht="15" hidden="false" customHeight="false" outlineLevel="0" collapsed="false">
      <c r="A1443" s="46"/>
      <c r="B1443" s="46"/>
      <c r="C1443" s="47"/>
      <c r="D1443" s="47"/>
      <c r="E1443" s="46"/>
      <c r="F1443" s="46"/>
      <c r="G1443" s="47"/>
      <c r="H1443" s="47"/>
      <c r="I1443" s="47"/>
      <c r="J1443" s="45" t="str">
        <f aca="false">IF($A1443="","",IF(COUNTIF(Accounts!$C$2:$C$201,$A1443)+COUNTIF('Service Principals'!$C$2:$C$201,$A1443)+COUNTIF('Managed Identities'!$C$2:$C$201,$A1443)&gt;0,"Yes","NOT IN INVENTORY"))</f>
        <v/>
      </c>
    </row>
    <row r="1444" customFormat="false" ht="15" hidden="false" customHeight="false" outlineLevel="0" collapsed="false">
      <c r="A1444" s="46"/>
      <c r="B1444" s="46"/>
      <c r="C1444" s="47"/>
      <c r="D1444" s="47"/>
      <c r="E1444" s="46"/>
      <c r="F1444" s="46"/>
      <c r="G1444" s="47"/>
      <c r="H1444" s="47"/>
      <c r="I1444" s="47"/>
      <c r="J1444" s="45" t="str">
        <f aca="false">IF($A1444="","",IF(COUNTIF(Accounts!$C$2:$C$201,$A1444)+COUNTIF('Service Principals'!$C$2:$C$201,$A1444)+COUNTIF('Managed Identities'!$C$2:$C$201,$A1444)&gt;0,"Yes","NOT IN INVENTORY"))</f>
        <v/>
      </c>
    </row>
    <row r="1445" customFormat="false" ht="15" hidden="false" customHeight="false" outlineLevel="0" collapsed="false">
      <c r="A1445" s="46"/>
      <c r="B1445" s="46"/>
      <c r="C1445" s="47"/>
      <c r="D1445" s="47"/>
      <c r="E1445" s="46"/>
      <c r="F1445" s="46"/>
      <c r="G1445" s="47"/>
      <c r="H1445" s="47"/>
      <c r="I1445" s="47"/>
      <c r="J1445" s="45" t="str">
        <f aca="false">IF($A1445="","",IF(COUNTIF(Accounts!$C$2:$C$201,$A1445)+COUNTIF('Service Principals'!$C$2:$C$201,$A1445)+COUNTIF('Managed Identities'!$C$2:$C$201,$A1445)&gt;0,"Yes","NOT IN INVENTORY"))</f>
        <v/>
      </c>
    </row>
    <row r="1446" customFormat="false" ht="15" hidden="false" customHeight="false" outlineLevel="0" collapsed="false">
      <c r="A1446" s="46"/>
      <c r="B1446" s="46"/>
      <c r="C1446" s="47"/>
      <c r="D1446" s="47"/>
      <c r="E1446" s="46"/>
      <c r="F1446" s="46"/>
      <c r="G1446" s="47"/>
      <c r="H1446" s="47"/>
      <c r="I1446" s="47"/>
      <c r="J1446" s="45" t="str">
        <f aca="false">IF($A1446="","",IF(COUNTIF(Accounts!$C$2:$C$201,$A1446)+COUNTIF('Service Principals'!$C$2:$C$201,$A1446)+COUNTIF('Managed Identities'!$C$2:$C$201,$A1446)&gt;0,"Yes","NOT IN INVENTORY"))</f>
        <v/>
      </c>
    </row>
    <row r="1447" customFormat="false" ht="15" hidden="false" customHeight="false" outlineLevel="0" collapsed="false">
      <c r="A1447" s="46"/>
      <c r="B1447" s="46"/>
      <c r="C1447" s="47"/>
      <c r="D1447" s="47"/>
      <c r="E1447" s="46"/>
      <c r="F1447" s="46"/>
      <c r="G1447" s="47"/>
      <c r="H1447" s="47"/>
      <c r="I1447" s="47"/>
      <c r="J1447" s="45" t="str">
        <f aca="false">IF($A1447="","",IF(COUNTIF(Accounts!$C$2:$C$201,$A1447)+COUNTIF('Service Principals'!$C$2:$C$201,$A1447)+COUNTIF('Managed Identities'!$C$2:$C$201,$A1447)&gt;0,"Yes","NOT IN INVENTORY"))</f>
        <v/>
      </c>
    </row>
    <row r="1448" customFormat="false" ht="15" hidden="false" customHeight="false" outlineLevel="0" collapsed="false">
      <c r="A1448" s="46"/>
      <c r="B1448" s="46"/>
      <c r="C1448" s="47"/>
      <c r="D1448" s="47"/>
      <c r="E1448" s="46"/>
      <c r="F1448" s="46"/>
      <c r="G1448" s="47"/>
      <c r="H1448" s="47"/>
      <c r="I1448" s="47"/>
      <c r="J1448" s="45" t="str">
        <f aca="false">IF($A1448="","",IF(COUNTIF(Accounts!$C$2:$C$201,$A1448)+COUNTIF('Service Principals'!$C$2:$C$201,$A1448)+COUNTIF('Managed Identities'!$C$2:$C$201,$A1448)&gt;0,"Yes","NOT IN INVENTORY"))</f>
        <v/>
      </c>
    </row>
    <row r="1449" customFormat="false" ht="15" hidden="false" customHeight="false" outlineLevel="0" collapsed="false">
      <c r="A1449" s="46"/>
      <c r="B1449" s="46"/>
      <c r="C1449" s="47"/>
      <c r="D1449" s="47"/>
      <c r="E1449" s="46"/>
      <c r="F1449" s="46"/>
      <c r="G1449" s="47"/>
      <c r="H1449" s="47"/>
      <c r="I1449" s="47"/>
      <c r="J1449" s="45" t="str">
        <f aca="false">IF($A1449="","",IF(COUNTIF(Accounts!$C$2:$C$201,$A1449)+COUNTIF('Service Principals'!$C$2:$C$201,$A1449)+COUNTIF('Managed Identities'!$C$2:$C$201,$A1449)&gt;0,"Yes","NOT IN INVENTORY"))</f>
        <v/>
      </c>
    </row>
    <row r="1450" customFormat="false" ht="15" hidden="false" customHeight="false" outlineLevel="0" collapsed="false">
      <c r="A1450" s="46"/>
      <c r="B1450" s="46"/>
      <c r="C1450" s="47"/>
      <c r="D1450" s="47"/>
      <c r="E1450" s="46"/>
      <c r="F1450" s="46"/>
      <c r="G1450" s="47"/>
      <c r="H1450" s="47"/>
      <c r="I1450" s="47"/>
      <c r="J1450" s="45" t="str">
        <f aca="false">IF($A1450="","",IF(COUNTIF(Accounts!$C$2:$C$201,$A1450)+COUNTIF('Service Principals'!$C$2:$C$201,$A1450)+COUNTIF('Managed Identities'!$C$2:$C$201,$A1450)&gt;0,"Yes","NOT IN INVENTORY"))</f>
        <v/>
      </c>
    </row>
    <row r="1451" customFormat="false" ht="15" hidden="false" customHeight="false" outlineLevel="0" collapsed="false">
      <c r="A1451" s="46"/>
      <c r="B1451" s="46"/>
      <c r="C1451" s="47"/>
      <c r="D1451" s="47"/>
      <c r="E1451" s="46"/>
      <c r="F1451" s="46"/>
      <c r="G1451" s="47"/>
      <c r="H1451" s="47"/>
      <c r="I1451" s="47"/>
      <c r="J1451" s="45" t="str">
        <f aca="false">IF($A1451="","",IF(COUNTIF(Accounts!$C$2:$C$201,$A1451)+COUNTIF('Service Principals'!$C$2:$C$201,$A1451)+COUNTIF('Managed Identities'!$C$2:$C$201,$A1451)&gt;0,"Yes","NOT IN INVENTORY"))</f>
        <v/>
      </c>
    </row>
    <row r="1452" customFormat="false" ht="15" hidden="false" customHeight="false" outlineLevel="0" collapsed="false">
      <c r="A1452" s="46"/>
      <c r="B1452" s="46"/>
      <c r="C1452" s="47"/>
      <c r="D1452" s="47"/>
      <c r="E1452" s="46"/>
      <c r="F1452" s="46"/>
      <c r="G1452" s="47"/>
      <c r="H1452" s="47"/>
      <c r="I1452" s="47"/>
      <c r="J1452" s="45" t="str">
        <f aca="false">IF($A1452="","",IF(COUNTIF(Accounts!$C$2:$C$201,$A1452)+COUNTIF('Service Principals'!$C$2:$C$201,$A1452)+COUNTIF('Managed Identities'!$C$2:$C$201,$A1452)&gt;0,"Yes","NOT IN INVENTORY"))</f>
        <v/>
      </c>
    </row>
    <row r="1453" customFormat="false" ht="15" hidden="false" customHeight="false" outlineLevel="0" collapsed="false">
      <c r="A1453" s="46"/>
      <c r="B1453" s="46"/>
      <c r="C1453" s="47"/>
      <c r="D1453" s="47"/>
      <c r="E1453" s="46"/>
      <c r="F1453" s="46"/>
      <c r="G1453" s="47"/>
      <c r="H1453" s="47"/>
      <c r="I1453" s="47"/>
      <c r="J1453" s="45" t="str">
        <f aca="false">IF($A1453="","",IF(COUNTIF(Accounts!$C$2:$C$201,$A1453)+COUNTIF('Service Principals'!$C$2:$C$201,$A1453)+COUNTIF('Managed Identities'!$C$2:$C$201,$A1453)&gt;0,"Yes","NOT IN INVENTORY"))</f>
        <v/>
      </c>
    </row>
    <row r="1454" customFormat="false" ht="15" hidden="false" customHeight="false" outlineLevel="0" collapsed="false">
      <c r="A1454" s="46"/>
      <c r="B1454" s="46"/>
      <c r="C1454" s="47"/>
      <c r="D1454" s="47"/>
      <c r="E1454" s="46"/>
      <c r="F1454" s="46"/>
      <c r="G1454" s="47"/>
      <c r="H1454" s="47"/>
      <c r="I1454" s="47"/>
      <c r="J1454" s="45" t="str">
        <f aca="false">IF($A1454="","",IF(COUNTIF(Accounts!$C$2:$C$201,$A1454)+COUNTIF('Service Principals'!$C$2:$C$201,$A1454)+COUNTIF('Managed Identities'!$C$2:$C$201,$A1454)&gt;0,"Yes","NOT IN INVENTORY"))</f>
        <v/>
      </c>
    </row>
    <row r="1455" customFormat="false" ht="15" hidden="false" customHeight="false" outlineLevel="0" collapsed="false">
      <c r="A1455" s="46"/>
      <c r="B1455" s="46"/>
      <c r="C1455" s="47"/>
      <c r="D1455" s="47"/>
      <c r="E1455" s="46"/>
      <c r="F1455" s="46"/>
      <c r="G1455" s="47"/>
      <c r="H1455" s="47"/>
      <c r="I1455" s="47"/>
      <c r="J1455" s="45" t="str">
        <f aca="false">IF($A1455="","",IF(COUNTIF(Accounts!$C$2:$C$201,$A1455)+COUNTIF('Service Principals'!$C$2:$C$201,$A1455)+COUNTIF('Managed Identities'!$C$2:$C$201,$A1455)&gt;0,"Yes","NOT IN INVENTORY"))</f>
        <v/>
      </c>
    </row>
    <row r="1456" customFormat="false" ht="15" hidden="false" customHeight="false" outlineLevel="0" collapsed="false">
      <c r="A1456" s="46"/>
      <c r="B1456" s="46"/>
      <c r="C1456" s="47"/>
      <c r="D1456" s="47"/>
      <c r="E1456" s="46"/>
      <c r="F1456" s="46"/>
      <c r="G1456" s="47"/>
      <c r="H1456" s="47"/>
      <c r="I1456" s="47"/>
      <c r="J1456" s="45" t="str">
        <f aca="false">IF($A1456="","",IF(COUNTIF(Accounts!$C$2:$C$201,$A1456)+COUNTIF('Service Principals'!$C$2:$C$201,$A1456)+COUNTIF('Managed Identities'!$C$2:$C$201,$A1456)&gt;0,"Yes","NOT IN INVENTORY"))</f>
        <v/>
      </c>
    </row>
    <row r="1457" customFormat="false" ht="15" hidden="false" customHeight="false" outlineLevel="0" collapsed="false">
      <c r="A1457" s="46"/>
      <c r="B1457" s="46"/>
      <c r="C1457" s="47"/>
      <c r="D1457" s="47"/>
      <c r="E1457" s="46"/>
      <c r="F1457" s="46"/>
      <c r="G1457" s="47"/>
      <c r="H1457" s="47"/>
      <c r="I1457" s="47"/>
      <c r="J1457" s="45" t="str">
        <f aca="false">IF($A1457="","",IF(COUNTIF(Accounts!$C$2:$C$201,$A1457)+COUNTIF('Service Principals'!$C$2:$C$201,$A1457)+COUNTIF('Managed Identities'!$C$2:$C$201,$A1457)&gt;0,"Yes","NOT IN INVENTORY"))</f>
        <v/>
      </c>
    </row>
    <row r="1458" customFormat="false" ht="15" hidden="false" customHeight="false" outlineLevel="0" collapsed="false">
      <c r="A1458" s="46"/>
      <c r="B1458" s="46"/>
      <c r="C1458" s="47"/>
      <c r="D1458" s="47"/>
      <c r="E1458" s="46"/>
      <c r="F1458" s="46"/>
      <c r="G1458" s="47"/>
      <c r="H1458" s="47"/>
      <c r="I1458" s="47"/>
      <c r="J1458" s="45" t="str">
        <f aca="false">IF($A1458="","",IF(COUNTIF(Accounts!$C$2:$C$201,$A1458)+COUNTIF('Service Principals'!$C$2:$C$201,$A1458)+COUNTIF('Managed Identities'!$C$2:$C$201,$A1458)&gt;0,"Yes","NOT IN INVENTORY"))</f>
        <v/>
      </c>
    </row>
    <row r="1459" customFormat="false" ht="15" hidden="false" customHeight="false" outlineLevel="0" collapsed="false">
      <c r="A1459" s="46"/>
      <c r="B1459" s="46"/>
      <c r="C1459" s="47"/>
      <c r="D1459" s="47"/>
      <c r="E1459" s="46"/>
      <c r="F1459" s="46"/>
      <c r="G1459" s="47"/>
      <c r="H1459" s="47"/>
      <c r="I1459" s="47"/>
      <c r="J1459" s="45" t="str">
        <f aca="false">IF($A1459="","",IF(COUNTIF(Accounts!$C$2:$C$201,$A1459)+COUNTIF('Service Principals'!$C$2:$C$201,$A1459)+COUNTIF('Managed Identities'!$C$2:$C$201,$A1459)&gt;0,"Yes","NOT IN INVENTORY"))</f>
        <v/>
      </c>
    </row>
    <row r="1460" customFormat="false" ht="15" hidden="false" customHeight="false" outlineLevel="0" collapsed="false">
      <c r="A1460" s="46"/>
      <c r="B1460" s="46"/>
      <c r="C1460" s="47"/>
      <c r="D1460" s="47"/>
      <c r="E1460" s="46"/>
      <c r="F1460" s="46"/>
      <c r="G1460" s="47"/>
      <c r="H1460" s="47"/>
      <c r="I1460" s="47"/>
      <c r="J1460" s="45" t="str">
        <f aca="false">IF($A1460="","",IF(COUNTIF(Accounts!$C$2:$C$201,$A1460)+COUNTIF('Service Principals'!$C$2:$C$201,$A1460)+COUNTIF('Managed Identities'!$C$2:$C$201,$A1460)&gt;0,"Yes","NOT IN INVENTORY"))</f>
        <v/>
      </c>
    </row>
    <row r="1461" customFormat="false" ht="15" hidden="false" customHeight="false" outlineLevel="0" collapsed="false">
      <c r="A1461" s="46"/>
      <c r="B1461" s="46"/>
      <c r="C1461" s="47"/>
      <c r="D1461" s="47"/>
      <c r="E1461" s="46"/>
      <c r="F1461" s="46"/>
      <c r="G1461" s="47"/>
      <c r="H1461" s="47"/>
      <c r="I1461" s="47"/>
      <c r="J1461" s="45" t="str">
        <f aca="false">IF($A1461="","",IF(COUNTIF(Accounts!$C$2:$C$201,$A1461)+COUNTIF('Service Principals'!$C$2:$C$201,$A1461)+COUNTIF('Managed Identities'!$C$2:$C$201,$A1461)&gt;0,"Yes","NOT IN INVENTORY"))</f>
        <v/>
      </c>
    </row>
    <row r="1462" customFormat="false" ht="15" hidden="false" customHeight="false" outlineLevel="0" collapsed="false">
      <c r="A1462" s="46"/>
      <c r="B1462" s="46"/>
      <c r="C1462" s="47"/>
      <c r="D1462" s="47"/>
      <c r="E1462" s="46"/>
      <c r="F1462" s="46"/>
      <c r="G1462" s="47"/>
      <c r="H1462" s="47"/>
      <c r="I1462" s="47"/>
      <c r="J1462" s="45" t="str">
        <f aca="false">IF($A1462="","",IF(COUNTIF(Accounts!$C$2:$C$201,$A1462)+COUNTIF('Service Principals'!$C$2:$C$201,$A1462)+COUNTIF('Managed Identities'!$C$2:$C$201,$A1462)&gt;0,"Yes","NOT IN INVENTORY"))</f>
        <v/>
      </c>
    </row>
    <row r="1463" customFormat="false" ht="15" hidden="false" customHeight="false" outlineLevel="0" collapsed="false">
      <c r="A1463" s="46"/>
      <c r="B1463" s="46"/>
      <c r="C1463" s="47"/>
      <c r="D1463" s="47"/>
      <c r="E1463" s="46"/>
      <c r="F1463" s="46"/>
      <c r="G1463" s="47"/>
      <c r="H1463" s="47"/>
      <c r="I1463" s="47"/>
      <c r="J1463" s="45" t="str">
        <f aca="false">IF($A1463="","",IF(COUNTIF(Accounts!$C$2:$C$201,$A1463)+COUNTIF('Service Principals'!$C$2:$C$201,$A1463)+COUNTIF('Managed Identities'!$C$2:$C$201,$A1463)&gt;0,"Yes","NOT IN INVENTORY"))</f>
        <v/>
      </c>
    </row>
    <row r="1464" customFormat="false" ht="15" hidden="false" customHeight="false" outlineLevel="0" collapsed="false">
      <c r="A1464" s="46"/>
      <c r="B1464" s="46"/>
      <c r="C1464" s="47"/>
      <c r="D1464" s="47"/>
      <c r="E1464" s="46"/>
      <c r="F1464" s="46"/>
      <c r="G1464" s="47"/>
      <c r="H1464" s="47"/>
      <c r="I1464" s="47"/>
      <c r="J1464" s="45" t="str">
        <f aca="false">IF($A1464="","",IF(COUNTIF(Accounts!$C$2:$C$201,$A1464)+COUNTIF('Service Principals'!$C$2:$C$201,$A1464)+COUNTIF('Managed Identities'!$C$2:$C$201,$A1464)&gt;0,"Yes","NOT IN INVENTORY"))</f>
        <v/>
      </c>
    </row>
    <row r="1465" customFormat="false" ht="15" hidden="false" customHeight="false" outlineLevel="0" collapsed="false">
      <c r="A1465" s="46"/>
      <c r="B1465" s="46"/>
      <c r="C1465" s="47"/>
      <c r="D1465" s="47"/>
      <c r="E1465" s="46"/>
      <c r="F1465" s="46"/>
      <c r="G1465" s="47"/>
      <c r="H1465" s="47"/>
      <c r="I1465" s="47"/>
      <c r="J1465" s="45" t="str">
        <f aca="false">IF($A1465="","",IF(COUNTIF(Accounts!$C$2:$C$201,$A1465)+COUNTIF('Service Principals'!$C$2:$C$201,$A1465)+COUNTIF('Managed Identities'!$C$2:$C$201,$A1465)&gt;0,"Yes","NOT IN INVENTORY"))</f>
        <v/>
      </c>
    </row>
    <row r="1466" customFormat="false" ht="15" hidden="false" customHeight="false" outlineLevel="0" collapsed="false">
      <c r="A1466" s="46"/>
      <c r="B1466" s="46"/>
      <c r="C1466" s="47"/>
      <c r="D1466" s="47"/>
      <c r="E1466" s="46"/>
      <c r="F1466" s="46"/>
      <c r="G1466" s="47"/>
      <c r="H1466" s="47"/>
      <c r="I1466" s="47"/>
      <c r="J1466" s="45" t="str">
        <f aca="false">IF($A1466="","",IF(COUNTIF(Accounts!$C$2:$C$201,$A1466)+COUNTIF('Service Principals'!$C$2:$C$201,$A1466)+COUNTIF('Managed Identities'!$C$2:$C$201,$A1466)&gt;0,"Yes","NOT IN INVENTORY"))</f>
        <v/>
      </c>
    </row>
    <row r="1467" customFormat="false" ht="15" hidden="false" customHeight="false" outlineLevel="0" collapsed="false">
      <c r="A1467" s="46"/>
      <c r="B1467" s="46"/>
      <c r="C1467" s="47"/>
      <c r="D1467" s="47"/>
      <c r="E1467" s="46"/>
      <c r="F1467" s="46"/>
      <c r="G1467" s="47"/>
      <c r="H1467" s="47"/>
      <c r="I1467" s="47"/>
      <c r="J1467" s="45" t="str">
        <f aca="false">IF($A1467="","",IF(COUNTIF(Accounts!$C$2:$C$201,$A1467)+COUNTIF('Service Principals'!$C$2:$C$201,$A1467)+COUNTIF('Managed Identities'!$C$2:$C$201,$A1467)&gt;0,"Yes","NOT IN INVENTORY"))</f>
        <v/>
      </c>
    </row>
    <row r="1468" customFormat="false" ht="15" hidden="false" customHeight="false" outlineLevel="0" collapsed="false">
      <c r="A1468" s="46"/>
      <c r="B1468" s="46"/>
      <c r="C1468" s="47"/>
      <c r="D1468" s="47"/>
      <c r="E1468" s="46"/>
      <c r="F1468" s="46"/>
      <c r="G1468" s="47"/>
      <c r="H1468" s="47"/>
      <c r="I1468" s="47"/>
      <c r="J1468" s="45" t="str">
        <f aca="false">IF($A1468="","",IF(COUNTIF(Accounts!$C$2:$C$201,$A1468)+COUNTIF('Service Principals'!$C$2:$C$201,$A1468)+COUNTIF('Managed Identities'!$C$2:$C$201,$A1468)&gt;0,"Yes","NOT IN INVENTORY"))</f>
        <v/>
      </c>
    </row>
    <row r="1469" customFormat="false" ht="15" hidden="false" customHeight="false" outlineLevel="0" collapsed="false">
      <c r="A1469" s="46"/>
      <c r="B1469" s="46"/>
      <c r="C1469" s="47"/>
      <c r="D1469" s="47"/>
      <c r="E1469" s="46"/>
      <c r="F1469" s="46"/>
      <c r="G1469" s="47"/>
      <c r="H1469" s="47"/>
      <c r="I1469" s="47"/>
      <c r="J1469" s="45" t="str">
        <f aca="false">IF($A1469="","",IF(COUNTIF(Accounts!$C$2:$C$201,$A1469)+COUNTIF('Service Principals'!$C$2:$C$201,$A1469)+COUNTIF('Managed Identities'!$C$2:$C$201,$A1469)&gt;0,"Yes","NOT IN INVENTORY"))</f>
        <v/>
      </c>
    </row>
    <row r="1470" customFormat="false" ht="15" hidden="false" customHeight="false" outlineLevel="0" collapsed="false">
      <c r="A1470" s="46"/>
      <c r="B1470" s="46"/>
      <c r="C1470" s="47"/>
      <c r="D1470" s="47"/>
      <c r="E1470" s="46"/>
      <c r="F1470" s="46"/>
      <c r="G1470" s="47"/>
      <c r="H1470" s="47"/>
      <c r="I1470" s="47"/>
      <c r="J1470" s="45" t="str">
        <f aca="false">IF($A1470="","",IF(COUNTIF(Accounts!$C$2:$C$201,$A1470)+COUNTIF('Service Principals'!$C$2:$C$201,$A1470)+COUNTIF('Managed Identities'!$C$2:$C$201,$A1470)&gt;0,"Yes","NOT IN INVENTORY"))</f>
        <v/>
      </c>
    </row>
    <row r="1471" customFormat="false" ht="15" hidden="false" customHeight="false" outlineLevel="0" collapsed="false">
      <c r="A1471" s="46"/>
      <c r="B1471" s="46"/>
      <c r="C1471" s="47"/>
      <c r="D1471" s="47"/>
      <c r="E1471" s="46"/>
      <c r="F1471" s="46"/>
      <c r="G1471" s="47"/>
      <c r="H1471" s="47"/>
      <c r="I1471" s="47"/>
      <c r="J1471" s="45" t="str">
        <f aca="false">IF($A1471="","",IF(COUNTIF(Accounts!$C$2:$C$201,$A1471)+COUNTIF('Service Principals'!$C$2:$C$201,$A1471)+COUNTIF('Managed Identities'!$C$2:$C$201,$A1471)&gt;0,"Yes","NOT IN INVENTORY"))</f>
        <v/>
      </c>
    </row>
    <row r="1472" customFormat="false" ht="15" hidden="false" customHeight="false" outlineLevel="0" collapsed="false">
      <c r="A1472" s="46"/>
      <c r="B1472" s="46"/>
      <c r="C1472" s="47"/>
      <c r="D1472" s="47"/>
      <c r="E1472" s="46"/>
      <c r="F1472" s="46"/>
      <c r="G1472" s="47"/>
      <c r="H1472" s="47"/>
      <c r="I1472" s="47"/>
      <c r="J1472" s="45" t="str">
        <f aca="false">IF($A1472="","",IF(COUNTIF(Accounts!$C$2:$C$201,$A1472)+COUNTIF('Service Principals'!$C$2:$C$201,$A1472)+COUNTIF('Managed Identities'!$C$2:$C$201,$A1472)&gt;0,"Yes","NOT IN INVENTORY"))</f>
        <v/>
      </c>
    </row>
    <row r="1473" customFormat="false" ht="15" hidden="false" customHeight="false" outlineLevel="0" collapsed="false">
      <c r="A1473" s="46"/>
      <c r="B1473" s="46"/>
      <c r="C1473" s="47"/>
      <c r="D1473" s="47"/>
      <c r="E1473" s="46"/>
      <c r="F1473" s="46"/>
      <c r="G1473" s="47"/>
      <c r="H1473" s="47"/>
      <c r="I1473" s="47"/>
      <c r="J1473" s="45" t="str">
        <f aca="false">IF($A1473="","",IF(COUNTIF(Accounts!$C$2:$C$201,$A1473)+COUNTIF('Service Principals'!$C$2:$C$201,$A1473)+COUNTIF('Managed Identities'!$C$2:$C$201,$A1473)&gt;0,"Yes","NOT IN INVENTORY"))</f>
        <v/>
      </c>
    </row>
    <row r="1474" customFormat="false" ht="15" hidden="false" customHeight="false" outlineLevel="0" collapsed="false">
      <c r="A1474" s="46"/>
      <c r="B1474" s="46"/>
      <c r="C1474" s="47"/>
      <c r="D1474" s="47"/>
      <c r="E1474" s="46"/>
      <c r="F1474" s="46"/>
      <c r="G1474" s="47"/>
      <c r="H1474" s="47"/>
      <c r="I1474" s="47"/>
      <c r="J1474" s="45" t="str">
        <f aca="false">IF($A1474="","",IF(COUNTIF(Accounts!$C$2:$C$201,$A1474)+COUNTIF('Service Principals'!$C$2:$C$201,$A1474)+COUNTIF('Managed Identities'!$C$2:$C$201,$A1474)&gt;0,"Yes","NOT IN INVENTORY"))</f>
        <v/>
      </c>
    </row>
    <row r="1475" customFormat="false" ht="15" hidden="false" customHeight="false" outlineLevel="0" collapsed="false">
      <c r="A1475" s="46"/>
      <c r="B1475" s="46"/>
      <c r="C1475" s="47"/>
      <c r="D1475" s="47"/>
      <c r="E1475" s="46"/>
      <c r="F1475" s="46"/>
      <c r="G1475" s="47"/>
      <c r="H1475" s="47"/>
      <c r="I1475" s="47"/>
      <c r="J1475" s="45" t="str">
        <f aca="false">IF($A1475="","",IF(COUNTIF(Accounts!$C$2:$C$201,$A1475)+COUNTIF('Service Principals'!$C$2:$C$201,$A1475)+COUNTIF('Managed Identities'!$C$2:$C$201,$A1475)&gt;0,"Yes","NOT IN INVENTORY"))</f>
        <v/>
      </c>
    </row>
    <row r="1476" customFormat="false" ht="15" hidden="false" customHeight="false" outlineLevel="0" collapsed="false">
      <c r="A1476" s="46"/>
      <c r="B1476" s="46"/>
      <c r="C1476" s="47"/>
      <c r="D1476" s="47"/>
      <c r="E1476" s="46"/>
      <c r="F1476" s="46"/>
      <c r="G1476" s="47"/>
      <c r="H1476" s="47"/>
      <c r="I1476" s="47"/>
      <c r="J1476" s="45" t="str">
        <f aca="false">IF($A1476="","",IF(COUNTIF(Accounts!$C$2:$C$201,$A1476)+COUNTIF('Service Principals'!$C$2:$C$201,$A1476)+COUNTIF('Managed Identities'!$C$2:$C$201,$A1476)&gt;0,"Yes","NOT IN INVENTORY"))</f>
        <v/>
      </c>
    </row>
    <row r="1477" customFormat="false" ht="15" hidden="false" customHeight="false" outlineLevel="0" collapsed="false">
      <c r="A1477" s="46"/>
      <c r="B1477" s="46"/>
      <c r="C1477" s="47"/>
      <c r="D1477" s="47"/>
      <c r="E1477" s="46"/>
      <c r="F1477" s="46"/>
      <c r="G1477" s="47"/>
      <c r="H1477" s="47"/>
      <c r="I1477" s="47"/>
      <c r="J1477" s="45" t="str">
        <f aca="false">IF($A1477="","",IF(COUNTIF(Accounts!$C$2:$C$201,$A1477)+COUNTIF('Service Principals'!$C$2:$C$201,$A1477)+COUNTIF('Managed Identities'!$C$2:$C$201,$A1477)&gt;0,"Yes","NOT IN INVENTORY"))</f>
        <v/>
      </c>
    </row>
    <row r="1478" customFormat="false" ht="15" hidden="false" customHeight="false" outlineLevel="0" collapsed="false">
      <c r="A1478" s="46"/>
      <c r="B1478" s="46"/>
      <c r="C1478" s="47"/>
      <c r="D1478" s="47"/>
      <c r="E1478" s="46"/>
      <c r="F1478" s="46"/>
      <c r="G1478" s="47"/>
      <c r="H1478" s="47"/>
      <c r="I1478" s="47"/>
      <c r="J1478" s="45" t="str">
        <f aca="false">IF($A1478="","",IF(COUNTIF(Accounts!$C$2:$C$201,$A1478)+COUNTIF('Service Principals'!$C$2:$C$201,$A1478)+COUNTIF('Managed Identities'!$C$2:$C$201,$A1478)&gt;0,"Yes","NOT IN INVENTORY"))</f>
        <v/>
      </c>
    </row>
    <row r="1479" customFormat="false" ht="15" hidden="false" customHeight="false" outlineLevel="0" collapsed="false">
      <c r="A1479" s="46"/>
      <c r="B1479" s="46"/>
      <c r="C1479" s="47"/>
      <c r="D1479" s="47"/>
      <c r="E1479" s="46"/>
      <c r="F1479" s="46"/>
      <c r="G1479" s="47"/>
      <c r="H1479" s="47"/>
      <c r="I1479" s="47"/>
      <c r="J1479" s="45" t="str">
        <f aca="false">IF($A1479="","",IF(COUNTIF(Accounts!$C$2:$C$201,$A1479)+COUNTIF('Service Principals'!$C$2:$C$201,$A1479)+COUNTIF('Managed Identities'!$C$2:$C$201,$A1479)&gt;0,"Yes","NOT IN INVENTORY"))</f>
        <v/>
      </c>
    </row>
    <row r="1480" customFormat="false" ht="15" hidden="false" customHeight="false" outlineLevel="0" collapsed="false">
      <c r="A1480" s="46"/>
      <c r="B1480" s="46"/>
      <c r="C1480" s="47"/>
      <c r="D1480" s="47"/>
      <c r="E1480" s="46"/>
      <c r="F1480" s="46"/>
      <c r="G1480" s="47"/>
      <c r="H1480" s="47"/>
      <c r="I1480" s="47"/>
      <c r="J1480" s="45" t="str">
        <f aca="false">IF($A1480="","",IF(COUNTIF(Accounts!$C$2:$C$201,$A1480)+COUNTIF('Service Principals'!$C$2:$C$201,$A1480)+COUNTIF('Managed Identities'!$C$2:$C$201,$A1480)&gt;0,"Yes","NOT IN INVENTORY"))</f>
        <v/>
      </c>
    </row>
    <row r="1481" customFormat="false" ht="15" hidden="false" customHeight="false" outlineLevel="0" collapsed="false">
      <c r="A1481" s="46"/>
      <c r="B1481" s="46"/>
      <c r="C1481" s="47"/>
      <c r="D1481" s="47"/>
      <c r="E1481" s="46"/>
      <c r="F1481" s="46"/>
      <c r="G1481" s="47"/>
      <c r="H1481" s="47"/>
      <c r="I1481" s="47"/>
      <c r="J1481" s="45" t="str">
        <f aca="false">IF($A1481="","",IF(COUNTIF(Accounts!$C$2:$C$201,$A1481)+COUNTIF('Service Principals'!$C$2:$C$201,$A1481)+COUNTIF('Managed Identities'!$C$2:$C$201,$A1481)&gt;0,"Yes","NOT IN INVENTORY"))</f>
        <v/>
      </c>
    </row>
    <row r="1482" customFormat="false" ht="15" hidden="false" customHeight="false" outlineLevel="0" collapsed="false">
      <c r="A1482" s="46"/>
      <c r="B1482" s="46"/>
      <c r="C1482" s="47"/>
      <c r="D1482" s="47"/>
      <c r="E1482" s="46"/>
      <c r="F1482" s="46"/>
      <c r="G1482" s="47"/>
      <c r="H1482" s="47"/>
      <c r="I1482" s="47"/>
      <c r="J1482" s="45" t="str">
        <f aca="false">IF($A1482="","",IF(COUNTIF(Accounts!$C$2:$C$201,$A1482)+COUNTIF('Service Principals'!$C$2:$C$201,$A1482)+COUNTIF('Managed Identities'!$C$2:$C$201,$A1482)&gt;0,"Yes","NOT IN INVENTORY"))</f>
        <v/>
      </c>
    </row>
    <row r="1483" customFormat="false" ht="15" hidden="false" customHeight="false" outlineLevel="0" collapsed="false">
      <c r="A1483" s="46"/>
      <c r="B1483" s="46"/>
      <c r="C1483" s="47"/>
      <c r="D1483" s="47"/>
      <c r="E1483" s="46"/>
      <c r="F1483" s="46"/>
      <c r="G1483" s="47"/>
      <c r="H1483" s="47"/>
      <c r="I1483" s="47"/>
      <c r="J1483" s="45" t="str">
        <f aca="false">IF($A1483="","",IF(COUNTIF(Accounts!$C$2:$C$201,$A1483)+COUNTIF('Service Principals'!$C$2:$C$201,$A1483)+COUNTIF('Managed Identities'!$C$2:$C$201,$A1483)&gt;0,"Yes","NOT IN INVENTORY"))</f>
        <v/>
      </c>
    </row>
    <row r="1484" customFormat="false" ht="15" hidden="false" customHeight="false" outlineLevel="0" collapsed="false">
      <c r="A1484" s="46"/>
      <c r="B1484" s="46"/>
      <c r="C1484" s="47"/>
      <c r="D1484" s="47"/>
      <c r="E1484" s="46"/>
      <c r="F1484" s="46"/>
      <c r="G1484" s="47"/>
      <c r="H1484" s="47"/>
      <c r="I1484" s="47"/>
      <c r="J1484" s="45" t="str">
        <f aca="false">IF($A1484="","",IF(COUNTIF(Accounts!$C$2:$C$201,$A1484)+COUNTIF('Service Principals'!$C$2:$C$201,$A1484)+COUNTIF('Managed Identities'!$C$2:$C$201,$A1484)&gt;0,"Yes","NOT IN INVENTORY"))</f>
        <v/>
      </c>
    </row>
    <row r="1485" customFormat="false" ht="15" hidden="false" customHeight="false" outlineLevel="0" collapsed="false">
      <c r="A1485" s="46"/>
      <c r="B1485" s="46"/>
      <c r="C1485" s="47"/>
      <c r="D1485" s="47"/>
      <c r="E1485" s="46"/>
      <c r="F1485" s="46"/>
      <c r="G1485" s="47"/>
      <c r="H1485" s="47"/>
      <c r="I1485" s="47"/>
      <c r="J1485" s="45" t="str">
        <f aca="false">IF($A1485="","",IF(COUNTIF(Accounts!$C$2:$C$201,$A1485)+COUNTIF('Service Principals'!$C$2:$C$201,$A1485)+COUNTIF('Managed Identities'!$C$2:$C$201,$A1485)&gt;0,"Yes","NOT IN INVENTORY"))</f>
        <v/>
      </c>
    </row>
    <row r="1486" customFormat="false" ht="15" hidden="false" customHeight="false" outlineLevel="0" collapsed="false">
      <c r="A1486" s="46"/>
      <c r="B1486" s="46"/>
      <c r="C1486" s="47"/>
      <c r="D1486" s="47"/>
      <c r="E1486" s="46"/>
      <c r="F1486" s="46"/>
      <c r="G1486" s="47"/>
      <c r="H1486" s="47"/>
      <c r="I1486" s="47"/>
      <c r="J1486" s="45" t="str">
        <f aca="false">IF($A1486="","",IF(COUNTIF(Accounts!$C$2:$C$201,$A1486)+COUNTIF('Service Principals'!$C$2:$C$201,$A1486)+COUNTIF('Managed Identities'!$C$2:$C$201,$A1486)&gt;0,"Yes","NOT IN INVENTORY"))</f>
        <v/>
      </c>
    </row>
    <row r="1487" customFormat="false" ht="15" hidden="false" customHeight="false" outlineLevel="0" collapsed="false">
      <c r="A1487" s="46"/>
      <c r="B1487" s="46"/>
      <c r="C1487" s="47"/>
      <c r="D1487" s="47"/>
      <c r="E1487" s="46"/>
      <c r="F1487" s="46"/>
      <c r="G1487" s="47"/>
      <c r="H1487" s="47"/>
      <c r="I1487" s="47"/>
      <c r="J1487" s="45" t="str">
        <f aca="false">IF($A1487="","",IF(COUNTIF(Accounts!$C$2:$C$201,$A1487)+COUNTIF('Service Principals'!$C$2:$C$201,$A1487)+COUNTIF('Managed Identities'!$C$2:$C$201,$A1487)&gt;0,"Yes","NOT IN INVENTORY"))</f>
        <v/>
      </c>
    </row>
    <row r="1488" customFormat="false" ht="15" hidden="false" customHeight="false" outlineLevel="0" collapsed="false">
      <c r="A1488" s="46"/>
      <c r="B1488" s="46"/>
      <c r="C1488" s="47"/>
      <c r="D1488" s="47"/>
      <c r="E1488" s="46"/>
      <c r="F1488" s="46"/>
      <c r="G1488" s="47"/>
      <c r="H1488" s="47"/>
      <c r="I1488" s="47"/>
      <c r="J1488" s="45" t="str">
        <f aca="false">IF($A1488="","",IF(COUNTIF(Accounts!$C$2:$C$201,$A1488)+COUNTIF('Service Principals'!$C$2:$C$201,$A1488)+COUNTIF('Managed Identities'!$C$2:$C$201,$A1488)&gt;0,"Yes","NOT IN INVENTORY"))</f>
        <v/>
      </c>
    </row>
    <row r="1489" customFormat="false" ht="15" hidden="false" customHeight="false" outlineLevel="0" collapsed="false">
      <c r="A1489" s="46"/>
      <c r="B1489" s="46"/>
      <c r="C1489" s="47"/>
      <c r="D1489" s="47"/>
      <c r="E1489" s="46"/>
      <c r="F1489" s="46"/>
      <c r="G1489" s="47"/>
      <c r="H1489" s="47"/>
      <c r="I1489" s="47"/>
      <c r="J1489" s="45" t="str">
        <f aca="false">IF($A1489="","",IF(COUNTIF(Accounts!$C$2:$C$201,$A1489)+COUNTIF('Service Principals'!$C$2:$C$201,$A1489)+COUNTIF('Managed Identities'!$C$2:$C$201,$A1489)&gt;0,"Yes","NOT IN INVENTORY"))</f>
        <v/>
      </c>
    </row>
    <row r="1490" customFormat="false" ht="15" hidden="false" customHeight="false" outlineLevel="0" collapsed="false">
      <c r="A1490" s="46"/>
      <c r="B1490" s="46"/>
      <c r="C1490" s="47"/>
      <c r="D1490" s="47"/>
      <c r="E1490" s="46"/>
      <c r="F1490" s="46"/>
      <c r="G1490" s="47"/>
      <c r="H1490" s="47"/>
      <c r="I1490" s="47"/>
      <c r="J1490" s="45" t="str">
        <f aca="false">IF($A1490="","",IF(COUNTIF(Accounts!$C$2:$C$201,$A1490)+COUNTIF('Service Principals'!$C$2:$C$201,$A1490)+COUNTIF('Managed Identities'!$C$2:$C$201,$A1490)&gt;0,"Yes","NOT IN INVENTORY"))</f>
        <v/>
      </c>
    </row>
    <row r="1491" customFormat="false" ht="15" hidden="false" customHeight="false" outlineLevel="0" collapsed="false">
      <c r="A1491" s="46"/>
      <c r="B1491" s="46"/>
      <c r="C1491" s="47"/>
      <c r="D1491" s="47"/>
      <c r="E1491" s="46"/>
      <c r="F1491" s="46"/>
      <c r="G1491" s="47"/>
      <c r="H1491" s="47"/>
      <c r="I1491" s="47"/>
      <c r="J1491" s="45" t="str">
        <f aca="false">IF($A1491="","",IF(COUNTIF(Accounts!$C$2:$C$201,$A1491)+COUNTIF('Service Principals'!$C$2:$C$201,$A1491)+COUNTIF('Managed Identities'!$C$2:$C$201,$A1491)&gt;0,"Yes","NOT IN INVENTORY"))</f>
        <v/>
      </c>
    </row>
    <row r="1492" customFormat="false" ht="15" hidden="false" customHeight="false" outlineLevel="0" collapsed="false">
      <c r="A1492" s="46"/>
      <c r="B1492" s="46"/>
      <c r="C1492" s="47"/>
      <c r="D1492" s="47"/>
      <c r="E1492" s="46"/>
      <c r="F1492" s="46"/>
      <c r="G1492" s="47"/>
      <c r="H1492" s="47"/>
      <c r="I1492" s="47"/>
      <c r="J1492" s="45" t="str">
        <f aca="false">IF($A1492="","",IF(COUNTIF(Accounts!$C$2:$C$201,$A1492)+COUNTIF('Service Principals'!$C$2:$C$201,$A1492)+COUNTIF('Managed Identities'!$C$2:$C$201,$A1492)&gt;0,"Yes","NOT IN INVENTORY"))</f>
        <v/>
      </c>
    </row>
    <row r="1493" customFormat="false" ht="15" hidden="false" customHeight="false" outlineLevel="0" collapsed="false">
      <c r="A1493" s="46"/>
      <c r="B1493" s="46"/>
      <c r="C1493" s="47"/>
      <c r="D1493" s="47"/>
      <c r="E1493" s="46"/>
      <c r="F1493" s="46"/>
      <c r="G1493" s="47"/>
      <c r="H1493" s="47"/>
      <c r="I1493" s="47"/>
      <c r="J1493" s="45" t="str">
        <f aca="false">IF($A1493="","",IF(COUNTIF(Accounts!$C$2:$C$201,$A1493)+COUNTIF('Service Principals'!$C$2:$C$201,$A1493)+COUNTIF('Managed Identities'!$C$2:$C$201,$A1493)&gt;0,"Yes","NOT IN INVENTORY"))</f>
        <v/>
      </c>
    </row>
    <row r="1494" customFormat="false" ht="15" hidden="false" customHeight="false" outlineLevel="0" collapsed="false">
      <c r="A1494" s="46"/>
      <c r="B1494" s="46"/>
      <c r="C1494" s="47"/>
      <c r="D1494" s="47"/>
      <c r="E1494" s="46"/>
      <c r="F1494" s="46"/>
      <c r="G1494" s="47"/>
      <c r="H1494" s="47"/>
      <c r="I1494" s="47"/>
      <c r="J1494" s="45" t="str">
        <f aca="false">IF($A1494="","",IF(COUNTIF(Accounts!$C$2:$C$201,$A1494)+COUNTIF('Service Principals'!$C$2:$C$201,$A1494)+COUNTIF('Managed Identities'!$C$2:$C$201,$A1494)&gt;0,"Yes","NOT IN INVENTORY"))</f>
        <v/>
      </c>
    </row>
    <row r="1495" customFormat="false" ht="15" hidden="false" customHeight="false" outlineLevel="0" collapsed="false">
      <c r="A1495" s="46"/>
      <c r="B1495" s="46"/>
      <c r="C1495" s="47"/>
      <c r="D1495" s="47"/>
      <c r="E1495" s="46"/>
      <c r="F1495" s="46"/>
      <c r="G1495" s="47"/>
      <c r="H1495" s="47"/>
      <c r="I1495" s="47"/>
      <c r="J1495" s="45" t="str">
        <f aca="false">IF($A1495="","",IF(COUNTIF(Accounts!$C$2:$C$201,$A1495)+COUNTIF('Service Principals'!$C$2:$C$201,$A1495)+COUNTIF('Managed Identities'!$C$2:$C$201,$A1495)&gt;0,"Yes","NOT IN INVENTORY"))</f>
        <v/>
      </c>
    </row>
    <row r="1496" customFormat="false" ht="15" hidden="false" customHeight="false" outlineLevel="0" collapsed="false">
      <c r="A1496" s="46"/>
      <c r="B1496" s="46"/>
      <c r="C1496" s="47"/>
      <c r="D1496" s="47"/>
      <c r="E1496" s="46"/>
      <c r="F1496" s="46"/>
      <c r="G1496" s="47"/>
      <c r="H1496" s="47"/>
      <c r="I1496" s="47"/>
      <c r="J1496" s="45" t="str">
        <f aca="false">IF($A1496="","",IF(COUNTIF(Accounts!$C$2:$C$201,$A1496)+COUNTIF('Service Principals'!$C$2:$C$201,$A1496)+COUNTIF('Managed Identities'!$C$2:$C$201,$A1496)&gt;0,"Yes","NOT IN INVENTORY"))</f>
        <v/>
      </c>
    </row>
    <row r="1497" customFormat="false" ht="15" hidden="false" customHeight="false" outlineLevel="0" collapsed="false">
      <c r="A1497" s="46"/>
      <c r="B1497" s="46"/>
      <c r="C1497" s="47"/>
      <c r="D1497" s="47"/>
      <c r="E1497" s="46"/>
      <c r="F1497" s="46"/>
      <c r="G1497" s="47"/>
      <c r="H1497" s="47"/>
      <c r="I1497" s="47"/>
      <c r="J1497" s="45" t="str">
        <f aca="false">IF($A1497="","",IF(COUNTIF(Accounts!$C$2:$C$201,$A1497)+COUNTIF('Service Principals'!$C$2:$C$201,$A1497)+COUNTIF('Managed Identities'!$C$2:$C$201,$A1497)&gt;0,"Yes","NOT IN INVENTORY"))</f>
        <v/>
      </c>
    </row>
    <row r="1498" customFormat="false" ht="15" hidden="false" customHeight="false" outlineLevel="0" collapsed="false">
      <c r="A1498" s="46"/>
      <c r="B1498" s="46"/>
      <c r="C1498" s="47"/>
      <c r="D1498" s="47"/>
      <c r="E1498" s="46"/>
      <c r="F1498" s="46"/>
      <c r="G1498" s="47"/>
      <c r="H1498" s="47"/>
      <c r="I1498" s="47"/>
      <c r="J1498" s="45" t="str">
        <f aca="false">IF($A1498="","",IF(COUNTIF(Accounts!$C$2:$C$201,$A1498)+COUNTIF('Service Principals'!$C$2:$C$201,$A1498)+COUNTIF('Managed Identities'!$C$2:$C$201,$A1498)&gt;0,"Yes","NOT IN INVENTORY"))</f>
        <v/>
      </c>
    </row>
    <row r="1499" customFormat="false" ht="15" hidden="false" customHeight="false" outlineLevel="0" collapsed="false">
      <c r="A1499" s="46"/>
      <c r="B1499" s="46"/>
      <c r="C1499" s="47"/>
      <c r="D1499" s="47"/>
      <c r="E1499" s="46"/>
      <c r="F1499" s="46"/>
      <c r="G1499" s="47"/>
      <c r="H1499" s="47"/>
      <c r="I1499" s="47"/>
      <c r="J1499" s="45" t="str">
        <f aca="false">IF($A1499="","",IF(COUNTIF(Accounts!$C$2:$C$201,$A1499)+COUNTIF('Service Principals'!$C$2:$C$201,$A1499)+COUNTIF('Managed Identities'!$C$2:$C$201,$A1499)&gt;0,"Yes","NOT IN INVENTORY"))</f>
        <v/>
      </c>
    </row>
    <row r="1500" customFormat="false" ht="15" hidden="false" customHeight="false" outlineLevel="0" collapsed="false">
      <c r="A1500" s="46"/>
      <c r="B1500" s="46"/>
      <c r="C1500" s="47"/>
      <c r="D1500" s="47"/>
      <c r="E1500" s="46"/>
      <c r="F1500" s="46"/>
      <c r="G1500" s="47"/>
      <c r="H1500" s="47"/>
      <c r="I1500" s="47"/>
      <c r="J1500" s="45" t="str">
        <f aca="false">IF($A1500="","",IF(COUNTIF(Accounts!$C$2:$C$201,$A1500)+COUNTIF('Service Principals'!$C$2:$C$201,$A1500)+COUNTIF('Managed Identities'!$C$2:$C$201,$A1500)&gt;0,"Yes","NOT IN INVENTORY"))</f>
        <v/>
      </c>
    </row>
    <row r="1501" customFormat="false" ht="15" hidden="false" customHeight="false" outlineLevel="0" collapsed="false">
      <c r="A1501" s="46"/>
      <c r="B1501" s="46"/>
      <c r="C1501" s="47"/>
      <c r="D1501" s="47"/>
      <c r="E1501" s="46"/>
      <c r="F1501" s="46"/>
      <c r="G1501" s="47"/>
      <c r="H1501" s="47"/>
      <c r="I1501" s="47"/>
      <c r="J1501" s="45" t="str">
        <f aca="false">IF($A1501="","",IF(COUNTIF(Accounts!$C$2:$C$201,$A1501)+COUNTIF('Service Principals'!$C$2:$C$201,$A1501)+COUNTIF('Managed Identities'!$C$2:$C$201,$A1501)&gt;0,"Yes","NOT IN INVENTORY"))</f>
        <v/>
      </c>
    </row>
    <row r="1502" customFormat="false" ht="15" hidden="false" customHeight="false" outlineLevel="0" collapsed="false">
      <c r="A1502" s="46"/>
      <c r="B1502" s="46"/>
      <c r="C1502" s="47"/>
      <c r="D1502" s="47"/>
      <c r="E1502" s="46"/>
      <c r="F1502" s="46"/>
      <c r="G1502" s="47"/>
      <c r="H1502" s="47"/>
      <c r="I1502" s="47"/>
      <c r="J1502" s="45" t="str">
        <f aca="false">IF($A1502="","",IF(COUNTIF(Accounts!$C$2:$C$201,$A1502)+COUNTIF('Service Principals'!$C$2:$C$201,$A1502)+COUNTIF('Managed Identities'!$C$2:$C$201,$A1502)&gt;0,"Yes","NOT IN INVENTORY"))</f>
        <v/>
      </c>
    </row>
    <row r="1503" customFormat="false" ht="15" hidden="false" customHeight="false" outlineLevel="0" collapsed="false">
      <c r="A1503" s="46"/>
      <c r="B1503" s="46"/>
      <c r="C1503" s="47"/>
      <c r="D1503" s="47"/>
      <c r="E1503" s="46"/>
      <c r="F1503" s="46"/>
      <c r="G1503" s="47"/>
      <c r="H1503" s="47"/>
      <c r="I1503" s="47"/>
      <c r="J1503" s="45" t="str">
        <f aca="false">IF($A1503="","",IF(COUNTIF(Accounts!$C$2:$C$201,$A1503)+COUNTIF('Service Principals'!$C$2:$C$201,$A1503)+COUNTIF('Managed Identities'!$C$2:$C$201,$A1503)&gt;0,"Yes","NOT IN INVENTORY"))</f>
        <v/>
      </c>
    </row>
    <row r="1504" customFormat="false" ht="15" hidden="false" customHeight="false" outlineLevel="0" collapsed="false">
      <c r="A1504" s="46"/>
      <c r="B1504" s="46"/>
      <c r="C1504" s="47"/>
      <c r="D1504" s="47"/>
      <c r="E1504" s="46"/>
      <c r="F1504" s="46"/>
      <c r="G1504" s="47"/>
      <c r="H1504" s="47"/>
      <c r="I1504" s="47"/>
      <c r="J1504" s="45" t="str">
        <f aca="false">IF($A1504="","",IF(COUNTIF(Accounts!$C$2:$C$201,$A1504)+COUNTIF('Service Principals'!$C$2:$C$201,$A1504)+COUNTIF('Managed Identities'!$C$2:$C$201,$A1504)&gt;0,"Yes","NOT IN INVENTORY"))</f>
        <v/>
      </c>
    </row>
    <row r="1505" customFormat="false" ht="15" hidden="false" customHeight="false" outlineLevel="0" collapsed="false">
      <c r="A1505" s="46"/>
      <c r="B1505" s="46"/>
      <c r="C1505" s="47"/>
      <c r="D1505" s="47"/>
      <c r="E1505" s="46"/>
      <c r="F1505" s="46"/>
      <c r="G1505" s="47"/>
      <c r="H1505" s="47"/>
      <c r="I1505" s="47"/>
      <c r="J1505" s="45" t="str">
        <f aca="false">IF($A1505="","",IF(COUNTIF(Accounts!$C$2:$C$201,$A1505)+COUNTIF('Service Principals'!$C$2:$C$201,$A1505)+COUNTIF('Managed Identities'!$C$2:$C$201,$A1505)&gt;0,"Yes","NOT IN INVENTORY"))</f>
        <v/>
      </c>
    </row>
    <row r="1506" customFormat="false" ht="15" hidden="false" customHeight="false" outlineLevel="0" collapsed="false">
      <c r="A1506" s="46"/>
      <c r="B1506" s="46"/>
      <c r="C1506" s="47"/>
      <c r="D1506" s="47"/>
      <c r="E1506" s="46"/>
      <c r="F1506" s="46"/>
      <c r="G1506" s="47"/>
      <c r="H1506" s="47"/>
      <c r="I1506" s="47"/>
      <c r="J1506" s="45" t="str">
        <f aca="false">IF($A1506="","",IF(COUNTIF(Accounts!$C$2:$C$201,$A1506)+COUNTIF('Service Principals'!$C$2:$C$201,$A1506)+COUNTIF('Managed Identities'!$C$2:$C$201,$A1506)&gt;0,"Yes","NOT IN INVENTORY"))</f>
        <v/>
      </c>
    </row>
    <row r="1507" customFormat="false" ht="15" hidden="false" customHeight="false" outlineLevel="0" collapsed="false">
      <c r="A1507" s="46"/>
      <c r="B1507" s="46"/>
      <c r="C1507" s="47"/>
      <c r="D1507" s="47"/>
      <c r="E1507" s="46"/>
      <c r="F1507" s="46"/>
      <c r="G1507" s="47"/>
      <c r="H1507" s="47"/>
      <c r="I1507" s="47"/>
      <c r="J1507" s="45" t="str">
        <f aca="false">IF($A1507="","",IF(COUNTIF(Accounts!$C$2:$C$201,$A1507)+COUNTIF('Service Principals'!$C$2:$C$201,$A1507)+COUNTIF('Managed Identities'!$C$2:$C$201,$A1507)&gt;0,"Yes","NOT IN INVENTORY"))</f>
        <v/>
      </c>
    </row>
    <row r="1508" customFormat="false" ht="15" hidden="false" customHeight="false" outlineLevel="0" collapsed="false">
      <c r="A1508" s="46"/>
      <c r="B1508" s="46"/>
      <c r="C1508" s="47"/>
      <c r="D1508" s="47"/>
      <c r="E1508" s="46"/>
      <c r="F1508" s="46"/>
      <c r="G1508" s="47"/>
      <c r="H1508" s="47"/>
      <c r="I1508" s="47"/>
      <c r="J1508" s="45" t="str">
        <f aca="false">IF($A1508="","",IF(COUNTIF(Accounts!$C$2:$C$201,$A1508)+COUNTIF('Service Principals'!$C$2:$C$201,$A1508)+COUNTIF('Managed Identities'!$C$2:$C$201,$A1508)&gt;0,"Yes","NOT IN INVENTORY"))</f>
        <v/>
      </c>
    </row>
    <row r="1509" customFormat="false" ht="15" hidden="false" customHeight="false" outlineLevel="0" collapsed="false">
      <c r="A1509" s="46"/>
      <c r="B1509" s="46"/>
      <c r="C1509" s="47"/>
      <c r="D1509" s="47"/>
      <c r="E1509" s="46"/>
      <c r="F1509" s="46"/>
      <c r="G1509" s="47"/>
      <c r="H1509" s="47"/>
      <c r="I1509" s="47"/>
      <c r="J1509" s="45" t="str">
        <f aca="false">IF($A1509="","",IF(COUNTIF(Accounts!$C$2:$C$201,$A1509)+COUNTIF('Service Principals'!$C$2:$C$201,$A1509)+COUNTIF('Managed Identities'!$C$2:$C$201,$A1509)&gt;0,"Yes","NOT IN INVENTORY"))</f>
        <v/>
      </c>
    </row>
    <row r="1510" customFormat="false" ht="15" hidden="false" customHeight="false" outlineLevel="0" collapsed="false">
      <c r="A1510" s="46"/>
      <c r="B1510" s="46"/>
      <c r="C1510" s="47"/>
      <c r="D1510" s="47"/>
      <c r="E1510" s="46"/>
      <c r="F1510" s="46"/>
      <c r="G1510" s="47"/>
      <c r="H1510" s="47"/>
      <c r="I1510" s="47"/>
      <c r="J1510" s="45" t="str">
        <f aca="false">IF($A1510="","",IF(COUNTIF(Accounts!$C$2:$C$201,$A1510)+COUNTIF('Service Principals'!$C$2:$C$201,$A1510)+COUNTIF('Managed Identities'!$C$2:$C$201,$A1510)&gt;0,"Yes","NOT IN INVENTORY"))</f>
        <v/>
      </c>
    </row>
    <row r="1511" customFormat="false" ht="15" hidden="false" customHeight="false" outlineLevel="0" collapsed="false">
      <c r="A1511" s="46"/>
      <c r="B1511" s="46"/>
      <c r="C1511" s="47"/>
      <c r="D1511" s="47"/>
      <c r="E1511" s="46"/>
      <c r="F1511" s="46"/>
      <c r="G1511" s="47"/>
      <c r="H1511" s="47"/>
      <c r="I1511" s="47"/>
      <c r="J1511" s="45" t="str">
        <f aca="false">IF($A1511="","",IF(COUNTIF(Accounts!$C$2:$C$201,$A1511)+COUNTIF('Service Principals'!$C$2:$C$201,$A1511)+COUNTIF('Managed Identities'!$C$2:$C$201,$A1511)&gt;0,"Yes","NOT IN INVENTORY"))</f>
        <v/>
      </c>
    </row>
    <row r="1512" customFormat="false" ht="15" hidden="false" customHeight="false" outlineLevel="0" collapsed="false">
      <c r="A1512" s="46"/>
      <c r="B1512" s="46"/>
      <c r="C1512" s="47"/>
      <c r="D1512" s="47"/>
      <c r="E1512" s="46"/>
      <c r="F1512" s="46"/>
      <c r="G1512" s="47"/>
      <c r="H1512" s="47"/>
      <c r="I1512" s="47"/>
      <c r="J1512" s="45" t="str">
        <f aca="false">IF($A1512="","",IF(COUNTIF(Accounts!$C$2:$C$201,$A1512)+COUNTIF('Service Principals'!$C$2:$C$201,$A1512)+COUNTIF('Managed Identities'!$C$2:$C$201,$A1512)&gt;0,"Yes","NOT IN INVENTORY"))</f>
        <v/>
      </c>
    </row>
    <row r="1513" customFormat="false" ht="15" hidden="false" customHeight="false" outlineLevel="0" collapsed="false">
      <c r="A1513" s="46"/>
      <c r="B1513" s="46"/>
      <c r="C1513" s="47"/>
      <c r="D1513" s="47"/>
      <c r="E1513" s="46"/>
      <c r="F1513" s="46"/>
      <c r="G1513" s="47"/>
      <c r="H1513" s="47"/>
      <c r="I1513" s="47"/>
      <c r="J1513" s="45" t="str">
        <f aca="false">IF($A1513="","",IF(COUNTIF(Accounts!$C$2:$C$201,$A1513)+COUNTIF('Service Principals'!$C$2:$C$201,$A1513)+COUNTIF('Managed Identities'!$C$2:$C$201,$A1513)&gt;0,"Yes","NOT IN INVENTORY"))</f>
        <v/>
      </c>
    </row>
    <row r="1514" customFormat="false" ht="15" hidden="false" customHeight="false" outlineLevel="0" collapsed="false">
      <c r="A1514" s="46"/>
      <c r="B1514" s="46"/>
      <c r="C1514" s="47"/>
      <c r="D1514" s="47"/>
      <c r="E1514" s="46"/>
      <c r="F1514" s="46"/>
      <c r="G1514" s="47"/>
      <c r="H1514" s="47"/>
      <c r="I1514" s="47"/>
      <c r="J1514" s="45" t="str">
        <f aca="false">IF($A1514="","",IF(COUNTIF(Accounts!$C$2:$C$201,$A1514)+COUNTIF('Service Principals'!$C$2:$C$201,$A1514)+COUNTIF('Managed Identities'!$C$2:$C$201,$A1514)&gt;0,"Yes","NOT IN INVENTORY"))</f>
        <v/>
      </c>
    </row>
    <row r="1515" customFormat="false" ht="15" hidden="false" customHeight="false" outlineLevel="0" collapsed="false">
      <c r="A1515" s="46"/>
      <c r="B1515" s="46"/>
      <c r="C1515" s="47"/>
      <c r="D1515" s="47"/>
      <c r="E1515" s="46"/>
      <c r="F1515" s="46"/>
      <c r="G1515" s="47"/>
      <c r="H1515" s="47"/>
      <c r="I1515" s="47"/>
      <c r="J1515" s="45" t="str">
        <f aca="false">IF($A1515="","",IF(COUNTIF(Accounts!$C$2:$C$201,$A1515)+COUNTIF('Service Principals'!$C$2:$C$201,$A1515)+COUNTIF('Managed Identities'!$C$2:$C$201,$A1515)&gt;0,"Yes","NOT IN INVENTORY"))</f>
        <v/>
      </c>
    </row>
    <row r="1516" customFormat="false" ht="15" hidden="false" customHeight="false" outlineLevel="0" collapsed="false">
      <c r="A1516" s="46"/>
      <c r="B1516" s="46"/>
      <c r="C1516" s="47"/>
      <c r="D1516" s="47"/>
      <c r="E1516" s="46"/>
      <c r="F1516" s="46"/>
      <c r="G1516" s="47"/>
      <c r="H1516" s="47"/>
      <c r="I1516" s="47"/>
      <c r="J1516" s="45" t="str">
        <f aca="false">IF($A1516="","",IF(COUNTIF(Accounts!$C$2:$C$201,$A1516)+COUNTIF('Service Principals'!$C$2:$C$201,$A1516)+COUNTIF('Managed Identities'!$C$2:$C$201,$A1516)&gt;0,"Yes","NOT IN INVENTORY"))</f>
        <v/>
      </c>
    </row>
    <row r="1517" customFormat="false" ht="15" hidden="false" customHeight="false" outlineLevel="0" collapsed="false">
      <c r="A1517" s="46"/>
      <c r="B1517" s="46"/>
      <c r="C1517" s="47"/>
      <c r="D1517" s="47"/>
      <c r="E1517" s="46"/>
      <c r="F1517" s="46"/>
      <c r="G1517" s="47"/>
      <c r="H1517" s="47"/>
      <c r="I1517" s="47"/>
      <c r="J1517" s="45" t="str">
        <f aca="false">IF($A1517="","",IF(COUNTIF(Accounts!$C$2:$C$201,$A1517)+COUNTIF('Service Principals'!$C$2:$C$201,$A1517)+COUNTIF('Managed Identities'!$C$2:$C$201,$A1517)&gt;0,"Yes","NOT IN INVENTORY"))</f>
        <v/>
      </c>
    </row>
    <row r="1518" customFormat="false" ht="15" hidden="false" customHeight="false" outlineLevel="0" collapsed="false">
      <c r="A1518" s="46"/>
      <c r="B1518" s="46"/>
      <c r="C1518" s="47"/>
      <c r="D1518" s="47"/>
      <c r="E1518" s="46"/>
      <c r="F1518" s="46"/>
      <c r="G1518" s="47"/>
      <c r="H1518" s="47"/>
      <c r="I1518" s="47"/>
      <c r="J1518" s="45" t="str">
        <f aca="false">IF($A1518="","",IF(COUNTIF(Accounts!$C$2:$C$201,$A1518)+COUNTIF('Service Principals'!$C$2:$C$201,$A1518)+COUNTIF('Managed Identities'!$C$2:$C$201,$A1518)&gt;0,"Yes","NOT IN INVENTORY"))</f>
        <v/>
      </c>
    </row>
    <row r="1519" customFormat="false" ht="15" hidden="false" customHeight="false" outlineLevel="0" collapsed="false">
      <c r="A1519" s="46"/>
      <c r="B1519" s="46"/>
      <c r="C1519" s="47"/>
      <c r="D1519" s="47"/>
      <c r="E1519" s="46"/>
      <c r="F1519" s="46"/>
      <c r="G1519" s="47"/>
      <c r="H1519" s="47"/>
      <c r="I1519" s="47"/>
      <c r="J1519" s="45" t="str">
        <f aca="false">IF($A1519="","",IF(COUNTIF(Accounts!$C$2:$C$201,$A1519)+COUNTIF('Service Principals'!$C$2:$C$201,$A1519)+COUNTIF('Managed Identities'!$C$2:$C$201,$A1519)&gt;0,"Yes","NOT IN INVENTORY"))</f>
        <v/>
      </c>
    </row>
    <row r="1520" customFormat="false" ht="15" hidden="false" customHeight="false" outlineLevel="0" collapsed="false">
      <c r="A1520" s="46"/>
      <c r="B1520" s="46"/>
      <c r="C1520" s="47"/>
      <c r="D1520" s="47"/>
      <c r="E1520" s="46"/>
      <c r="F1520" s="46"/>
      <c r="G1520" s="47"/>
      <c r="H1520" s="47"/>
      <c r="I1520" s="47"/>
      <c r="J1520" s="45" t="str">
        <f aca="false">IF($A1520="","",IF(COUNTIF(Accounts!$C$2:$C$201,$A1520)+COUNTIF('Service Principals'!$C$2:$C$201,$A1520)+COUNTIF('Managed Identities'!$C$2:$C$201,$A1520)&gt;0,"Yes","NOT IN INVENTORY"))</f>
        <v/>
      </c>
    </row>
    <row r="1521" customFormat="false" ht="15" hidden="false" customHeight="false" outlineLevel="0" collapsed="false">
      <c r="A1521" s="46"/>
      <c r="B1521" s="46"/>
      <c r="C1521" s="47"/>
      <c r="D1521" s="47"/>
      <c r="E1521" s="46"/>
      <c r="F1521" s="46"/>
      <c r="G1521" s="47"/>
      <c r="H1521" s="47"/>
      <c r="I1521" s="47"/>
      <c r="J1521" s="45" t="str">
        <f aca="false">IF($A1521="","",IF(COUNTIF(Accounts!$C$2:$C$201,$A1521)+COUNTIF('Service Principals'!$C$2:$C$201,$A1521)+COUNTIF('Managed Identities'!$C$2:$C$201,$A1521)&gt;0,"Yes","NOT IN INVENTORY"))</f>
        <v/>
      </c>
    </row>
    <row r="1522" customFormat="false" ht="15" hidden="false" customHeight="false" outlineLevel="0" collapsed="false">
      <c r="A1522" s="46"/>
      <c r="B1522" s="46"/>
      <c r="C1522" s="47"/>
      <c r="D1522" s="47"/>
      <c r="E1522" s="46"/>
      <c r="F1522" s="46"/>
      <c r="G1522" s="47"/>
      <c r="H1522" s="47"/>
      <c r="I1522" s="47"/>
      <c r="J1522" s="45" t="str">
        <f aca="false">IF($A1522="","",IF(COUNTIF(Accounts!$C$2:$C$201,$A1522)+COUNTIF('Service Principals'!$C$2:$C$201,$A1522)+COUNTIF('Managed Identities'!$C$2:$C$201,$A1522)&gt;0,"Yes","NOT IN INVENTORY"))</f>
        <v/>
      </c>
    </row>
    <row r="1523" customFormat="false" ht="15" hidden="false" customHeight="false" outlineLevel="0" collapsed="false">
      <c r="A1523" s="46"/>
      <c r="B1523" s="46"/>
      <c r="C1523" s="47"/>
      <c r="D1523" s="47"/>
      <c r="E1523" s="46"/>
      <c r="F1523" s="46"/>
      <c r="G1523" s="47"/>
      <c r="H1523" s="47"/>
      <c r="I1523" s="47"/>
      <c r="J1523" s="45" t="str">
        <f aca="false">IF($A1523="","",IF(COUNTIF(Accounts!$C$2:$C$201,$A1523)+COUNTIF('Service Principals'!$C$2:$C$201,$A1523)+COUNTIF('Managed Identities'!$C$2:$C$201,$A1523)&gt;0,"Yes","NOT IN INVENTORY"))</f>
        <v/>
      </c>
    </row>
    <row r="1524" customFormat="false" ht="15" hidden="false" customHeight="false" outlineLevel="0" collapsed="false">
      <c r="A1524" s="46"/>
      <c r="B1524" s="46"/>
      <c r="C1524" s="47"/>
      <c r="D1524" s="47"/>
      <c r="E1524" s="46"/>
      <c r="F1524" s="46"/>
      <c r="G1524" s="47"/>
      <c r="H1524" s="47"/>
      <c r="I1524" s="47"/>
      <c r="J1524" s="45" t="str">
        <f aca="false">IF($A1524="","",IF(COUNTIF(Accounts!$C$2:$C$201,$A1524)+COUNTIF('Service Principals'!$C$2:$C$201,$A1524)+COUNTIF('Managed Identities'!$C$2:$C$201,$A1524)&gt;0,"Yes","NOT IN INVENTORY"))</f>
        <v/>
      </c>
    </row>
    <row r="1525" customFormat="false" ht="15" hidden="false" customHeight="false" outlineLevel="0" collapsed="false">
      <c r="A1525" s="46"/>
      <c r="B1525" s="46"/>
      <c r="C1525" s="47"/>
      <c r="D1525" s="47"/>
      <c r="E1525" s="46"/>
      <c r="F1525" s="46"/>
      <c r="G1525" s="47"/>
      <c r="H1525" s="47"/>
      <c r="I1525" s="47"/>
      <c r="J1525" s="45" t="str">
        <f aca="false">IF($A1525="","",IF(COUNTIF(Accounts!$C$2:$C$201,$A1525)+COUNTIF('Service Principals'!$C$2:$C$201,$A1525)+COUNTIF('Managed Identities'!$C$2:$C$201,$A1525)&gt;0,"Yes","NOT IN INVENTORY"))</f>
        <v/>
      </c>
    </row>
    <row r="1526" customFormat="false" ht="15" hidden="false" customHeight="false" outlineLevel="0" collapsed="false">
      <c r="A1526" s="46"/>
      <c r="B1526" s="46"/>
      <c r="C1526" s="47"/>
      <c r="D1526" s="47"/>
      <c r="E1526" s="46"/>
      <c r="F1526" s="46"/>
      <c r="G1526" s="47"/>
      <c r="H1526" s="47"/>
      <c r="I1526" s="47"/>
      <c r="J1526" s="45" t="str">
        <f aca="false">IF($A1526="","",IF(COUNTIF(Accounts!$C$2:$C$201,$A1526)+COUNTIF('Service Principals'!$C$2:$C$201,$A1526)+COUNTIF('Managed Identities'!$C$2:$C$201,$A1526)&gt;0,"Yes","NOT IN INVENTORY"))</f>
        <v/>
      </c>
    </row>
    <row r="1527" customFormat="false" ht="15" hidden="false" customHeight="false" outlineLevel="0" collapsed="false">
      <c r="A1527" s="46"/>
      <c r="B1527" s="46"/>
      <c r="C1527" s="47"/>
      <c r="D1527" s="47"/>
      <c r="E1527" s="46"/>
      <c r="F1527" s="46"/>
      <c r="G1527" s="47"/>
      <c r="H1527" s="47"/>
      <c r="I1527" s="47"/>
      <c r="J1527" s="45" t="str">
        <f aca="false">IF($A1527="","",IF(COUNTIF(Accounts!$C$2:$C$201,$A1527)+COUNTIF('Service Principals'!$C$2:$C$201,$A1527)+COUNTIF('Managed Identities'!$C$2:$C$201,$A1527)&gt;0,"Yes","NOT IN INVENTORY"))</f>
        <v/>
      </c>
    </row>
    <row r="1528" customFormat="false" ht="15" hidden="false" customHeight="false" outlineLevel="0" collapsed="false">
      <c r="A1528" s="46"/>
      <c r="B1528" s="46"/>
      <c r="C1528" s="47"/>
      <c r="D1528" s="47"/>
      <c r="E1528" s="46"/>
      <c r="F1528" s="46"/>
      <c r="G1528" s="47"/>
      <c r="H1528" s="47"/>
      <c r="I1528" s="47"/>
      <c r="J1528" s="45" t="str">
        <f aca="false">IF($A1528="","",IF(COUNTIF(Accounts!$C$2:$C$201,$A1528)+COUNTIF('Service Principals'!$C$2:$C$201,$A1528)+COUNTIF('Managed Identities'!$C$2:$C$201,$A1528)&gt;0,"Yes","NOT IN INVENTORY"))</f>
        <v/>
      </c>
    </row>
    <row r="1529" customFormat="false" ht="15" hidden="false" customHeight="false" outlineLevel="0" collapsed="false">
      <c r="A1529" s="46"/>
      <c r="B1529" s="46"/>
      <c r="C1529" s="47"/>
      <c r="D1529" s="47"/>
      <c r="E1529" s="46"/>
      <c r="F1529" s="46"/>
      <c r="G1529" s="47"/>
      <c r="H1529" s="47"/>
      <c r="I1529" s="47"/>
      <c r="J1529" s="45" t="str">
        <f aca="false">IF($A1529="","",IF(COUNTIF(Accounts!$C$2:$C$201,$A1529)+COUNTIF('Service Principals'!$C$2:$C$201,$A1529)+COUNTIF('Managed Identities'!$C$2:$C$201,$A1529)&gt;0,"Yes","NOT IN INVENTORY"))</f>
        <v/>
      </c>
    </row>
    <row r="1530" customFormat="false" ht="15" hidden="false" customHeight="false" outlineLevel="0" collapsed="false">
      <c r="A1530" s="46"/>
      <c r="B1530" s="46"/>
      <c r="C1530" s="47"/>
      <c r="D1530" s="47"/>
      <c r="E1530" s="46"/>
      <c r="F1530" s="46"/>
      <c r="G1530" s="47"/>
      <c r="H1530" s="47"/>
      <c r="I1530" s="47"/>
      <c r="J1530" s="45" t="str">
        <f aca="false">IF($A1530="","",IF(COUNTIF(Accounts!$C$2:$C$201,$A1530)+COUNTIF('Service Principals'!$C$2:$C$201,$A1530)+COUNTIF('Managed Identities'!$C$2:$C$201,$A1530)&gt;0,"Yes","NOT IN INVENTORY"))</f>
        <v/>
      </c>
    </row>
    <row r="1531" customFormat="false" ht="15" hidden="false" customHeight="false" outlineLevel="0" collapsed="false">
      <c r="A1531" s="46"/>
      <c r="B1531" s="46"/>
      <c r="C1531" s="47"/>
      <c r="D1531" s="47"/>
      <c r="E1531" s="46"/>
      <c r="F1531" s="46"/>
      <c r="G1531" s="47"/>
      <c r="H1531" s="47"/>
      <c r="I1531" s="47"/>
      <c r="J1531" s="45" t="str">
        <f aca="false">IF($A1531="","",IF(COUNTIF(Accounts!$C$2:$C$201,$A1531)+COUNTIF('Service Principals'!$C$2:$C$201,$A1531)+COUNTIF('Managed Identities'!$C$2:$C$201,$A1531)&gt;0,"Yes","NOT IN INVENTORY"))</f>
        <v/>
      </c>
    </row>
    <row r="1532" customFormat="false" ht="15" hidden="false" customHeight="false" outlineLevel="0" collapsed="false">
      <c r="A1532" s="46"/>
      <c r="B1532" s="46"/>
      <c r="C1532" s="47"/>
      <c r="D1532" s="47"/>
      <c r="E1532" s="46"/>
      <c r="F1532" s="46"/>
      <c r="G1532" s="47"/>
      <c r="H1532" s="47"/>
      <c r="I1532" s="47"/>
      <c r="J1532" s="45" t="str">
        <f aca="false">IF($A1532="","",IF(COUNTIF(Accounts!$C$2:$C$201,$A1532)+COUNTIF('Service Principals'!$C$2:$C$201,$A1532)+COUNTIF('Managed Identities'!$C$2:$C$201,$A1532)&gt;0,"Yes","NOT IN INVENTORY"))</f>
        <v/>
      </c>
    </row>
    <row r="1533" customFormat="false" ht="15" hidden="false" customHeight="false" outlineLevel="0" collapsed="false">
      <c r="A1533" s="46"/>
      <c r="B1533" s="46"/>
      <c r="C1533" s="47"/>
      <c r="D1533" s="47"/>
      <c r="E1533" s="46"/>
      <c r="F1533" s="46"/>
      <c r="G1533" s="47"/>
      <c r="H1533" s="47"/>
      <c r="I1533" s="47"/>
      <c r="J1533" s="45" t="str">
        <f aca="false">IF($A1533="","",IF(COUNTIF(Accounts!$C$2:$C$201,$A1533)+COUNTIF('Service Principals'!$C$2:$C$201,$A1533)+COUNTIF('Managed Identities'!$C$2:$C$201,$A1533)&gt;0,"Yes","NOT IN INVENTORY"))</f>
        <v/>
      </c>
    </row>
    <row r="1534" customFormat="false" ht="15" hidden="false" customHeight="false" outlineLevel="0" collapsed="false">
      <c r="A1534" s="46"/>
      <c r="B1534" s="46"/>
      <c r="C1534" s="47"/>
      <c r="D1534" s="47"/>
      <c r="E1534" s="46"/>
      <c r="F1534" s="46"/>
      <c r="G1534" s="47"/>
      <c r="H1534" s="47"/>
      <c r="I1534" s="47"/>
      <c r="J1534" s="45" t="str">
        <f aca="false">IF($A1534="","",IF(COUNTIF(Accounts!$C$2:$C$201,$A1534)+COUNTIF('Service Principals'!$C$2:$C$201,$A1534)+COUNTIF('Managed Identities'!$C$2:$C$201,$A1534)&gt;0,"Yes","NOT IN INVENTORY"))</f>
        <v/>
      </c>
    </row>
    <row r="1535" customFormat="false" ht="15" hidden="false" customHeight="false" outlineLevel="0" collapsed="false">
      <c r="A1535" s="46"/>
      <c r="B1535" s="46"/>
      <c r="C1535" s="47"/>
      <c r="D1535" s="47"/>
      <c r="E1535" s="46"/>
      <c r="F1535" s="46"/>
      <c r="G1535" s="47"/>
      <c r="H1535" s="47"/>
      <c r="I1535" s="47"/>
      <c r="J1535" s="45" t="str">
        <f aca="false">IF($A1535="","",IF(COUNTIF(Accounts!$C$2:$C$201,$A1535)+COUNTIF('Service Principals'!$C$2:$C$201,$A1535)+COUNTIF('Managed Identities'!$C$2:$C$201,$A1535)&gt;0,"Yes","NOT IN INVENTORY"))</f>
        <v/>
      </c>
    </row>
    <row r="1536" customFormat="false" ht="15" hidden="false" customHeight="false" outlineLevel="0" collapsed="false">
      <c r="A1536" s="46"/>
      <c r="B1536" s="46"/>
      <c r="C1536" s="47"/>
      <c r="D1536" s="47"/>
      <c r="E1536" s="46"/>
      <c r="F1536" s="46"/>
      <c r="G1536" s="47"/>
      <c r="H1536" s="47"/>
      <c r="I1536" s="47"/>
      <c r="J1536" s="45" t="str">
        <f aca="false">IF($A1536="","",IF(COUNTIF(Accounts!$C$2:$C$201,$A1536)+COUNTIF('Service Principals'!$C$2:$C$201,$A1536)+COUNTIF('Managed Identities'!$C$2:$C$201,$A1536)&gt;0,"Yes","NOT IN INVENTORY"))</f>
        <v/>
      </c>
    </row>
    <row r="1537" customFormat="false" ht="15" hidden="false" customHeight="false" outlineLevel="0" collapsed="false">
      <c r="A1537" s="46"/>
      <c r="B1537" s="46"/>
      <c r="C1537" s="47"/>
      <c r="D1537" s="47"/>
      <c r="E1537" s="46"/>
      <c r="F1537" s="46"/>
      <c r="G1537" s="47"/>
      <c r="H1537" s="47"/>
      <c r="I1537" s="47"/>
      <c r="J1537" s="45" t="str">
        <f aca="false">IF($A1537="","",IF(COUNTIF(Accounts!$C$2:$C$201,$A1537)+COUNTIF('Service Principals'!$C$2:$C$201,$A1537)+COUNTIF('Managed Identities'!$C$2:$C$201,$A1537)&gt;0,"Yes","NOT IN INVENTORY"))</f>
        <v/>
      </c>
    </row>
    <row r="1538" customFormat="false" ht="15" hidden="false" customHeight="false" outlineLevel="0" collapsed="false">
      <c r="A1538" s="46"/>
      <c r="B1538" s="46"/>
      <c r="C1538" s="47"/>
      <c r="D1538" s="47"/>
      <c r="E1538" s="46"/>
      <c r="F1538" s="46"/>
      <c r="G1538" s="47"/>
      <c r="H1538" s="47"/>
      <c r="I1538" s="47"/>
      <c r="J1538" s="45" t="str">
        <f aca="false">IF($A1538="","",IF(COUNTIF(Accounts!$C$2:$C$201,$A1538)+COUNTIF('Service Principals'!$C$2:$C$201,$A1538)+COUNTIF('Managed Identities'!$C$2:$C$201,$A1538)&gt;0,"Yes","NOT IN INVENTORY"))</f>
        <v/>
      </c>
    </row>
    <row r="1539" customFormat="false" ht="15" hidden="false" customHeight="false" outlineLevel="0" collapsed="false">
      <c r="A1539" s="46"/>
      <c r="B1539" s="46"/>
      <c r="C1539" s="47"/>
      <c r="D1539" s="47"/>
      <c r="E1539" s="46"/>
      <c r="F1539" s="46"/>
      <c r="G1539" s="47"/>
      <c r="H1539" s="47"/>
      <c r="I1539" s="47"/>
      <c r="J1539" s="45" t="str">
        <f aca="false">IF($A1539="","",IF(COUNTIF(Accounts!$C$2:$C$201,$A1539)+COUNTIF('Service Principals'!$C$2:$C$201,$A1539)+COUNTIF('Managed Identities'!$C$2:$C$201,$A1539)&gt;0,"Yes","NOT IN INVENTORY"))</f>
        <v/>
      </c>
    </row>
    <row r="1540" customFormat="false" ht="15" hidden="false" customHeight="false" outlineLevel="0" collapsed="false">
      <c r="A1540" s="46"/>
      <c r="B1540" s="46"/>
      <c r="C1540" s="47"/>
      <c r="D1540" s="47"/>
      <c r="E1540" s="46"/>
      <c r="F1540" s="46"/>
      <c r="G1540" s="47"/>
      <c r="H1540" s="47"/>
      <c r="I1540" s="47"/>
      <c r="J1540" s="45" t="str">
        <f aca="false">IF($A1540="","",IF(COUNTIF(Accounts!$C$2:$C$201,$A1540)+COUNTIF('Service Principals'!$C$2:$C$201,$A1540)+COUNTIF('Managed Identities'!$C$2:$C$201,$A1540)&gt;0,"Yes","NOT IN INVENTORY"))</f>
        <v/>
      </c>
    </row>
    <row r="1541" customFormat="false" ht="15" hidden="false" customHeight="false" outlineLevel="0" collapsed="false">
      <c r="A1541" s="46"/>
      <c r="B1541" s="46"/>
      <c r="C1541" s="47"/>
      <c r="D1541" s="47"/>
      <c r="E1541" s="46"/>
      <c r="F1541" s="46"/>
      <c r="G1541" s="47"/>
      <c r="H1541" s="47"/>
      <c r="I1541" s="47"/>
      <c r="J1541" s="45" t="str">
        <f aca="false">IF($A1541="","",IF(COUNTIF(Accounts!$C$2:$C$201,$A1541)+COUNTIF('Service Principals'!$C$2:$C$201,$A1541)+COUNTIF('Managed Identities'!$C$2:$C$201,$A1541)&gt;0,"Yes","NOT IN INVENTORY"))</f>
        <v/>
      </c>
    </row>
    <row r="1542" customFormat="false" ht="15" hidden="false" customHeight="false" outlineLevel="0" collapsed="false">
      <c r="A1542" s="46"/>
      <c r="B1542" s="46"/>
      <c r="C1542" s="47"/>
      <c r="D1542" s="47"/>
      <c r="E1542" s="46"/>
      <c r="F1542" s="46"/>
      <c r="G1542" s="47"/>
      <c r="H1542" s="47"/>
      <c r="I1542" s="47"/>
      <c r="J1542" s="45" t="str">
        <f aca="false">IF($A1542="","",IF(COUNTIF(Accounts!$C$2:$C$201,$A1542)+COUNTIF('Service Principals'!$C$2:$C$201,$A1542)+COUNTIF('Managed Identities'!$C$2:$C$201,$A1542)&gt;0,"Yes","NOT IN INVENTORY"))</f>
        <v/>
      </c>
    </row>
    <row r="1543" customFormat="false" ht="15" hidden="false" customHeight="false" outlineLevel="0" collapsed="false">
      <c r="A1543" s="46"/>
      <c r="B1543" s="46"/>
      <c r="C1543" s="47"/>
      <c r="D1543" s="47"/>
      <c r="E1543" s="46"/>
      <c r="F1543" s="46"/>
      <c r="G1543" s="47"/>
      <c r="H1543" s="47"/>
      <c r="I1543" s="47"/>
      <c r="J1543" s="45" t="str">
        <f aca="false">IF($A1543="","",IF(COUNTIF(Accounts!$C$2:$C$201,$A1543)+COUNTIF('Service Principals'!$C$2:$C$201,$A1543)+COUNTIF('Managed Identities'!$C$2:$C$201,$A1543)&gt;0,"Yes","NOT IN INVENTORY"))</f>
        <v/>
      </c>
    </row>
    <row r="1544" customFormat="false" ht="15" hidden="false" customHeight="false" outlineLevel="0" collapsed="false">
      <c r="A1544" s="46"/>
      <c r="B1544" s="46"/>
      <c r="C1544" s="47"/>
      <c r="D1544" s="47"/>
      <c r="E1544" s="46"/>
      <c r="F1544" s="46"/>
      <c r="G1544" s="47"/>
      <c r="H1544" s="47"/>
      <c r="I1544" s="47"/>
      <c r="J1544" s="45" t="str">
        <f aca="false">IF($A1544="","",IF(COUNTIF(Accounts!$C$2:$C$201,$A1544)+COUNTIF('Service Principals'!$C$2:$C$201,$A1544)+COUNTIF('Managed Identities'!$C$2:$C$201,$A1544)&gt;0,"Yes","NOT IN INVENTORY"))</f>
        <v/>
      </c>
    </row>
    <row r="1545" customFormat="false" ht="15" hidden="false" customHeight="false" outlineLevel="0" collapsed="false">
      <c r="A1545" s="46"/>
      <c r="B1545" s="46"/>
      <c r="C1545" s="47"/>
      <c r="D1545" s="47"/>
      <c r="E1545" s="46"/>
      <c r="F1545" s="46"/>
      <c r="G1545" s="47"/>
      <c r="H1545" s="47"/>
      <c r="I1545" s="47"/>
      <c r="J1545" s="45" t="str">
        <f aca="false">IF($A1545="","",IF(COUNTIF(Accounts!$C$2:$C$201,$A1545)+COUNTIF('Service Principals'!$C$2:$C$201,$A1545)+COUNTIF('Managed Identities'!$C$2:$C$201,$A1545)&gt;0,"Yes","NOT IN INVENTORY"))</f>
        <v/>
      </c>
    </row>
    <row r="1546" customFormat="false" ht="15" hidden="false" customHeight="false" outlineLevel="0" collapsed="false">
      <c r="A1546" s="46"/>
      <c r="B1546" s="46"/>
      <c r="C1546" s="47"/>
      <c r="D1546" s="47"/>
      <c r="E1546" s="46"/>
      <c r="F1546" s="46"/>
      <c r="G1546" s="47"/>
      <c r="H1546" s="47"/>
      <c r="I1546" s="47"/>
      <c r="J1546" s="45" t="str">
        <f aca="false">IF($A1546="","",IF(COUNTIF(Accounts!$C$2:$C$201,$A1546)+COUNTIF('Service Principals'!$C$2:$C$201,$A1546)+COUNTIF('Managed Identities'!$C$2:$C$201,$A1546)&gt;0,"Yes","NOT IN INVENTORY"))</f>
        <v/>
      </c>
    </row>
    <row r="1547" customFormat="false" ht="15" hidden="false" customHeight="false" outlineLevel="0" collapsed="false">
      <c r="A1547" s="46"/>
      <c r="B1547" s="46"/>
      <c r="C1547" s="47"/>
      <c r="D1547" s="47"/>
      <c r="E1547" s="46"/>
      <c r="F1547" s="46"/>
      <c r="G1547" s="47"/>
      <c r="H1547" s="47"/>
      <c r="I1547" s="47"/>
      <c r="J1547" s="45" t="str">
        <f aca="false">IF($A1547="","",IF(COUNTIF(Accounts!$C$2:$C$201,$A1547)+COUNTIF('Service Principals'!$C$2:$C$201,$A1547)+COUNTIF('Managed Identities'!$C$2:$C$201,$A1547)&gt;0,"Yes","NOT IN INVENTORY"))</f>
        <v/>
      </c>
    </row>
    <row r="1548" customFormat="false" ht="15" hidden="false" customHeight="false" outlineLevel="0" collapsed="false">
      <c r="A1548" s="46"/>
      <c r="B1548" s="46"/>
      <c r="C1548" s="47"/>
      <c r="D1548" s="47"/>
      <c r="E1548" s="46"/>
      <c r="F1548" s="46"/>
      <c r="G1548" s="47"/>
      <c r="H1548" s="47"/>
      <c r="I1548" s="47"/>
      <c r="J1548" s="45" t="str">
        <f aca="false">IF($A1548="","",IF(COUNTIF(Accounts!$C$2:$C$201,$A1548)+COUNTIF('Service Principals'!$C$2:$C$201,$A1548)+COUNTIF('Managed Identities'!$C$2:$C$201,$A1548)&gt;0,"Yes","NOT IN INVENTORY"))</f>
        <v/>
      </c>
    </row>
    <row r="1549" customFormat="false" ht="15" hidden="false" customHeight="false" outlineLevel="0" collapsed="false">
      <c r="A1549" s="46"/>
      <c r="B1549" s="46"/>
      <c r="C1549" s="47"/>
      <c r="D1549" s="47"/>
      <c r="E1549" s="46"/>
      <c r="F1549" s="46"/>
      <c r="G1549" s="47"/>
      <c r="H1549" s="47"/>
      <c r="I1549" s="47"/>
      <c r="J1549" s="45" t="str">
        <f aca="false">IF($A1549="","",IF(COUNTIF(Accounts!$C$2:$C$201,$A1549)+COUNTIF('Service Principals'!$C$2:$C$201,$A1549)+COUNTIF('Managed Identities'!$C$2:$C$201,$A1549)&gt;0,"Yes","NOT IN INVENTORY"))</f>
        <v/>
      </c>
    </row>
    <row r="1550" customFormat="false" ht="15" hidden="false" customHeight="false" outlineLevel="0" collapsed="false">
      <c r="A1550" s="46"/>
      <c r="B1550" s="46"/>
      <c r="C1550" s="47"/>
      <c r="D1550" s="47"/>
      <c r="E1550" s="46"/>
      <c r="F1550" s="46"/>
      <c r="G1550" s="47"/>
      <c r="H1550" s="47"/>
      <c r="I1550" s="47"/>
      <c r="J1550" s="45" t="str">
        <f aca="false">IF($A1550="","",IF(COUNTIF(Accounts!$C$2:$C$201,$A1550)+COUNTIF('Service Principals'!$C$2:$C$201,$A1550)+COUNTIF('Managed Identities'!$C$2:$C$201,$A1550)&gt;0,"Yes","NOT IN INVENTORY"))</f>
        <v/>
      </c>
    </row>
    <row r="1551" customFormat="false" ht="15" hidden="false" customHeight="false" outlineLevel="0" collapsed="false">
      <c r="A1551" s="46"/>
      <c r="B1551" s="46"/>
      <c r="C1551" s="47"/>
      <c r="D1551" s="47"/>
      <c r="E1551" s="46"/>
      <c r="F1551" s="46"/>
      <c r="G1551" s="47"/>
      <c r="H1551" s="47"/>
      <c r="I1551" s="47"/>
      <c r="J1551" s="45" t="str">
        <f aca="false">IF($A1551="","",IF(COUNTIF(Accounts!$C$2:$C$201,$A1551)+COUNTIF('Service Principals'!$C$2:$C$201,$A1551)+COUNTIF('Managed Identities'!$C$2:$C$201,$A1551)&gt;0,"Yes","NOT IN INVENTORY"))</f>
        <v/>
      </c>
    </row>
    <row r="1552" customFormat="false" ht="15" hidden="false" customHeight="false" outlineLevel="0" collapsed="false">
      <c r="A1552" s="46"/>
      <c r="B1552" s="46"/>
      <c r="C1552" s="47"/>
      <c r="D1552" s="47"/>
      <c r="E1552" s="46"/>
      <c r="F1552" s="46"/>
      <c r="G1552" s="47"/>
      <c r="H1552" s="47"/>
      <c r="I1552" s="47"/>
      <c r="J1552" s="45" t="str">
        <f aca="false">IF($A1552="","",IF(COUNTIF(Accounts!$C$2:$C$201,$A1552)+COUNTIF('Service Principals'!$C$2:$C$201,$A1552)+COUNTIF('Managed Identities'!$C$2:$C$201,$A1552)&gt;0,"Yes","NOT IN INVENTORY"))</f>
        <v/>
      </c>
    </row>
    <row r="1553" customFormat="false" ht="15" hidden="false" customHeight="false" outlineLevel="0" collapsed="false">
      <c r="A1553" s="46"/>
      <c r="B1553" s="46"/>
      <c r="C1553" s="47"/>
      <c r="D1553" s="47"/>
      <c r="E1553" s="46"/>
      <c r="F1553" s="46"/>
      <c r="G1553" s="47"/>
      <c r="H1553" s="47"/>
      <c r="I1553" s="47"/>
      <c r="J1553" s="45" t="str">
        <f aca="false">IF($A1553="","",IF(COUNTIF(Accounts!$C$2:$C$201,$A1553)+COUNTIF('Service Principals'!$C$2:$C$201,$A1553)+COUNTIF('Managed Identities'!$C$2:$C$201,$A1553)&gt;0,"Yes","NOT IN INVENTORY"))</f>
        <v/>
      </c>
    </row>
    <row r="1554" customFormat="false" ht="15" hidden="false" customHeight="false" outlineLevel="0" collapsed="false">
      <c r="A1554" s="46"/>
      <c r="B1554" s="46"/>
      <c r="C1554" s="47"/>
      <c r="D1554" s="47"/>
      <c r="E1554" s="46"/>
      <c r="F1554" s="46"/>
      <c r="G1554" s="47"/>
      <c r="H1554" s="47"/>
      <c r="I1554" s="47"/>
      <c r="J1554" s="45" t="str">
        <f aca="false">IF($A1554="","",IF(COUNTIF(Accounts!$C$2:$C$201,$A1554)+COUNTIF('Service Principals'!$C$2:$C$201,$A1554)+COUNTIF('Managed Identities'!$C$2:$C$201,$A1554)&gt;0,"Yes","NOT IN INVENTORY"))</f>
        <v/>
      </c>
    </row>
    <row r="1555" customFormat="false" ht="15" hidden="false" customHeight="false" outlineLevel="0" collapsed="false">
      <c r="A1555" s="46"/>
      <c r="B1555" s="46"/>
      <c r="C1555" s="47"/>
      <c r="D1555" s="47"/>
      <c r="E1555" s="46"/>
      <c r="F1555" s="46"/>
      <c r="G1555" s="47"/>
      <c r="H1555" s="47"/>
      <c r="I1555" s="47"/>
      <c r="J1555" s="45" t="str">
        <f aca="false">IF($A1555="","",IF(COUNTIF(Accounts!$C$2:$C$201,$A1555)+COUNTIF('Service Principals'!$C$2:$C$201,$A1555)+COUNTIF('Managed Identities'!$C$2:$C$201,$A1555)&gt;0,"Yes","NOT IN INVENTORY"))</f>
        <v/>
      </c>
    </row>
    <row r="1556" customFormat="false" ht="15" hidden="false" customHeight="false" outlineLevel="0" collapsed="false">
      <c r="A1556" s="46"/>
      <c r="B1556" s="46"/>
      <c r="C1556" s="47"/>
      <c r="D1556" s="47"/>
      <c r="E1556" s="46"/>
      <c r="F1556" s="46"/>
      <c r="G1556" s="47"/>
      <c r="H1556" s="47"/>
      <c r="I1556" s="47"/>
      <c r="J1556" s="45" t="str">
        <f aca="false">IF($A1556="","",IF(COUNTIF(Accounts!$C$2:$C$201,$A1556)+COUNTIF('Service Principals'!$C$2:$C$201,$A1556)+COUNTIF('Managed Identities'!$C$2:$C$201,$A1556)&gt;0,"Yes","NOT IN INVENTORY"))</f>
        <v/>
      </c>
    </row>
    <row r="1557" customFormat="false" ht="15" hidden="false" customHeight="false" outlineLevel="0" collapsed="false">
      <c r="A1557" s="46"/>
      <c r="B1557" s="46"/>
      <c r="C1557" s="47"/>
      <c r="D1557" s="47"/>
      <c r="E1557" s="46"/>
      <c r="F1557" s="46"/>
      <c r="G1557" s="47"/>
      <c r="H1557" s="47"/>
      <c r="I1557" s="47"/>
      <c r="J1557" s="45" t="str">
        <f aca="false">IF($A1557="","",IF(COUNTIF(Accounts!$C$2:$C$201,$A1557)+COUNTIF('Service Principals'!$C$2:$C$201,$A1557)+COUNTIF('Managed Identities'!$C$2:$C$201,$A1557)&gt;0,"Yes","NOT IN INVENTORY"))</f>
        <v/>
      </c>
    </row>
    <row r="1558" customFormat="false" ht="15" hidden="false" customHeight="false" outlineLevel="0" collapsed="false">
      <c r="A1558" s="46"/>
      <c r="B1558" s="46"/>
      <c r="C1558" s="47"/>
      <c r="D1558" s="47"/>
      <c r="E1558" s="46"/>
      <c r="F1558" s="46"/>
      <c r="G1558" s="47"/>
      <c r="H1558" s="47"/>
      <c r="I1558" s="47"/>
      <c r="J1558" s="45" t="str">
        <f aca="false">IF($A1558="","",IF(COUNTIF(Accounts!$C$2:$C$201,$A1558)+COUNTIF('Service Principals'!$C$2:$C$201,$A1558)+COUNTIF('Managed Identities'!$C$2:$C$201,$A1558)&gt;0,"Yes","NOT IN INVENTORY"))</f>
        <v/>
      </c>
    </row>
    <row r="1559" customFormat="false" ht="15" hidden="false" customHeight="false" outlineLevel="0" collapsed="false">
      <c r="A1559" s="46"/>
      <c r="B1559" s="46"/>
      <c r="C1559" s="47"/>
      <c r="D1559" s="47"/>
      <c r="E1559" s="46"/>
      <c r="F1559" s="46"/>
      <c r="G1559" s="47"/>
      <c r="H1559" s="47"/>
      <c r="I1559" s="47"/>
      <c r="J1559" s="45" t="str">
        <f aca="false">IF($A1559="","",IF(COUNTIF(Accounts!$C$2:$C$201,$A1559)+COUNTIF('Service Principals'!$C$2:$C$201,$A1559)+COUNTIF('Managed Identities'!$C$2:$C$201,$A1559)&gt;0,"Yes","NOT IN INVENTORY"))</f>
        <v/>
      </c>
    </row>
    <row r="1560" customFormat="false" ht="15" hidden="false" customHeight="false" outlineLevel="0" collapsed="false">
      <c r="A1560" s="46"/>
      <c r="B1560" s="46"/>
      <c r="C1560" s="47"/>
      <c r="D1560" s="47"/>
      <c r="E1560" s="46"/>
      <c r="F1560" s="46"/>
      <c r="G1560" s="47"/>
      <c r="H1560" s="47"/>
      <c r="I1560" s="47"/>
      <c r="J1560" s="45" t="str">
        <f aca="false">IF($A1560="","",IF(COUNTIF(Accounts!$C$2:$C$201,$A1560)+COUNTIF('Service Principals'!$C$2:$C$201,$A1560)+COUNTIF('Managed Identities'!$C$2:$C$201,$A1560)&gt;0,"Yes","NOT IN INVENTORY"))</f>
        <v/>
      </c>
    </row>
    <row r="1561" customFormat="false" ht="15" hidden="false" customHeight="false" outlineLevel="0" collapsed="false">
      <c r="A1561" s="46"/>
      <c r="B1561" s="46"/>
      <c r="C1561" s="47"/>
      <c r="D1561" s="47"/>
      <c r="E1561" s="46"/>
      <c r="F1561" s="46"/>
      <c r="G1561" s="47"/>
      <c r="H1561" s="47"/>
      <c r="I1561" s="47"/>
      <c r="J1561" s="45" t="str">
        <f aca="false">IF($A1561="","",IF(COUNTIF(Accounts!$C$2:$C$201,$A1561)+COUNTIF('Service Principals'!$C$2:$C$201,$A1561)+COUNTIF('Managed Identities'!$C$2:$C$201,$A1561)&gt;0,"Yes","NOT IN INVENTORY"))</f>
        <v/>
      </c>
    </row>
    <row r="1562" customFormat="false" ht="15" hidden="false" customHeight="false" outlineLevel="0" collapsed="false">
      <c r="A1562" s="46"/>
      <c r="B1562" s="46"/>
      <c r="C1562" s="47"/>
      <c r="D1562" s="47"/>
      <c r="E1562" s="46"/>
      <c r="F1562" s="46"/>
      <c r="G1562" s="47"/>
      <c r="H1562" s="47"/>
      <c r="I1562" s="47"/>
      <c r="J1562" s="45" t="str">
        <f aca="false">IF($A1562="","",IF(COUNTIF(Accounts!$C$2:$C$201,$A1562)+COUNTIF('Service Principals'!$C$2:$C$201,$A1562)+COUNTIF('Managed Identities'!$C$2:$C$201,$A1562)&gt;0,"Yes","NOT IN INVENTORY"))</f>
        <v/>
      </c>
    </row>
    <row r="1563" customFormat="false" ht="15" hidden="false" customHeight="false" outlineLevel="0" collapsed="false">
      <c r="A1563" s="46"/>
      <c r="B1563" s="46"/>
      <c r="C1563" s="47"/>
      <c r="D1563" s="47"/>
      <c r="E1563" s="46"/>
      <c r="F1563" s="46"/>
      <c r="G1563" s="47"/>
      <c r="H1563" s="47"/>
      <c r="I1563" s="47"/>
      <c r="J1563" s="45" t="str">
        <f aca="false">IF($A1563="","",IF(COUNTIF(Accounts!$C$2:$C$201,$A1563)+COUNTIF('Service Principals'!$C$2:$C$201,$A1563)+COUNTIF('Managed Identities'!$C$2:$C$201,$A1563)&gt;0,"Yes","NOT IN INVENTORY"))</f>
        <v/>
      </c>
    </row>
    <row r="1564" customFormat="false" ht="15" hidden="false" customHeight="false" outlineLevel="0" collapsed="false">
      <c r="A1564" s="46"/>
      <c r="B1564" s="46"/>
      <c r="C1564" s="47"/>
      <c r="D1564" s="47"/>
      <c r="E1564" s="46"/>
      <c r="F1564" s="46"/>
      <c r="G1564" s="47"/>
      <c r="H1564" s="47"/>
      <c r="I1564" s="47"/>
      <c r="J1564" s="45" t="str">
        <f aca="false">IF($A1564="","",IF(COUNTIF(Accounts!$C$2:$C$201,$A1564)+COUNTIF('Service Principals'!$C$2:$C$201,$A1564)+COUNTIF('Managed Identities'!$C$2:$C$201,$A1564)&gt;0,"Yes","NOT IN INVENTORY"))</f>
        <v/>
      </c>
    </row>
    <row r="1565" customFormat="false" ht="15" hidden="false" customHeight="false" outlineLevel="0" collapsed="false">
      <c r="A1565" s="46"/>
      <c r="B1565" s="46"/>
      <c r="C1565" s="47"/>
      <c r="D1565" s="47"/>
      <c r="E1565" s="46"/>
      <c r="F1565" s="46"/>
      <c r="G1565" s="47"/>
      <c r="H1565" s="47"/>
      <c r="I1565" s="47"/>
      <c r="J1565" s="45" t="str">
        <f aca="false">IF($A1565="","",IF(COUNTIF(Accounts!$C$2:$C$201,$A1565)+COUNTIF('Service Principals'!$C$2:$C$201,$A1565)+COUNTIF('Managed Identities'!$C$2:$C$201,$A1565)&gt;0,"Yes","NOT IN INVENTORY"))</f>
        <v/>
      </c>
    </row>
    <row r="1566" customFormat="false" ht="15" hidden="false" customHeight="false" outlineLevel="0" collapsed="false">
      <c r="A1566" s="46"/>
      <c r="B1566" s="46"/>
      <c r="C1566" s="47"/>
      <c r="D1566" s="47"/>
      <c r="E1566" s="46"/>
      <c r="F1566" s="46"/>
      <c r="G1566" s="47"/>
      <c r="H1566" s="47"/>
      <c r="I1566" s="47"/>
      <c r="J1566" s="45" t="str">
        <f aca="false">IF($A1566="","",IF(COUNTIF(Accounts!$C$2:$C$201,$A1566)+COUNTIF('Service Principals'!$C$2:$C$201,$A1566)+COUNTIF('Managed Identities'!$C$2:$C$201,$A1566)&gt;0,"Yes","NOT IN INVENTORY"))</f>
        <v/>
      </c>
    </row>
    <row r="1567" customFormat="false" ht="15" hidden="false" customHeight="false" outlineLevel="0" collapsed="false">
      <c r="A1567" s="46"/>
      <c r="B1567" s="46"/>
      <c r="C1567" s="47"/>
      <c r="D1567" s="47"/>
      <c r="E1567" s="46"/>
      <c r="F1567" s="46"/>
      <c r="G1567" s="47"/>
      <c r="H1567" s="47"/>
      <c r="I1567" s="47"/>
      <c r="J1567" s="45" t="str">
        <f aca="false">IF($A1567="","",IF(COUNTIF(Accounts!$C$2:$C$201,$A1567)+COUNTIF('Service Principals'!$C$2:$C$201,$A1567)+COUNTIF('Managed Identities'!$C$2:$C$201,$A1567)&gt;0,"Yes","NOT IN INVENTORY"))</f>
        <v/>
      </c>
    </row>
    <row r="1568" customFormat="false" ht="15" hidden="false" customHeight="false" outlineLevel="0" collapsed="false">
      <c r="A1568" s="46"/>
      <c r="B1568" s="46"/>
      <c r="C1568" s="47"/>
      <c r="D1568" s="47"/>
      <c r="E1568" s="46"/>
      <c r="F1568" s="46"/>
      <c r="G1568" s="47"/>
      <c r="H1568" s="47"/>
      <c r="I1568" s="47"/>
      <c r="J1568" s="45" t="str">
        <f aca="false">IF($A1568="","",IF(COUNTIF(Accounts!$C$2:$C$201,$A1568)+COUNTIF('Service Principals'!$C$2:$C$201,$A1568)+COUNTIF('Managed Identities'!$C$2:$C$201,$A1568)&gt;0,"Yes","NOT IN INVENTORY"))</f>
        <v/>
      </c>
    </row>
    <row r="1569" customFormat="false" ht="15" hidden="false" customHeight="false" outlineLevel="0" collapsed="false">
      <c r="A1569" s="46"/>
      <c r="B1569" s="46"/>
      <c r="C1569" s="47"/>
      <c r="D1569" s="47"/>
      <c r="E1569" s="46"/>
      <c r="F1569" s="46"/>
      <c r="G1569" s="47"/>
      <c r="H1569" s="47"/>
      <c r="I1569" s="47"/>
      <c r="J1569" s="45" t="str">
        <f aca="false">IF($A1569="","",IF(COUNTIF(Accounts!$C$2:$C$201,$A1569)+COUNTIF('Service Principals'!$C$2:$C$201,$A1569)+COUNTIF('Managed Identities'!$C$2:$C$201,$A1569)&gt;0,"Yes","NOT IN INVENTORY"))</f>
        <v/>
      </c>
    </row>
    <row r="1570" customFormat="false" ht="15" hidden="false" customHeight="false" outlineLevel="0" collapsed="false">
      <c r="A1570" s="46"/>
      <c r="B1570" s="46"/>
      <c r="C1570" s="47"/>
      <c r="D1570" s="47"/>
      <c r="E1570" s="46"/>
      <c r="F1570" s="46"/>
      <c r="G1570" s="47"/>
      <c r="H1570" s="47"/>
      <c r="I1570" s="47"/>
      <c r="J1570" s="45" t="str">
        <f aca="false">IF($A1570="","",IF(COUNTIF(Accounts!$C$2:$C$201,$A1570)+COUNTIF('Service Principals'!$C$2:$C$201,$A1570)+COUNTIF('Managed Identities'!$C$2:$C$201,$A1570)&gt;0,"Yes","NOT IN INVENTORY"))</f>
        <v/>
      </c>
    </row>
    <row r="1571" customFormat="false" ht="15" hidden="false" customHeight="false" outlineLevel="0" collapsed="false">
      <c r="A1571" s="46"/>
      <c r="B1571" s="46"/>
      <c r="C1571" s="47"/>
      <c r="D1571" s="47"/>
      <c r="E1571" s="46"/>
      <c r="F1571" s="46"/>
      <c r="G1571" s="47"/>
      <c r="H1571" s="47"/>
      <c r="I1571" s="47"/>
      <c r="J1571" s="45" t="str">
        <f aca="false">IF($A1571="","",IF(COUNTIF(Accounts!$C$2:$C$201,$A1571)+COUNTIF('Service Principals'!$C$2:$C$201,$A1571)+COUNTIF('Managed Identities'!$C$2:$C$201,$A1571)&gt;0,"Yes","NOT IN INVENTORY"))</f>
        <v/>
      </c>
    </row>
    <row r="1572" customFormat="false" ht="15" hidden="false" customHeight="false" outlineLevel="0" collapsed="false">
      <c r="A1572" s="46"/>
      <c r="B1572" s="46"/>
      <c r="C1572" s="47"/>
      <c r="D1572" s="47"/>
      <c r="E1572" s="46"/>
      <c r="F1572" s="46"/>
      <c r="G1572" s="47"/>
      <c r="H1572" s="47"/>
      <c r="I1572" s="47"/>
      <c r="J1572" s="45" t="str">
        <f aca="false">IF($A1572="","",IF(COUNTIF(Accounts!$C$2:$C$201,$A1572)+COUNTIF('Service Principals'!$C$2:$C$201,$A1572)+COUNTIF('Managed Identities'!$C$2:$C$201,$A1572)&gt;0,"Yes","NOT IN INVENTORY"))</f>
        <v/>
      </c>
    </row>
    <row r="1573" customFormat="false" ht="15" hidden="false" customHeight="false" outlineLevel="0" collapsed="false">
      <c r="A1573" s="46"/>
      <c r="B1573" s="46"/>
      <c r="C1573" s="47"/>
      <c r="D1573" s="47"/>
      <c r="E1573" s="46"/>
      <c r="F1573" s="46"/>
      <c r="G1573" s="47"/>
      <c r="H1573" s="47"/>
      <c r="I1573" s="47"/>
      <c r="J1573" s="45" t="str">
        <f aca="false">IF($A1573="","",IF(COUNTIF(Accounts!$C$2:$C$201,$A1573)+COUNTIF('Service Principals'!$C$2:$C$201,$A1573)+COUNTIF('Managed Identities'!$C$2:$C$201,$A1573)&gt;0,"Yes","NOT IN INVENTORY"))</f>
        <v/>
      </c>
    </row>
    <row r="1574" customFormat="false" ht="15" hidden="false" customHeight="false" outlineLevel="0" collapsed="false">
      <c r="A1574" s="46"/>
      <c r="B1574" s="46"/>
      <c r="C1574" s="47"/>
      <c r="D1574" s="47"/>
      <c r="E1574" s="46"/>
      <c r="F1574" s="46"/>
      <c r="G1574" s="47"/>
      <c r="H1574" s="47"/>
      <c r="I1574" s="47"/>
      <c r="J1574" s="45" t="str">
        <f aca="false">IF($A1574="","",IF(COUNTIF(Accounts!$C$2:$C$201,$A1574)+COUNTIF('Service Principals'!$C$2:$C$201,$A1574)+COUNTIF('Managed Identities'!$C$2:$C$201,$A1574)&gt;0,"Yes","NOT IN INVENTORY"))</f>
        <v/>
      </c>
    </row>
    <row r="1575" customFormat="false" ht="15" hidden="false" customHeight="false" outlineLevel="0" collapsed="false">
      <c r="A1575" s="46"/>
      <c r="B1575" s="46"/>
      <c r="C1575" s="47"/>
      <c r="D1575" s="47"/>
      <c r="E1575" s="46"/>
      <c r="F1575" s="46"/>
      <c r="G1575" s="47"/>
      <c r="H1575" s="47"/>
      <c r="I1575" s="47"/>
      <c r="J1575" s="45" t="str">
        <f aca="false">IF($A1575="","",IF(COUNTIF(Accounts!$C$2:$C$201,$A1575)+COUNTIF('Service Principals'!$C$2:$C$201,$A1575)+COUNTIF('Managed Identities'!$C$2:$C$201,$A1575)&gt;0,"Yes","NOT IN INVENTORY"))</f>
        <v/>
      </c>
    </row>
    <row r="1576" customFormat="false" ht="15" hidden="false" customHeight="false" outlineLevel="0" collapsed="false">
      <c r="A1576" s="46"/>
      <c r="B1576" s="46"/>
      <c r="C1576" s="47"/>
      <c r="D1576" s="47"/>
      <c r="E1576" s="46"/>
      <c r="F1576" s="46"/>
      <c r="G1576" s="47"/>
      <c r="H1576" s="47"/>
      <c r="I1576" s="47"/>
      <c r="J1576" s="45" t="str">
        <f aca="false">IF($A1576="","",IF(COUNTIF(Accounts!$C$2:$C$201,$A1576)+COUNTIF('Service Principals'!$C$2:$C$201,$A1576)+COUNTIF('Managed Identities'!$C$2:$C$201,$A1576)&gt;0,"Yes","NOT IN INVENTORY"))</f>
        <v/>
      </c>
    </row>
    <row r="1577" customFormat="false" ht="15" hidden="false" customHeight="false" outlineLevel="0" collapsed="false">
      <c r="A1577" s="46"/>
      <c r="B1577" s="46"/>
      <c r="C1577" s="47"/>
      <c r="D1577" s="47"/>
      <c r="E1577" s="46"/>
      <c r="F1577" s="46"/>
      <c r="G1577" s="47"/>
      <c r="H1577" s="47"/>
      <c r="I1577" s="47"/>
      <c r="J1577" s="45" t="str">
        <f aca="false">IF($A1577="","",IF(COUNTIF(Accounts!$C$2:$C$201,$A1577)+COUNTIF('Service Principals'!$C$2:$C$201,$A1577)+COUNTIF('Managed Identities'!$C$2:$C$201,$A1577)&gt;0,"Yes","NOT IN INVENTORY"))</f>
        <v/>
      </c>
    </row>
    <row r="1578" customFormat="false" ht="15" hidden="false" customHeight="false" outlineLevel="0" collapsed="false">
      <c r="A1578" s="46"/>
      <c r="B1578" s="46"/>
      <c r="C1578" s="47"/>
      <c r="D1578" s="47"/>
      <c r="E1578" s="46"/>
      <c r="F1578" s="46"/>
      <c r="G1578" s="47"/>
      <c r="H1578" s="47"/>
      <c r="I1578" s="47"/>
      <c r="J1578" s="45" t="str">
        <f aca="false">IF($A1578="","",IF(COUNTIF(Accounts!$C$2:$C$201,$A1578)+COUNTIF('Service Principals'!$C$2:$C$201,$A1578)+COUNTIF('Managed Identities'!$C$2:$C$201,$A1578)&gt;0,"Yes","NOT IN INVENTORY"))</f>
        <v/>
      </c>
    </row>
    <row r="1579" customFormat="false" ht="15" hidden="false" customHeight="false" outlineLevel="0" collapsed="false">
      <c r="A1579" s="46"/>
      <c r="B1579" s="46"/>
      <c r="C1579" s="47"/>
      <c r="D1579" s="47"/>
      <c r="E1579" s="46"/>
      <c r="F1579" s="46"/>
      <c r="G1579" s="47"/>
      <c r="H1579" s="47"/>
      <c r="I1579" s="47"/>
      <c r="J1579" s="45" t="str">
        <f aca="false">IF($A1579="","",IF(COUNTIF(Accounts!$C$2:$C$201,$A1579)+COUNTIF('Service Principals'!$C$2:$C$201,$A1579)+COUNTIF('Managed Identities'!$C$2:$C$201,$A1579)&gt;0,"Yes","NOT IN INVENTORY"))</f>
        <v/>
      </c>
    </row>
    <row r="1580" customFormat="false" ht="15" hidden="false" customHeight="false" outlineLevel="0" collapsed="false">
      <c r="A1580" s="46"/>
      <c r="B1580" s="46"/>
      <c r="C1580" s="47"/>
      <c r="D1580" s="47"/>
      <c r="E1580" s="46"/>
      <c r="F1580" s="46"/>
      <c r="G1580" s="47"/>
      <c r="H1580" s="47"/>
      <c r="I1580" s="47"/>
      <c r="J1580" s="45" t="str">
        <f aca="false">IF($A1580="","",IF(COUNTIF(Accounts!$C$2:$C$201,$A1580)+COUNTIF('Service Principals'!$C$2:$C$201,$A1580)+COUNTIF('Managed Identities'!$C$2:$C$201,$A1580)&gt;0,"Yes","NOT IN INVENTORY"))</f>
        <v/>
      </c>
    </row>
    <row r="1581" customFormat="false" ht="15" hidden="false" customHeight="false" outlineLevel="0" collapsed="false">
      <c r="A1581" s="46"/>
      <c r="B1581" s="46"/>
      <c r="C1581" s="47"/>
      <c r="D1581" s="47"/>
      <c r="E1581" s="46"/>
      <c r="F1581" s="46"/>
      <c r="G1581" s="47"/>
      <c r="H1581" s="47"/>
      <c r="I1581" s="47"/>
      <c r="J1581" s="45" t="str">
        <f aca="false">IF($A1581="","",IF(COUNTIF(Accounts!$C$2:$C$201,$A1581)+COUNTIF('Service Principals'!$C$2:$C$201,$A1581)+COUNTIF('Managed Identities'!$C$2:$C$201,$A1581)&gt;0,"Yes","NOT IN INVENTORY"))</f>
        <v/>
      </c>
    </row>
    <row r="1582" customFormat="false" ht="15" hidden="false" customHeight="false" outlineLevel="0" collapsed="false">
      <c r="A1582" s="46"/>
      <c r="B1582" s="46"/>
      <c r="C1582" s="47"/>
      <c r="D1582" s="47"/>
      <c r="E1582" s="46"/>
      <c r="F1582" s="46"/>
      <c r="G1582" s="47"/>
      <c r="H1582" s="47"/>
      <c r="I1582" s="47"/>
      <c r="J1582" s="45" t="str">
        <f aca="false">IF($A1582="","",IF(COUNTIF(Accounts!$C$2:$C$201,$A1582)+COUNTIF('Service Principals'!$C$2:$C$201,$A1582)+COUNTIF('Managed Identities'!$C$2:$C$201,$A1582)&gt;0,"Yes","NOT IN INVENTORY"))</f>
        <v/>
      </c>
    </row>
    <row r="1583" customFormat="false" ht="15" hidden="false" customHeight="false" outlineLevel="0" collapsed="false">
      <c r="A1583" s="46"/>
      <c r="B1583" s="46"/>
      <c r="C1583" s="47"/>
      <c r="D1583" s="47"/>
      <c r="E1583" s="46"/>
      <c r="F1583" s="46"/>
      <c r="G1583" s="47"/>
      <c r="H1583" s="47"/>
      <c r="I1583" s="47"/>
      <c r="J1583" s="45" t="str">
        <f aca="false">IF($A1583="","",IF(COUNTIF(Accounts!$C$2:$C$201,$A1583)+COUNTIF('Service Principals'!$C$2:$C$201,$A1583)+COUNTIF('Managed Identities'!$C$2:$C$201,$A1583)&gt;0,"Yes","NOT IN INVENTORY"))</f>
        <v/>
      </c>
    </row>
    <row r="1584" customFormat="false" ht="15" hidden="false" customHeight="false" outlineLevel="0" collapsed="false">
      <c r="A1584" s="46"/>
      <c r="B1584" s="46"/>
      <c r="C1584" s="47"/>
      <c r="D1584" s="47"/>
      <c r="E1584" s="46"/>
      <c r="F1584" s="46"/>
      <c r="G1584" s="47"/>
      <c r="H1584" s="47"/>
      <c r="I1584" s="47"/>
      <c r="J1584" s="45" t="str">
        <f aca="false">IF($A1584="","",IF(COUNTIF(Accounts!$C$2:$C$201,$A1584)+COUNTIF('Service Principals'!$C$2:$C$201,$A1584)+COUNTIF('Managed Identities'!$C$2:$C$201,$A1584)&gt;0,"Yes","NOT IN INVENTORY"))</f>
        <v/>
      </c>
    </row>
    <row r="1585" customFormat="false" ht="15" hidden="false" customHeight="false" outlineLevel="0" collapsed="false">
      <c r="A1585" s="46"/>
      <c r="B1585" s="46"/>
      <c r="C1585" s="47"/>
      <c r="D1585" s="47"/>
      <c r="E1585" s="46"/>
      <c r="F1585" s="46"/>
      <c r="G1585" s="47"/>
      <c r="H1585" s="47"/>
      <c r="I1585" s="47"/>
      <c r="J1585" s="45" t="str">
        <f aca="false">IF($A1585="","",IF(COUNTIF(Accounts!$C$2:$C$201,$A1585)+COUNTIF('Service Principals'!$C$2:$C$201,$A1585)+COUNTIF('Managed Identities'!$C$2:$C$201,$A1585)&gt;0,"Yes","NOT IN INVENTORY"))</f>
        <v/>
      </c>
    </row>
    <row r="1586" customFormat="false" ht="15" hidden="false" customHeight="false" outlineLevel="0" collapsed="false">
      <c r="A1586" s="46"/>
      <c r="B1586" s="46"/>
      <c r="C1586" s="47"/>
      <c r="D1586" s="47"/>
      <c r="E1586" s="46"/>
      <c r="F1586" s="46"/>
      <c r="G1586" s="47"/>
      <c r="H1586" s="47"/>
      <c r="I1586" s="47"/>
      <c r="J1586" s="45" t="str">
        <f aca="false">IF($A1586="","",IF(COUNTIF(Accounts!$C$2:$C$201,$A1586)+COUNTIF('Service Principals'!$C$2:$C$201,$A1586)+COUNTIF('Managed Identities'!$C$2:$C$201,$A1586)&gt;0,"Yes","NOT IN INVENTORY"))</f>
        <v/>
      </c>
    </row>
    <row r="1587" customFormat="false" ht="15" hidden="false" customHeight="false" outlineLevel="0" collapsed="false">
      <c r="A1587" s="46"/>
      <c r="B1587" s="46"/>
      <c r="C1587" s="47"/>
      <c r="D1587" s="47"/>
      <c r="E1587" s="46"/>
      <c r="F1587" s="46"/>
      <c r="G1587" s="47"/>
      <c r="H1587" s="47"/>
      <c r="I1587" s="47"/>
      <c r="J1587" s="45" t="str">
        <f aca="false">IF($A1587="","",IF(COUNTIF(Accounts!$C$2:$C$201,$A1587)+COUNTIF('Service Principals'!$C$2:$C$201,$A1587)+COUNTIF('Managed Identities'!$C$2:$C$201,$A1587)&gt;0,"Yes","NOT IN INVENTORY"))</f>
        <v/>
      </c>
    </row>
    <row r="1588" customFormat="false" ht="15" hidden="false" customHeight="false" outlineLevel="0" collapsed="false">
      <c r="A1588" s="46"/>
      <c r="B1588" s="46"/>
      <c r="C1588" s="47"/>
      <c r="D1588" s="47"/>
      <c r="E1588" s="46"/>
      <c r="F1588" s="46"/>
      <c r="G1588" s="47"/>
      <c r="H1588" s="47"/>
      <c r="I1588" s="47"/>
      <c r="J1588" s="45" t="str">
        <f aca="false">IF($A1588="","",IF(COUNTIF(Accounts!$C$2:$C$201,$A1588)+COUNTIF('Service Principals'!$C$2:$C$201,$A1588)+COUNTIF('Managed Identities'!$C$2:$C$201,$A1588)&gt;0,"Yes","NOT IN INVENTORY"))</f>
        <v/>
      </c>
    </row>
    <row r="1589" customFormat="false" ht="15" hidden="false" customHeight="false" outlineLevel="0" collapsed="false">
      <c r="A1589" s="46"/>
      <c r="B1589" s="46"/>
      <c r="C1589" s="47"/>
      <c r="D1589" s="47"/>
      <c r="E1589" s="46"/>
      <c r="F1589" s="46"/>
      <c r="G1589" s="47"/>
      <c r="H1589" s="47"/>
      <c r="I1589" s="47"/>
      <c r="J1589" s="45" t="str">
        <f aca="false">IF($A1589="","",IF(COUNTIF(Accounts!$C$2:$C$201,$A1589)+COUNTIF('Service Principals'!$C$2:$C$201,$A1589)+COUNTIF('Managed Identities'!$C$2:$C$201,$A1589)&gt;0,"Yes","NOT IN INVENTORY"))</f>
        <v/>
      </c>
    </row>
    <row r="1590" customFormat="false" ht="15" hidden="false" customHeight="false" outlineLevel="0" collapsed="false">
      <c r="A1590" s="46"/>
      <c r="B1590" s="46"/>
      <c r="C1590" s="47"/>
      <c r="D1590" s="47"/>
      <c r="E1590" s="46"/>
      <c r="F1590" s="46"/>
      <c r="G1590" s="47"/>
      <c r="H1590" s="47"/>
      <c r="I1590" s="47"/>
      <c r="J1590" s="45" t="str">
        <f aca="false">IF($A1590="","",IF(COUNTIF(Accounts!$C$2:$C$201,$A1590)+COUNTIF('Service Principals'!$C$2:$C$201,$A1590)+COUNTIF('Managed Identities'!$C$2:$C$201,$A1590)&gt;0,"Yes","NOT IN INVENTORY"))</f>
        <v/>
      </c>
    </row>
    <row r="1591" customFormat="false" ht="15" hidden="false" customHeight="false" outlineLevel="0" collapsed="false">
      <c r="A1591" s="46"/>
      <c r="B1591" s="46"/>
      <c r="C1591" s="47"/>
      <c r="D1591" s="47"/>
      <c r="E1591" s="46"/>
      <c r="F1591" s="46"/>
      <c r="G1591" s="47"/>
      <c r="H1591" s="47"/>
      <c r="I1591" s="47"/>
      <c r="J1591" s="45" t="str">
        <f aca="false">IF($A1591="","",IF(COUNTIF(Accounts!$C$2:$C$201,$A1591)+COUNTIF('Service Principals'!$C$2:$C$201,$A1591)+COUNTIF('Managed Identities'!$C$2:$C$201,$A1591)&gt;0,"Yes","NOT IN INVENTORY"))</f>
        <v/>
      </c>
    </row>
    <row r="1592" customFormat="false" ht="15" hidden="false" customHeight="false" outlineLevel="0" collapsed="false">
      <c r="A1592" s="46"/>
      <c r="B1592" s="46"/>
      <c r="C1592" s="47"/>
      <c r="D1592" s="47"/>
      <c r="E1592" s="46"/>
      <c r="F1592" s="46"/>
      <c r="G1592" s="47"/>
      <c r="H1592" s="47"/>
      <c r="I1592" s="47"/>
      <c r="J1592" s="45" t="str">
        <f aca="false">IF($A1592="","",IF(COUNTIF(Accounts!$C$2:$C$201,$A1592)+COUNTIF('Service Principals'!$C$2:$C$201,$A1592)+COUNTIF('Managed Identities'!$C$2:$C$201,$A1592)&gt;0,"Yes","NOT IN INVENTORY"))</f>
        <v/>
      </c>
    </row>
    <row r="1593" customFormat="false" ht="15" hidden="false" customHeight="false" outlineLevel="0" collapsed="false">
      <c r="A1593" s="46"/>
      <c r="B1593" s="46"/>
      <c r="C1593" s="47"/>
      <c r="D1593" s="47"/>
      <c r="E1593" s="46"/>
      <c r="F1593" s="46"/>
      <c r="G1593" s="47"/>
      <c r="H1593" s="47"/>
      <c r="I1593" s="47"/>
      <c r="J1593" s="45" t="str">
        <f aca="false">IF($A1593="","",IF(COUNTIF(Accounts!$C$2:$C$201,$A1593)+COUNTIF('Service Principals'!$C$2:$C$201,$A1593)+COUNTIF('Managed Identities'!$C$2:$C$201,$A1593)&gt;0,"Yes","NOT IN INVENTORY"))</f>
        <v/>
      </c>
    </row>
    <row r="1594" customFormat="false" ht="15" hidden="false" customHeight="false" outlineLevel="0" collapsed="false">
      <c r="A1594" s="46"/>
      <c r="B1594" s="46"/>
      <c r="C1594" s="47"/>
      <c r="D1594" s="47"/>
      <c r="E1594" s="46"/>
      <c r="F1594" s="46"/>
      <c r="G1594" s="47"/>
      <c r="H1594" s="47"/>
      <c r="I1594" s="47"/>
      <c r="J1594" s="45" t="str">
        <f aca="false">IF($A1594="","",IF(COUNTIF(Accounts!$C$2:$C$201,$A1594)+COUNTIF('Service Principals'!$C$2:$C$201,$A1594)+COUNTIF('Managed Identities'!$C$2:$C$201,$A1594)&gt;0,"Yes","NOT IN INVENTORY"))</f>
        <v/>
      </c>
    </row>
    <row r="1595" customFormat="false" ht="15" hidden="false" customHeight="false" outlineLevel="0" collapsed="false">
      <c r="A1595" s="46"/>
      <c r="B1595" s="46"/>
      <c r="C1595" s="47"/>
      <c r="D1595" s="47"/>
      <c r="E1595" s="46"/>
      <c r="F1595" s="46"/>
      <c r="G1595" s="47"/>
      <c r="H1595" s="47"/>
      <c r="I1595" s="47"/>
      <c r="J1595" s="45" t="str">
        <f aca="false">IF($A1595="","",IF(COUNTIF(Accounts!$C$2:$C$201,$A1595)+COUNTIF('Service Principals'!$C$2:$C$201,$A1595)+COUNTIF('Managed Identities'!$C$2:$C$201,$A1595)&gt;0,"Yes","NOT IN INVENTORY"))</f>
        <v/>
      </c>
    </row>
    <row r="1596" customFormat="false" ht="15" hidden="false" customHeight="false" outlineLevel="0" collapsed="false">
      <c r="A1596" s="46"/>
      <c r="B1596" s="46"/>
      <c r="C1596" s="47"/>
      <c r="D1596" s="47"/>
      <c r="E1596" s="46"/>
      <c r="F1596" s="46"/>
      <c r="G1596" s="47"/>
      <c r="H1596" s="47"/>
      <c r="I1596" s="47"/>
      <c r="J1596" s="45" t="str">
        <f aca="false">IF($A1596="","",IF(COUNTIF(Accounts!$C$2:$C$201,$A1596)+COUNTIF('Service Principals'!$C$2:$C$201,$A1596)+COUNTIF('Managed Identities'!$C$2:$C$201,$A1596)&gt;0,"Yes","NOT IN INVENTORY"))</f>
        <v/>
      </c>
    </row>
    <row r="1597" customFormat="false" ht="15" hidden="false" customHeight="false" outlineLevel="0" collapsed="false">
      <c r="A1597" s="46"/>
      <c r="B1597" s="46"/>
      <c r="C1597" s="47"/>
      <c r="D1597" s="47"/>
      <c r="E1597" s="46"/>
      <c r="F1597" s="46"/>
      <c r="G1597" s="47"/>
      <c r="H1597" s="47"/>
      <c r="I1597" s="47"/>
      <c r="J1597" s="45" t="str">
        <f aca="false">IF($A1597="","",IF(COUNTIF(Accounts!$C$2:$C$201,$A1597)+COUNTIF('Service Principals'!$C$2:$C$201,$A1597)+COUNTIF('Managed Identities'!$C$2:$C$201,$A1597)&gt;0,"Yes","NOT IN INVENTORY"))</f>
        <v/>
      </c>
    </row>
    <row r="1598" customFormat="false" ht="15" hidden="false" customHeight="false" outlineLevel="0" collapsed="false">
      <c r="A1598" s="46"/>
      <c r="B1598" s="46"/>
      <c r="C1598" s="47"/>
      <c r="D1598" s="47"/>
      <c r="E1598" s="46"/>
      <c r="F1598" s="46"/>
      <c r="G1598" s="47"/>
      <c r="H1598" s="47"/>
      <c r="I1598" s="47"/>
      <c r="J1598" s="45" t="str">
        <f aca="false">IF($A1598="","",IF(COUNTIF(Accounts!$C$2:$C$201,$A1598)+COUNTIF('Service Principals'!$C$2:$C$201,$A1598)+COUNTIF('Managed Identities'!$C$2:$C$201,$A1598)&gt;0,"Yes","NOT IN INVENTORY"))</f>
        <v/>
      </c>
    </row>
    <row r="1599" customFormat="false" ht="15" hidden="false" customHeight="false" outlineLevel="0" collapsed="false">
      <c r="A1599" s="46"/>
      <c r="B1599" s="46"/>
      <c r="C1599" s="47"/>
      <c r="D1599" s="47"/>
      <c r="E1599" s="46"/>
      <c r="F1599" s="46"/>
      <c r="G1599" s="47"/>
      <c r="H1599" s="47"/>
      <c r="I1599" s="47"/>
      <c r="J1599" s="45" t="str">
        <f aca="false">IF($A1599="","",IF(COUNTIF(Accounts!$C$2:$C$201,$A1599)+COUNTIF('Service Principals'!$C$2:$C$201,$A1599)+COUNTIF('Managed Identities'!$C$2:$C$201,$A1599)&gt;0,"Yes","NOT IN INVENTORY"))</f>
        <v/>
      </c>
    </row>
    <row r="1600" customFormat="false" ht="15" hidden="false" customHeight="false" outlineLevel="0" collapsed="false">
      <c r="A1600" s="46"/>
      <c r="B1600" s="46"/>
      <c r="C1600" s="47"/>
      <c r="D1600" s="47"/>
      <c r="E1600" s="46"/>
      <c r="F1600" s="46"/>
      <c r="G1600" s="47"/>
      <c r="H1600" s="47"/>
      <c r="I1600" s="47"/>
      <c r="J1600" s="45" t="str">
        <f aca="false">IF($A1600="","",IF(COUNTIF(Accounts!$C$2:$C$201,$A1600)+COUNTIF('Service Principals'!$C$2:$C$201,$A1600)+COUNTIF('Managed Identities'!$C$2:$C$201,$A1600)&gt;0,"Yes","NOT IN INVENTORY"))</f>
        <v/>
      </c>
    </row>
    <row r="1601" customFormat="false" ht="15" hidden="false" customHeight="false" outlineLevel="0" collapsed="false">
      <c r="A1601" s="46"/>
      <c r="B1601" s="46"/>
      <c r="C1601" s="47"/>
      <c r="D1601" s="47"/>
      <c r="E1601" s="46"/>
      <c r="F1601" s="46"/>
      <c r="G1601" s="47"/>
      <c r="H1601" s="47"/>
      <c r="I1601" s="47"/>
      <c r="J1601" s="45" t="str">
        <f aca="false">IF($A1601="","",IF(COUNTIF(Accounts!$C$2:$C$201,$A1601)+COUNTIF('Service Principals'!$C$2:$C$201,$A1601)+COUNTIF('Managed Identities'!$C$2:$C$201,$A1601)&gt;0,"Yes","NOT IN INVENTORY"))</f>
        <v/>
      </c>
    </row>
    <row r="1602" customFormat="false" ht="15" hidden="false" customHeight="false" outlineLevel="0" collapsed="false">
      <c r="A1602" s="46"/>
      <c r="B1602" s="46"/>
      <c r="C1602" s="47"/>
      <c r="D1602" s="47"/>
      <c r="E1602" s="46"/>
      <c r="F1602" s="46"/>
      <c r="G1602" s="47"/>
      <c r="H1602" s="47"/>
      <c r="I1602" s="47"/>
      <c r="J1602" s="45" t="str">
        <f aca="false">IF($A1602="","",IF(COUNTIF(Accounts!$C$2:$C$201,$A1602)+COUNTIF('Service Principals'!$C$2:$C$201,$A1602)+COUNTIF('Managed Identities'!$C$2:$C$201,$A1602)&gt;0,"Yes","NOT IN INVENTORY"))</f>
        <v/>
      </c>
    </row>
    <row r="1603" customFormat="false" ht="15" hidden="false" customHeight="false" outlineLevel="0" collapsed="false">
      <c r="A1603" s="46"/>
      <c r="B1603" s="46"/>
      <c r="C1603" s="47"/>
      <c r="D1603" s="47"/>
      <c r="E1603" s="46"/>
      <c r="F1603" s="46"/>
      <c r="G1603" s="47"/>
      <c r="H1603" s="47"/>
      <c r="I1603" s="47"/>
      <c r="J1603" s="45" t="str">
        <f aca="false">IF($A1603="","",IF(COUNTIF(Accounts!$C$2:$C$201,$A1603)+COUNTIF('Service Principals'!$C$2:$C$201,$A1603)+COUNTIF('Managed Identities'!$C$2:$C$201,$A1603)&gt;0,"Yes","NOT IN INVENTORY"))</f>
        <v/>
      </c>
    </row>
    <row r="1604" customFormat="false" ht="15" hidden="false" customHeight="false" outlineLevel="0" collapsed="false">
      <c r="A1604" s="46"/>
      <c r="B1604" s="46"/>
      <c r="C1604" s="47"/>
      <c r="D1604" s="47"/>
      <c r="E1604" s="46"/>
      <c r="F1604" s="46"/>
      <c r="G1604" s="47"/>
      <c r="H1604" s="47"/>
      <c r="I1604" s="47"/>
      <c r="J1604" s="45" t="str">
        <f aca="false">IF($A1604="","",IF(COUNTIF(Accounts!$C$2:$C$201,$A1604)+COUNTIF('Service Principals'!$C$2:$C$201,$A1604)+COUNTIF('Managed Identities'!$C$2:$C$201,$A1604)&gt;0,"Yes","NOT IN INVENTORY"))</f>
        <v/>
      </c>
    </row>
    <row r="1605" customFormat="false" ht="15" hidden="false" customHeight="false" outlineLevel="0" collapsed="false">
      <c r="A1605" s="46"/>
      <c r="B1605" s="46"/>
      <c r="C1605" s="47"/>
      <c r="D1605" s="47"/>
      <c r="E1605" s="46"/>
      <c r="F1605" s="46"/>
      <c r="G1605" s="47"/>
      <c r="H1605" s="47"/>
      <c r="I1605" s="47"/>
      <c r="J1605" s="45" t="str">
        <f aca="false">IF($A1605="","",IF(COUNTIF(Accounts!$C$2:$C$201,$A1605)+COUNTIF('Service Principals'!$C$2:$C$201,$A1605)+COUNTIF('Managed Identities'!$C$2:$C$201,$A1605)&gt;0,"Yes","NOT IN INVENTORY"))</f>
        <v/>
      </c>
    </row>
    <row r="1606" customFormat="false" ht="15" hidden="false" customHeight="false" outlineLevel="0" collapsed="false">
      <c r="A1606" s="46"/>
      <c r="B1606" s="46"/>
      <c r="C1606" s="47"/>
      <c r="D1606" s="47"/>
      <c r="E1606" s="46"/>
      <c r="F1606" s="46"/>
      <c r="G1606" s="47"/>
      <c r="H1606" s="47"/>
      <c r="I1606" s="47"/>
      <c r="J1606" s="45" t="str">
        <f aca="false">IF($A1606="","",IF(COUNTIF(Accounts!$C$2:$C$201,$A1606)+COUNTIF('Service Principals'!$C$2:$C$201,$A1606)+COUNTIF('Managed Identities'!$C$2:$C$201,$A1606)&gt;0,"Yes","NOT IN INVENTORY"))</f>
        <v/>
      </c>
    </row>
    <row r="1607" customFormat="false" ht="15" hidden="false" customHeight="false" outlineLevel="0" collapsed="false">
      <c r="A1607" s="46"/>
      <c r="B1607" s="46"/>
      <c r="C1607" s="47"/>
      <c r="D1607" s="47"/>
      <c r="E1607" s="46"/>
      <c r="F1607" s="46"/>
      <c r="G1607" s="47"/>
      <c r="H1607" s="47"/>
      <c r="I1607" s="47"/>
      <c r="J1607" s="45" t="str">
        <f aca="false">IF($A1607="","",IF(COUNTIF(Accounts!$C$2:$C$201,$A1607)+COUNTIF('Service Principals'!$C$2:$C$201,$A1607)+COUNTIF('Managed Identities'!$C$2:$C$201,$A1607)&gt;0,"Yes","NOT IN INVENTORY"))</f>
        <v/>
      </c>
    </row>
    <row r="1608" customFormat="false" ht="15" hidden="false" customHeight="false" outlineLevel="0" collapsed="false">
      <c r="A1608" s="46"/>
      <c r="B1608" s="46"/>
      <c r="C1608" s="47"/>
      <c r="D1608" s="47"/>
      <c r="E1608" s="46"/>
      <c r="F1608" s="46"/>
      <c r="G1608" s="47"/>
      <c r="H1608" s="47"/>
      <c r="I1608" s="47"/>
      <c r="J1608" s="45" t="str">
        <f aca="false">IF($A1608="","",IF(COUNTIF(Accounts!$C$2:$C$201,$A1608)+COUNTIF('Service Principals'!$C$2:$C$201,$A1608)+COUNTIF('Managed Identities'!$C$2:$C$201,$A1608)&gt;0,"Yes","NOT IN INVENTORY"))</f>
        <v/>
      </c>
    </row>
    <row r="1609" customFormat="false" ht="15" hidden="false" customHeight="false" outlineLevel="0" collapsed="false">
      <c r="A1609" s="46"/>
      <c r="B1609" s="46"/>
      <c r="C1609" s="47"/>
      <c r="D1609" s="47"/>
      <c r="E1609" s="46"/>
      <c r="F1609" s="46"/>
      <c r="G1609" s="47"/>
      <c r="H1609" s="47"/>
      <c r="I1609" s="47"/>
      <c r="J1609" s="45" t="str">
        <f aca="false">IF($A1609="","",IF(COUNTIF(Accounts!$C$2:$C$201,$A1609)+COUNTIF('Service Principals'!$C$2:$C$201,$A1609)+COUNTIF('Managed Identities'!$C$2:$C$201,$A1609)&gt;0,"Yes","NOT IN INVENTORY"))</f>
        <v/>
      </c>
    </row>
    <row r="1610" customFormat="false" ht="15" hidden="false" customHeight="false" outlineLevel="0" collapsed="false">
      <c r="A1610" s="46"/>
      <c r="B1610" s="46"/>
      <c r="C1610" s="47"/>
      <c r="D1610" s="47"/>
      <c r="E1610" s="46"/>
      <c r="F1610" s="46"/>
      <c r="G1610" s="47"/>
      <c r="H1610" s="47"/>
      <c r="I1610" s="47"/>
      <c r="J1610" s="45" t="str">
        <f aca="false">IF($A1610="","",IF(COUNTIF(Accounts!$C$2:$C$201,$A1610)+COUNTIF('Service Principals'!$C$2:$C$201,$A1610)+COUNTIF('Managed Identities'!$C$2:$C$201,$A1610)&gt;0,"Yes","NOT IN INVENTORY"))</f>
        <v/>
      </c>
    </row>
    <row r="1611" customFormat="false" ht="15" hidden="false" customHeight="false" outlineLevel="0" collapsed="false">
      <c r="A1611" s="46"/>
      <c r="B1611" s="46"/>
      <c r="C1611" s="47"/>
      <c r="D1611" s="47"/>
      <c r="E1611" s="46"/>
      <c r="F1611" s="46"/>
      <c r="G1611" s="47"/>
      <c r="H1611" s="47"/>
      <c r="I1611" s="47"/>
      <c r="J1611" s="45" t="str">
        <f aca="false">IF($A1611="","",IF(COUNTIF(Accounts!$C$2:$C$201,$A1611)+COUNTIF('Service Principals'!$C$2:$C$201,$A1611)+COUNTIF('Managed Identities'!$C$2:$C$201,$A1611)&gt;0,"Yes","NOT IN INVENTORY"))</f>
        <v/>
      </c>
    </row>
    <row r="1612" customFormat="false" ht="15" hidden="false" customHeight="false" outlineLevel="0" collapsed="false">
      <c r="A1612" s="46"/>
      <c r="B1612" s="46"/>
      <c r="C1612" s="47"/>
      <c r="D1612" s="47"/>
      <c r="E1612" s="46"/>
      <c r="F1612" s="46"/>
      <c r="G1612" s="47"/>
      <c r="H1612" s="47"/>
      <c r="I1612" s="47"/>
      <c r="J1612" s="45" t="str">
        <f aca="false">IF($A1612="","",IF(COUNTIF(Accounts!$C$2:$C$201,$A1612)+COUNTIF('Service Principals'!$C$2:$C$201,$A1612)+COUNTIF('Managed Identities'!$C$2:$C$201,$A1612)&gt;0,"Yes","NOT IN INVENTORY"))</f>
        <v/>
      </c>
    </row>
    <row r="1613" customFormat="false" ht="15" hidden="false" customHeight="false" outlineLevel="0" collapsed="false">
      <c r="A1613" s="46"/>
      <c r="B1613" s="46"/>
      <c r="C1613" s="47"/>
      <c r="D1613" s="47"/>
      <c r="E1613" s="46"/>
      <c r="F1613" s="46"/>
      <c r="G1613" s="47"/>
      <c r="H1613" s="47"/>
      <c r="I1613" s="47"/>
      <c r="J1613" s="45" t="str">
        <f aca="false">IF($A1613="","",IF(COUNTIF(Accounts!$C$2:$C$201,$A1613)+COUNTIF('Service Principals'!$C$2:$C$201,$A1613)+COUNTIF('Managed Identities'!$C$2:$C$201,$A1613)&gt;0,"Yes","NOT IN INVENTORY"))</f>
        <v/>
      </c>
    </row>
    <row r="1614" customFormat="false" ht="15" hidden="false" customHeight="false" outlineLevel="0" collapsed="false">
      <c r="A1614" s="46"/>
      <c r="B1614" s="46"/>
      <c r="C1614" s="47"/>
      <c r="D1614" s="47"/>
      <c r="E1614" s="46"/>
      <c r="F1614" s="46"/>
      <c r="G1614" s="47"/>
      <c r="H1614" s="47"/>
      <c r="I1614" s="47"/>
      <c r="J1614" s="45" t="str">
        <f aca="false">IF($A1614="","",IF(COUNTIF(Accounts!$C$2:$C$201,$A1614)+COUNTIF('Service Principals'!$C$2:$C$201,$A1614)+COUNTIF('Managed Identities'!$C$2:$C$201,$A1614)&gt;0,"Yes","NOT IN INVENTORY"))</f>
        <v/>
      </c>
    </row>
    <row r="1615" customFormat="false" ht="15" hidden="false" customHeight="false" outlineLevel="0" collapsed="false">
      <c r="A1615" s="46"/>
      <c r="B1615" s="46"/>
      <c r="C1615" s="47"/>
      <c r="D1615" s="47"/>
      <c r="E1615" s="46"/>
      <c r="F1615" s="46"/>
      <c r="G1615" s="47"/>
      <c r="H1615" s="47"/>
      <c r="I1615" s="47"/>
      <c r="J1615" s="45" t="str">
        <f aca="false">IF($A1615="","",IF(COUNTIF(Accounts!$C$2:$C$201,$A1615)+COUNTIF('Service Principals'!$C$2:$C$201,$A1615)+COUNTIF('Managed Identities'!$C$2:$C$201,$A1615)&gt;0,"Yes","NOT IN INVENTORY"))</f>
        <v/>
      </c>
    </row>
    <row r="1616" customFormat="false" ht="15" hidden="false" customHeight="false" outlineLevel="0" collapsed="false">
      <c r="A1616" s="46"/>
      <c r="B1616" s="46"/>
      <c r="C1616" s="47"/>
      <c r="D1616" s="47"/>
      <c r="E1616" s="46"/>
      <c r="F1616" s="46"/>
      <c r="G1616" s="47"/>
      <c r="H1616" s="47"/>
      <c r="I1616" s="47"/>
      <c r="J1616" s="45" t="str">
        <f aca="false">IF($A1616="","",IF(COUNTIF(Accounts!$C$2:$C$201,$A1616)+COUNTIF('Service Principals'!$C$2:$C$201,$A1616)+COUNTIF('Managed Identities'!$C$2:$C$201,$A1616)&gt;0,"Yes","NOT IN INVENTORY"))</f>
        <v/>
      </c>
    </row>
    <row r="1617" customFormat="false" ht="15" hidden="false" customHeight="false" outlineLevel="0" collapsed="false">
      <c r="A1617" s="46"/>
      <c r="B1617" s="46"/>
      <c r="C1617" s="47"/>
      <c r="D1617" s="47"/>
      <c r="E1617" s="46"/>
      <c r="F1617" s="46"/>
      <c r="G1617" s="47"/>
      <c r="H1617" s="47"/>
      <c r="I1617" s="47"/>
      <c r="J1617" s="45" t="str">
        <f aca="false">IF($A1617="","",IF(COUNTIF(Accounts!$C$2:$C$201,$A1617)+COUNTIF('Service Principals'!$C$2:$C$201,$A1617)+COUNTIF('Managed Identities'!$C$2:$C$201,$A1617)&gt;0,"Yes","NOT IN INVENTORY"))</f>
        <v/>
      </c>
    </row>
    <row r="1618" customFormat="false" ht="15" hidden="false" customHeight="false" outlineLevel="0" collapsed="false">
      <c r="A1618" s="46"/>
      <c r="B1618" s="46"/>
      <c r="C1618" s="47"/>
      <c r="D1618" s="47"/>
      <c r="E1618" s="46"/>
      <c r="F1618" s="46"/>
      <c r="G1618" s="47"/>
      <c r="H1618" s="47"/>
      <c r="I1618" s="47"/>
      <c r="J1618" s="45" t="str">
        <f aca="false">IF($A1618="","",IF(COUNTIF(Accounts!$C$2:$C$201,$A1618)+COUNTIF('Service Principals'!$C$2:$C$201,$A1618)+COUNTIF('Managed Identities'!$C$2:$C$201,$A1618)&gt;0,"Yes","NOT IN INVENTORY"))</f>
        <v/>
      </c>
    </row>
    <row r="1619" customFormat="false" ht="15" hidden="false" customHeight="false" outlineLevel="0" collapsed="false">
      <c r="A1619" s="46"/>
      <c r="B1619" s="46"/>
      <c r="C1619" s="47"/>
      <c r="D1619" s="47"/>
      <c r="E1619" s="46"/>
      <c r="F1619" s="46"/>
      <c r="G1619" s="47"/>
      <c r="H1619" s="47"/>
      <c r="I1619" s="47"/>
      <c r="J1619" s="45" t="str">
        <f aca="false">IF($A1619="","",IF(COUNTIF(Accounts!$C$2:$C$201,$A1619)+COUNTIF('Service Principals'!$C$2:$C$201,$A1619)+COUNTIF('Managed Identities'!$C$2:$C$201,$A1619)&gt;0,"Yes","NOT IN INVENTORY"))</f>
        <v/>
      </c>
    </row>
    <row r="1620" customFormat="false" ht="15" hidden="false" customHeight="false" outlineLevel="0" collapsed="false">
      <c r="A1620" s="46"/>
      <c r="B1620" s="46"/>
      <c r="C1620" s="47"/>
      <c r="D1620" s="47"/>
      <c r="E1620" s="46"/>
      <c r="F1620" s="46"/>
      <c r="G1620" s="47"/>
      <c r="H1620" s="47"/>
      <c r="I1620" s="47"/>
      <c r="J1620" s="45" t="str">
        <f aca="false">IF($A1620="","",IF(COUNTIF(Accounts!$C$2:$C$201,$A1620)+COUNTIF('Service Principals'!$C$2:$C$201,$A1620)+COUNTIF('Managed Identities'!$C$2:$C$201,$A1620)&gt;0,"Yes","NOT IN INVENTORY"))</f>
        <v/>
      </c>
    </row>
    <row r="1621" customFormat="false" ht="15" hidden="false" customHeight="false" outlineLevel="0" collapsed="false">
      <c r="A1621" s="46"/>
      <c r="B1621" s="46"/>
      <c r="C1621" s="47"/>
      <c r="D1621" s="47"/>
      <c r="E1621" s="46"/>
      <c r="F1621" s="46"/>
      <c r="G1621" s="47"/>
      <c r="H1621" s="47"/>
      <c r="I1621" s="47"/>
      <c r="J1621" s="45" t="str">
        <f aca="false">IF($A1621="","",IF(COUNTIF(Accounts!$C$2:$C$201,$A1621)+COUNTIF('Service Principals'!$C$2:$C$201,$A1621)+COUNTIF('Managed Identities'!$C$2:$C$201,$A1621)&gt;0,"Yes","NOT IN INVENTORY"))</f>
        <v/>
      </c>
    </row>
    <row r="1622" customFormat="false" ht="15" hidden="false" customHeight="false" outlineLevel="0" collapsed="false">
      <c r="A1622" s="46"/>
      <c r="B1622" s="46"/>
      <c r="C1622" s="47"/>
      <c r="D1622" s="47"/>
      <c r="E1622" s="46"/>
      <c r="F1622" s="46"/>
      <c r="G1622" s="47"/>
      <c r="H1622" s="47"/>
      <c r="I1622" s="47"/>
      <c r="J1622" s="45" t="str">
        <f aca="false">IF($A1622="","",IF(COUNTIF(Accounts!$C$2:$C$201,$A1622)+COUNTIF('Service Principals'!$C$2:$C$201,$A1622)+COUNTIF('Managed Identities'!$C$2:$C$201,$A1622)&gt;0,"Yes","NOT IN INVENTORY"))</f>
        <v/>
      </c>
    </row>
    <row r="1623" customFormat="false" ht="15" hidden="false" customHeight="false" outlineLevel="0" collapsed="false">
      <c r="A1623" s="46"/>
      <c r="B1623" s="46"/>
      <c r="C1623" s="47"/>
      <c r="D1623" s="47"/>
      <c r="E1623" s="46"/>
      <c r="F1623" s="46"/>
      <c r="G1623" s="47"/>
      <c r="H1623" s="47"/>
      <c r="I1623" s="47"/>
      <c r="J1623" s="45" t="str">
        <f aca="false">IF($A1623="","",IF(COUNTIF(Accounts!$C$2:$C$201,$A1623)+COUNTIF('Service Principals'!$C$2:$C$201,$A1623)+COUNTIF('Managed Identities'!$C$2:$C$201,$A1623)&gt;0,"Yes","NOT IN INVENTORY"))</f>
        <v/>
      </c>
    </row>
    <row r="1624" customFormat="false" ht="15" hidden="false" customHeight="false" outlineLevel="0" collapsed="false">
      <c r="A1624" s="46"/>
      <c r="B1624" s="46"/>
      <c r="C1624" s="47"/>
      <c r="D1624" s="47"/>
      <c r="E1624" s="46"/>
      <c r="F1624" s="46"/>
      <c r="G1624" s="47"/>
      <c r="H1624" s="47"/>
      <c r="I1624" s="47"/>
      <c r="J1624" s="45" t="str">
        <f aca="false">IF($A1624="","",IF(COUNTIF(Accounts!$C$2:$C$201,$A1624)+COUNTIF('Service Principals'!$C$2:$C$201,$A1624)+COUNTIF('Managed Identities'!$C$2:$C$201,$A1624)&gt;0,"Yes","NOT IN INVENTORY"))</f>
        <v/>
      </c>
    </row>
    <row r="1625" customFormat="false" ht="15" hidden="false" customHeight="false" outlineLevel="0" collapsed="false">
      <c r="A1625" s="46"/>
      <c r="B1625" s="46"/>
      <c r="C1625" s="47"/>
      <c r="D1625" s="47"/>
      <c r="E1625" s="46"/>
      <c r="F1625" s="46"/>
      <c r="G1625" s="47"/>
      <c r="H1625" s="47"/>
      <c r="I1625" s="47"/>
      <c r="J1625" s="45" t="str">
        <f aca="false">IF($A1625="","",IF(COUNTIF(Accounts!$C$2:$C$201,$A1625)+COUNTIF('Service Principals'!$C$2:$C$201,$A1625)+COUNTIF('Managed Identities'!$C$2:$C$201,$A1625)&gt;0,"Yes","NOT IN INVENTORY"))</f>
        <v/>
      </c>
    </row>
    <row r="1626" customFormat="false" ht="15" hidden="false" customHeight="false" outlineLevel="0" collapsed="false">
      <c r="A1626" s="46"/>
      <c r="B1626" s="46"/>
      <c r="C1626" s="47"/>
      <c r="D1626" s="47"/>
      <c r="E1626" s="46"/>
      <c r="F1626" s="46"/>
      <c r="G1626" s="47"/>
      <c r="H1626" s="47"/>
      <c r="I1626" s="47"/>
      <c r="J1626" s="45" t="str">
        <f aca="false">IF($A1626="","",IF(COUNTIF(Accounts!$C$2:$C$201,$A1626)+COUNTIF('Service Principals'!$C$2:$C$201,$A1626)+COUNTIF('Managed Identities'!$C$2:$C$201,$A1626)&gt;0,"Yes","NOT IN INVENTORY"))</f>
        <v/>
      </c>
    </row>
    <row r="1627" customFormat="false" ht="15" hidden="false" customHeight="false" outlineLevel="0" collapsed="false">
      <c r="A1627" s="46"/>
      <c r="B1627" s="46"/>
      <c r="C1627" s="47"/>
      <c r="D1627" s="47"/>
      <c r="E1627" s="46"/>
      <c r="F1627" s="46"/>
      <c r="G1627" s="47"/>
      <c r="H1627" s="47"/>
      <c r="I1627" s="47"/>
      <c r="J1627" s="45" t="str">
        <f aca="false">IF($A1627="","",IF(COUNTIF(Accounts!$C$2:$C$201,$A1627)+COUNTIF('Service Principals'!$C$2:$C$201,$A1627)+COUNTIF('Managed Identities'!$C$2:$C$201,$A1627)&gt;0,"Yes","NOT IN INVENTORY"))</f>
        <v/>
      </c>
    </row>
    <row r="1628" customFormat="false" ht="15" hidden="false" customHeight="false" outlineLevel="0" collapsed="false">
      <c r="A1628" s="46"/>
      <c r="B1628" s="46"/>
      <c r="C1628" s="47"/>
      <c r="D1628" s="47"/>
      <c r="E1628" s="46"/>
      <c r="F1628" s="46"/>
      <c r="G1628" s="47"/>
      <c r="H1628" s="47"/>
      <c r="I1628" s="47"/>
      <c r="J1628" s="45" t="str">
        <f aca="false">IF($A1628="","",IF(COUNTIF(Accounts!$C$2:$C$201,$A1628)+COUNTIF('Service Principals'!$C$2:$C$201,$A1628)+COUNTIF('Managed Identities'!$C$2:$C$201,$A1628)&gt;0,"Yes","NOT IN INVENTORY"))</f>
        <v/>
      </c>
    </row>
    <row r="1629" customFormat="false" ht="15" hidden="false" customHeight="false" outlineLevel="0" collapsed="false">
      <c r="A1629" s="46"/>
      <c r="B1629" s="46"/>
      <c r="C1629" s="47"/>
      <c r="D1629" s="47"/>
      <c r="E1629" s="46"/>
      <c r="F1629" s="46"/>
      <c r="G1629" s="47"/>
      <c r="H1629" s="47"/>
      <c r="I1629" s="47"/>
      <c r="J1629" s="45" t="str">
        <f aca="false">IF($A1629="","",IF(COUNTIF(Accounts!$C$2:$C$201,$A1629)+COUNTIF('Service Principals'!$C$2:$C$201,$A1629)+COUNTIF('Managed Identities'!$C$2:$C$201,$A1629)&gt;0,"Yes","NOT IN INVENTORY"))</f>
        <v/>
      </c>
    </row>
    <row r="1630" customFormat="false" ht="15" hidden="false" customHeight="false" outlineLevel="0" collapsed="false">
      <c r="A1630" s="46"/>
      <c r="B1630" s="46"/>
      <c r="C1630" s="47"/>
      <c r="D1630" s="47"/>
      <c r="E1630" s="46"/>
      <c r="F1630" s="46"/>
      <c r="G1630" s="47"/>
      <c r="H1630" s="47"/>
      <c r="I1630" s="47"/>
      <c r="J1630" s="45" t="str">
        <f aca="false">IF($A1630="","",IF(COUNTIF(Accounts!$C$2:$C$201,$A1630)+COUNTIF('Service Principals'!$C$2:$C$201,$A1630)+COUNTIF('Managed Identities'!$C$2:$C$201,$A1630)&gt;0,"Yes","NOT IN INVENTORY"))</f>
        <v/>
      </c>
    </row>
    <row r="1631" customFormat="false" ht="15" hidden="false" customHeight="false" outlineLevel="0" collapsed="false">
      <c r="A1631" s="46"/>
      <c r="B1631" s="46"/>
      <c r="C1631" s="47"/>
      <c r="D1631" s="47"/>
      <c r="E1631" s="46"/>
      <c r="F1631" s="46"/>
      <c r="G1631" s="47"/>
      <c r="H1631" s="47"/>
      <c r="I1631" s="47"/>
      <c r="J1631" s="45" t="str">
        <f aca="false">IF($A1631="","",IF(COUNTIF(Accounts!$C$2:$C$201,$A1631)+COUNTIF('Service Principals'!$C$2:$C$201,$A1631)+COUNTIF('Managed Identities'!$C$2:$C$201,$A1631)&gt;0,"Yes","NOT IN INVENTORY"))</f>
        <v/>
      </c>
    </row>
    <row r="1632" customFormat="false" ht="15" hidden="false" customHeight="false" outlineLevel="0" collapsed="false">
      <c r="A1632" s="46"/>
      <c r="B1632" s="46"/>
      <c r="C1632" s="47"/>
      <c r="D1632" s="47"/>
      <c r="E1632" s="46"/>
      <c r="F1632" s="46"/>
      <c r="G1632" s="47"/>
      <c r="H1632" s="47"/>
      <c r="I1632" s="47"/>
      <c r="J1632" s="45" t="str">
        <f aca="false">IF($A1632="","",IF(COUNTIF(Accounts!$C$2:$C$201,$A1632)+COUNTIF('Service Principals'!$C$2:$C$201,$A1632)+COUNTIF('Managed Identities'!$C$2:$C$201,$A1632)&gt;0,"Yes","NOT IN INVENTORY"))</f>
        <v/>
      </c>
    </row>
    <row r="1633" customFormat="false" ht="15" hidden="false" customHeight="false" outlineLevel="0" collapsed="false">
      <c r="A1633" s="46"/>
      <c r="B1633" s="46"/>
      <c r="C1633" s="47"/>
      <c r="D1633" s="47"/>
      <c r="E1633" s="46"/>
      <c r="F1633" s="46"/>
      <c r="G1633" s="47"/>
      <c r="H1633" s="47"/>
      <c r="I1633" s="47"/>
      <c r="J1633" s="45" t="str">
        <f aca="false">IF($A1633="","",IF(COUNTIF(Accounts!$C$2:$C$201,$A1633)+COUNTIF('Service Principals'!$C$2:$C$201,$A1633)+COUNTIF('Managed Identities'!$C$2:$C$201,$A1633)&gt;0,"Yes","NOT IN INVENTORY"))</f>
        <v/>
      </c>
    </row>
    <row r="1634" customFormat="false" ht="15" hidden="false" customHeight="false" outlineLevel="0" collapsed="false">
      <c r="A1634" s="46"/>
      <c r="B1634" s="46"/>
      <c r="C1634" s="47"/>
      <c r="D1634" s="47"/>
      <c r="E1634" s="46"/>
      <c r="F1634" s="46"/>
      <c r="G1634" s="47"/>
      <c r="H1634" s="47"/>
      <c r="I1634" s="47"/>
      <c r="J1634" s="45" t="str">
        <f aca="false">IF($A1634="","",IF(COUNTIF(Accounts!$C$2:$C$201,$A1634)+COUNTIF('Service Principals'!$C$2:$C$201,$A1634)+COUNTIF('Managed Identities'!$C$2:$C$201,$A1634)&gt;0,"Yes","NOT IN INVENTORY"))</f>
        <v/>
      </c>
    </row>
    <row r="1635" customFormat="false" ht="15" hidden="false" customHeight="false" outlineLevel="0" collapsed="false">
      <c r="A1635" s="46"/>
      <c r="B1635" s="46"/>
      <c r="C1635" s="47"/>
      <c r="D1635" s="47"/>
      <c r="E1635" s="46"/>
      <c r="F1635" s="46"/>
      <c r="G1635" s="47"/>
      <c r="H1635" s="47"/>
      <c r="I1635" s="47"/>
      <c r="J1635" s="45" t="str">
        <f aca="false">IF($A1635="","",IF(COUNTIF(Accounts!$C$2:$C$201,$A1635)+COUNTIF('Service Principals'!$C$2:$C$201,$A1635)+COUNTIF('Managed Identities'!$C$2:$C$201,$A1635)&gt;0,"Yes","NOT IN INVENTORY"))</f>
        <v/>
      </c>
    </row>
    <row r="1636" customFormat="false" ht="15" hidden="false" customHeight="false" outlineLevel="0" collapsed="false">
      <c r="A1636" s="46"/>
      <c r="B1636" s="46"/>
      <c r="C1636" s="47"/>
      <c r="D1636" s="47"/>
      <c r="E1636" s="46"/>
      <c r="F1636" s="46"/>
      <c r="G1636" s="47"/>
      <c r="H1636" s="47"/>
      <c r="I1636" s="47"/>
      <c r="J1636" s="45" t="str">
        <f aca="false">IF($A1636="","",IF(COUNTIF(Accounts!$C$2:$C$201,$A1636)+COUNTIF('Service Principals'!$C$2:$C$201,$A1636)+COUNTIF('Managed Identities'!$C$2:$C$201,$A1636)&gt;0,"Yes","NOT IN INVENTORY"))</f>
        <v/>
      </c>
    </row>
    <row r="1637" customFormat="false" ht="15" hidden="false" customHeight="false" outlineLevel="0" collapsed="false">
      <c r="A1637" s="46"/>
      <c r="B1637" s="46"/>
      <c r="C1637" s="47"/>
      <c r="D1637" s="47"/>
      <c r="E1637" s="46"/>
      <c r="F1637" s="46"/>
      <c r="G1637" s="47"/>
      <c r="H1637" s="47"/>
      <c r="I1637" s="47"/>
      <c r="J1637" s="45" t="str">
        <f aca="false">IF($A1637="","",IF(COUNTIF(Accounts!$C$2:$C$201,$A1637)+COUNTIF('Service Principals'!$C$2:$C$201,$A1637)+COUNTIF('Managed Identities'!$C$2:$C$201,$A1637)&gt;0,"Yes","NOT IN INVENTORY"))</f>
        <v/>
      </c>
    </row>
    <row r="1638" customFormat="false" ht="15" hidden="false" customHeight="false" outlineLevel="0" collapsed="false">
      <c r="A1638" s="46"/>
      <c r="B1638" s="46"/>
      <c r="C1638" s="47"/>
      <c r="D1638" s="47"/>
      <c r="E1638" s="46"/>
      <c r="F1638" s="46"/>
      <c r="G1638" s="47"/>
      <c r="H1638" s="47"/>
      <c r="I1638" s="47"/>
      <c r="J1638" s="45" t="str">
        <f aca="false">IF($A1638="","",IF(COUNTIF(Accounts!$C$2:$C$201,$A1638)+COUNTIF('Service Principals'!$C$2:$C$201,$A1638)+COUNTIF('Managed Identities'!$C$2:$C$201,$A1638)&gt;0,"Yes","NOT IN INVENTORY"))</f>
        <v/>
      </c>
    </row>
    <row r="1639" customFormat="false" ht="15" hidden="false" customHeight="false" outlineLevel="0" collapsed="false">
      <c r="A1639" s="46"/>
      <c r="B1639" s="46"/>
      <c r="C1639" s="47"/>
      <c r="D1639" s="47"/>
      <c r="E1639" s="46"/>
      <c r="F1639" s="46"/>
      <c r="G1639" s="47"/>
      <c r="H1639" s="47"/>
      <c r="I1639" s="47"/>
      <c r="J1639" s="45" t="str">
        <f aca="false">IF($A1639="","",IF(COUNTIF(Accounts!$C$2:$C$201,$A1639)+COUNTIF('Service Principals'!$C$2:$C$201,$A1639)+COUNTIF('Managed Identities'!$C$2:$C$201,$A1639)&gt;0,"Yes","NOT IN INVENTORY"))</f>
        <v/>
      </c>
    </row>
    <row r="1640" customFormat="false" ht="15" hidden="false" customHeight="false" outlineLevel="0" collapsed="false">
      <c r="A1640" s="46"/>
      <c r="B1640" s="46"/>
      <c r="C1640" s="47"/>
      <c r="D1640" s="47"/>
      <c r="E1640" s="46"/>
      <c r="F1640" s="46"/>
      <c r="G1640" s="47"/>
      <c r="H1640" s="47"/>
      <c r="I1640" s="47"/>
      <c r="J1640" s="45" t="str">
        <f aca="false">IF($A1640="","",IF(COUNTIF(Accounts!$C$2:$C$201,$A1640)+COUNTIF('Service Principals'!$C$2:$C$201,$A1640)+COUNTIF('Managed Identities'!$C$2:$C$201,$A1640)&gt;0,"Yes","NOT IN INVENTORY"))</f>
        <v/>
      </c>
    </row>
    <row r="1641" customFormat="false" ht="15" hidden="false" customHeight="false" outlineLevel="0" collapsed="false">
      <c r="A1641" s="46"/>
      <c r="B1641" s="46"/>
      <c r="C1641" s="47"/>
      <c r="D1641" s="47"/>
      <c r="E1641" s="46"/>
      <c r="F1641" s="46"/>
      <c r="G1641" s="47"/>
      <c r="H1641" s="47"/>
      <c r="I1641" s="47"/>
      <c r="J1641" s="45" t="str">
        <f aca="false">IF($A1641="","",IF(COUNTIF(Accounts!$C$2:$C$201,$A1641)+COUNTIF('Service Principals'!$C$2:$C$201,$A1641)+COUNTIF('Managed Identities'!$C$2:$C$201,$A1641)&gt;0,"Yes","NOT IN INVENTORY"))</f>
        <v/>
      </c>
    </row>
    <row r="1642" customFormat="false" ht="15" hidden="false" customHeight="false" outlineLevel="0" collapsed="false">
      <c r="A1642" s="46"/>
      <c r="B1642" s="46"/>
      <c r="C1642" s="47"/>
      <c r="D1642" s="47"/>
      <c r="E1642" s="46"/>
      <c r="F1642" s="46"/>
      <c r="G1642" s="47"/>
      <c r="H1642" s="47"/>
      <c r="I1642" s="47"/>
      <c r="J1642" s="45" t="str">
        <f aca="false">IF($A1642="","",IF(COUNTIF(Accounts!$C$2:$C$201,$A1642)+COUNTIF('Service Principals'!$C$2:$C$201,$A1642)+COUNTIF('Managed Identities'!$C$2:$C$201,$A1642)&gt;0,"Yes","NOT IN INVENTORY"))</f>
        <v/>
      </c>
    </row>
    <row r="1643" customFormat="false" ht="15" hidden="false" customHeight="false" outlineLevel="0" collapsed="false">
      <c r="A1643" s="46"/>
      <c r="B1643" s="46"/>
      <c r="C1643" s="47"/>
      <c r="D1643" s="47"/>
      <c r="E1643" s="46"/>
      <c r="F1643" s="46"/>
      <c r="G1643" s="47"/>
      <c r="H1643" s="47"/>
      <c r="I1643" s="47"/>
      <c r="J1643" s="45" t="str">
        <f aca="false">IF($A1643="","",IF(COUNTIF(Accounts!$C$2:$C$201,$A1643)+COUNTIF('Service Principals'!$C$2:$C$201,$A1643)+COUNTIF('Managed Identities'!$C$2:$C$201,$A1643)&gt;0,"Yes","NOT IN INVENTORY"))</f>
        <v/>
      </c>
    </row>
    <row r="1644" customFormat="false" ht="15" hidden="false" customHeight="false" outlineLevel="0" collapsed="false">
      <c r="A1644" s="46"/>
      <c r="B1644" s="46"/>
      <c r="C1644" s="47"/>
      <c r="D1644" s="47"/>
      <c r="E1644" s="46"/>
      <c r="F1644" s="46"/>
      <c r="G1644" s="47"/>
      <c r="H1644" s="47"/>
      <c r="I1644" s="47"/>
      <c r="J1644" s="45" t="str">
        <f aca="false">IF($A1644="","",IF(COUNTIF(Accounts!$C$2:$C$201,$A1644)+COUNTIF('Service Principals'!$C$2:$C$201,$A1644)+COUNTIF('Managed Identities'!$C$2:$C$201,$A1644)&gt;0,"Yes","NOT IN INVENTORY"))</f>
        <v/>
      </c>
    </row>
    <row r="1645" customFormat="false" ht="15" hidden="false" customHeight="false" outlineLevel="0" collapsed="false">
      <c r="A1645" s="46"/>
      <c r="B1645" s="46"/>
      <c r="C1645" s="47"/>
      <c r="D1645" s="47"/>
      <c r="E1645" s="46"/>
      <c r="F1645" s="46"/>
      <c r="G1645" s="47"/>
      <c r="H1645" s="47"/>
      <c r="I1645" s="47"/>
      <c r="J1645" s="45" t="str">
        <f aca="false">IF($A1645="","",IF(COUNTIF(Accounts!$C$2:$C$201,$A1645)+COUNTIF('Service Principals'!$C$2:$C$201,$A1645)+COUNTIF('Managed Identities'!$C$2:$C$201,$A1645)&gt;0,"Yes","NOT IN INVENTORY"))</f>
        <v/>
      </c>
    </row>
    <row r="1646" customFormat="false" ht="15" hidden="false" customHeight="false" outlineLevel="0" collapsed="false">
      <c r="A1646" s="46"/>
      <c r="B1646" s="46"/>
      <c r="C1646" s="47"/>
      <c r="D1646" s="47"/>
      <c r="E1646" s="46"/>
      <c r="F1646" s="46"/>
      <c r="G1646" s="47"/>
      <c r="H1646" s="47"/>
      <c r="I1646" s="47"/>
      <c r="J1646" s="45" t="str">
        <f aca="false">IF($A1646="","",IF(COUNTIF(Accounts!$C$2:$C$201,$A1646)+COUNTIF('Service Principals'!$C$2:$C$201,$A1646)+COUNTIF('Managed Identities'!$C$2:$C$201,$A1646)&gt;0,"Yes","NOT IN INVENTORY"))</f>
        <v/>
      </c>
    </row>
    <row r="1647" customFormat="false" ht="15" hidden="false" customHeight="false" outlineLevel="0" collapsed="false">
      <c r="A1647" s="46"/>
      <c r="B1647" s="46"/>
      <c r="C1647" s="47"/>
      <c r="D1647" s="47"/>
      <c r="E1647" s="46"/>
      <c r="F1647" s="46"/>
      <c r="G1647" s="47"/>
      <c r="H1647" s="47"/>
      <c r="I1647" s="47"/>
      <c r="J1647" s="45" t="str">
        <f aca="false">IF($A1647="","",IF(COUNTIF(Accounts!$C$2:$C$201,$A1647)+COUNTIF('Service Principals'!$C$2:$C$201,$A1647)+COUNTIF('Managed Identities'!$C$2:$C$201,$A1647)&gt;0,"Yes","NOT IN INVENTORY"))</f>
        <v/>
      </c>
    </row>
    <row r="1648" customFormat="false" ht="15" hidden="false" customHeight="false" outlineLevel="0" collapsed="false">
      <c r="A1648" s="46"/>
      <c r="B1648" s="46"/>
      <c r="C1648" s="47"/>
      <c r="D1648" s="47"/>
      <c r="E1648" s="46"/>
      <c r="F1648" s="46"/>
      <c r="G1648" s="47"/>
      <c r="H1648" s="47"/>
      <c r="I1648" s="47"/>
      <c r="J1648" s="45" t="str">
        <f aca="false">IF($A1648="","",IF(COUNTIF(Accounts!$C$2:$C$201,$A1648)+COUNTIF('Service Principals'!$C$2:$C$201,$A1648)+COUNTIF('Managed Identities'!$C$2:$C$201,$A1648)&gt;0,"Yes","NOT IN INVENTORY"))</f>
        <v/>
      </c>
    </row>
    <row r="1649" customFormat="false" ht="15" hidden="false" customHeight="false" outlineLevel="0" collapsed="false">
      <c r="A1649" s="46"/>
      <c r="B1649" s="46"/>
      <c r="C1649" s="47"/>
      <c r="D1649" s="47"/>
      <c r="E1649" s="46"/>
      <c r="F1649" s="46"/>
      <c r="G1649" s="47"/>
      <c r="H1649" s="47"/>
      <c r="I1649" s="47"/>
      <c r="J1649" s="45" t="str">
        <f aca="false">IF($A1649="","",IF(COUNTIF(Accounts!$C$2:$C$201,$A1649)+COUNTIF('Service Principals'!$C$2:$C$201,$A1649)+COUNTIF('Managed Identities'!$C$2:$C$201,$A1649)&gt;0,"Yes","NOT IN INVENTORY"))</f>
        <v/>
      </c>
    </row>
    <row r="1650" customFormat="false" ht="15" hidden="false" customHeight="false" outlineLevel="0" collapsed="false">
      <c r="A1650" s="46"/>
      <c r="B1650" s="46"/>
      <c r="C1650" s="47"/>
      <c r="D1650" s="47"/>
      <c r="E1650" s="46"/>
      <c r="F1650" s="46"/>
      <c r="G1650" s="47"/>
      <c r="H1650" s="47"/>
      <c r="I1650" s="47"/>
      <c r="J1650" s="45" t="str">
        <f aca="false">IF($A1650="","",IF(COUNTIF(Accounts!$C$2:$C$201,$A1650)+COUNTIF('Service Principals'!$C$2:$C$201,$A1650)+COUNTIF('Managed Identities'!$C$2:$C$201,$A1650)&gt;0,"Yes","NOT IN INVENTORY"))</f>
        <v/>
      </c>
    </row>
    <row r="1651" customFormat="false" ht="15" hidden="false" customHeight="false" outlineLevel="0" collapsed="false">
      <c r="A1651" s="46"/>
      <c r="B1651" s="46"/>
      <c r="C1651" s="47"/>
      <c r="D1651" s="47"/>
      <c r="E1651" s="46"/>
      <c r="F1651" s="46"/>
      <c r="G1651" s="47"/>
      <c r="H1651" s="47"/>
      <c r="I1651" s="47"/>
      <c r="J1651" s="45" t="str">
        <f aca="false">IF($A1651="","",IF(COUNTIF(Accounts!$C$2:$C$201,$A1651)+COUNTIF('Service Principals'!$C$2:$C$201,$A1651)+COUNTIF('Managed Identities'!$C$2:$C$201,$A1651)&gt;0,"Yes","NOT IN INVENTORY"))</f>
        <v/>
      </c>
    </row>
    <row r="1652" customFormat="false" ht="15" hidden="false" customHeight="false" outlineLevel="0" collapsed="false">
      <c r="A1652" s="46"/>
      <c r="B1652" s="46"/>
      <c r="C1652" s="47"/>
      <c r="D1652" s="47"/>
      <c r="E1652" s="46"/>
      <c r="F1652" s="46"/>
      <c r="G1652" s="47"/>
      <c r="H1652" s="47"/>
      <c r="I1652" s="47"/>
      <c r="J1652" s="45" t="str">
        <f aca="false">IF($A1652="","",IF(COUNTIF(Accounts!$C$2:$C$201,$A1652)+COUNTIF('Service Principals'!$C$2:$C$201,$A1652)+COUNTIF('Managed Identities'!$C$2:$C$201,$A1652)&gt;0,"Yes","NOT IN INVENTORY"))</f>
        <v/>
      </c>
    </row>
    <row r="1653" customFormat="false" ht="15" hidden="false" customHeight="false" outlineLevel="0" collapsed="false">
      <c r="A1653" s="46"/>
      <c r="B1653" s="46"/>
      <c r="C1653" s="47"/>
      <c r="D1653" s="47"/>
      <c r="E1653" s="46"/>
      <c r="F1653" s="46"/>
      <c r="G1653" s="47"/>
      <c r="H1653" s="47"/>
      <c r="I1653" s="47"/>
      <c r="J1653" s="45" t="str">
        <f aca="false">IF($A1653="","",IF(COUNTIF(Accounts!$C$2:$C$201,$A1653)+COUNTIF('Service Principals'!$C$2:$C$201,$A1653)+COUNTIF('Managed Identities'!$C$2:$C$201,$A1653)&gt;0,"Yes","NOT IN INVENTORY"))</f>
        <v/>
      </c>
    </row>
    <row r="1654" customFormat="false" ht="15" hidden="false" customHeight="false" outlineLevel="0" collapsed="false">
      <c r="A1654" s="46"/>
      <c r="B1654" s="46"/>
      <c r="C1654" s="47"/>
      <c r="D1654" s="47"/>
      <c r="E1654" s="46"/>
      <c r="F1654" s="46"/>
      <c r="G1654" s="47"/>
      <c r="H1654" s="47"/>
      <c r="I1654" s="47"/>
      <c r="J1654" s="45" t="str">
        <f aca="false">IF($A1654="","",IF(COUNTIF(Accounts!$C$2:$C$201,$A1654)+COUNTIF('Service Principals'!$C$2:$C$201,$A1654)+COUNTIF('Managed Identities'!$C$2:$C$201,$A1654)&gt;0,"Yes","NOT IN INVENTORY"))</f>
        <v/>
      </c>
    </row>
    <row r="1655" customFormat="false" ht="15" hidden="false" customHeight="false" outlineLevel="0" collapsed="false">
      <c r="A1655" s="46"/>
      <c r="B1655" s="46"/>
      <c r="C1655" s="47"/>
      <c r="D1655" s="47"/>
      <c r="E1655" s="46"/>
      <c r="F1655" s="46"/>
      <c r="G1655" s="47"/>
      <c r="H1655" s="47"/>
      <c r="I1655" s="47"/>
      <c r="J1655" s="45" t="str">
        <f aca="false">IF($A1655="","",IF(COUNTIF(Accounts!$C$2:$C$201,$A1655)+COUNTIF('Service Principals'!$C$2:$C$201,$A1655)+COUNTIF('Managed Identities'!$C$2:$C$201,$A1655)&gt;0,"Yes","NOT IN INVENTORY"))</f>
        <v/>
      </c>
    </row>
    <row r="1656" customFormat="false" ht="15" hidden="false" customHeight="false" outlineLevel="0" collapsed="false">
      <c r="A1656" s="46"/>
      <c r="B1656" s="46"/>
      <c r="C1656" s="47"/>
      <c r="D1656" s="47"/>
      <c r="E1656" s="46"/>
      <c r="F1656" s="46"/>
      <c r="G1656" s="47"/>
      <c r="H1656" s="47"/>
      <c r="I1656" s="47"/>
      <c r="J1656" s="45" t="str">
        <f aca="false">IF($A1656="","",IF(COUNTIF(Accounts!$C$2:$C$201,$A1656)+COUNTIF('Service Principals'!$C$2:$C$201,$A1656)+COUNTIF('Managed Identities'!$C$2:$C$201,$A1656)&gt;0,"Yes","NOT IN INVENTORY"))</f>
        <v/>
      </c>
    </row>
    <row r="1657" customFormat="false" ht="15" hidden="false" customHeight="false" outlineLevel="0" collapsed="false">
      <c r="A1657" s="46"/>
      <c r="B1657" s="46"/>
      <c r="C1657" s="47"/>
      <c r="D1657" s="47"/>
      <c r="E1657" s="46"/>
      <c r="F1657" s="46"/>
      <c r="G1657" s="47"/>
      <c r="H1657" s="47"/>
      <c r="I1657" s="47"/>
      <c r="J1657" s="45" t="str">
        <f aca="false">IF($A1657="","",IF(COUNTIF(Accounts!$C$2:$C$201,$A1657)+COUNTIF('Service Principals'!$C$2:$C$201,$A1657)+COUNTIF('Managed Identities'!$C$2:$C$201,$A1657)&gt;0,"Yes","NOT IN INVENTORY"))</f>
        <v/>
      </c>
    </row>
    <row r="1658" customFormat="false" ht="15" hidden="false" customHeight="false" outlineLevel="0" collapsed="false">
      <c r="A1658" s="46"/>
      <c r="B1658" s="46"/>
      <c r="C1658" s="47"/>
      <c r="D1658" s="47"/>
      <c r="E1658" s="46"/>
      <c r="F1658" s="46"/>
      <c r="G1658" s="47"/>
      <c r="H1658" s="47"/>
      <c r="I1658" s="47"/>
      <c r="J1658" s="45" t="str">
        <f aca="false">IF($A1658="","",IF(COUNTIF(Accounts!$C$2:$C$201,$A1658)+COUNTIF('Service Principals'!$C$2:$C$201,$A1658)+COUNTIF('Managed Identities'!$C$2:$C$201,$A1658)&gt;0,"Yes","NOT IN INVENTORY"))</f>
        <v/>
      </c>
    </row>
    <row r="1659" customFormat="false" ht="15" hidden="false" customHeight="false" outlineLevel="0" collapsed="false">
      <c r="A1659" s="46"/>
      <c r="B1659" s="46"/>
      <c r="C1659" s="47"/>
      <c r="D1659" s="47"/>
      <c r="E1659" s="46"/>
      <c r="F1659" s="46"/>
      <c r="G1659" s="47"/>
      <c r="H1659" s="47"/>
      <c r="I1659" s="47"/>
      <c r="J1659" s="45" t="str">
        <f aca="false">IF($A1659="","",IF(COUNTIF(Accounts!$C$2:$C$201,$A1659)+COUNTIF('Service Principals'!$C$2:$C$201,$A1659)+COUNTIF('Managed Identities'!$C$2:$C$201,$A1659)&gt;0,"Yes","NOT IN INVENTORY"))</f>
        <v/>
      </c>
    </row>
    <row r="1660" customFormat="false" ht="15" hidden="false" customHeight="false" outlineLevel="0" collapsed="false">
      <c r="A1660" s="46"/>
      <c r="B1660" s="46"/>
      <c r="C1660" s="47"/>
      <c r="D1660" s="47"/>
      <c r="E1660" s="46"/>
      <c r="F1660" s="46"/>
      <c r="G1660" s="47"/>
      <c r="H1660" s="47"/>
      <c r="I1660" s="47"/>
      <c r="J1660" s="45" t="str">
        <f aca="false">IF($A1660="","",IF(COUNTIF(Accounts!$C$2:$C$201,$A1660)+COUNTIF('Service Principals'!$C$2:$C$201,$A1660)+COUNTIF('Managed Identities'!$C$2:$C$201,$A1660)&gt;0,"Yes","NOT IN INVENTORY"))</f>
        <v/>
      </c>
    </row>
    <row r="1661" customFormat="false" ht="15" hidden="false" customHeight="false" outlineLevel="0" collapsed="false">
      <c r="A1661" s="46"/>
      <c r="B1661" s="46"/>
      <c r="C1661" s="47"/>
      <c r="D1661" s="47"/>
      <c r="E1661" s="46"/>
      <c r="F1661" s="46"/>
      <c r="G1661" s="47"/>
      <c r="H1661" s="47"/>
      <c r="I1661" s="47"/>
      <c r="J1661" s="45" t="str">
        <f aca="false">IF($A1661="","",IF(COUNTIF(Accounts!$C$2:$C$201,$A1661)+COUNTIF('Service Principals'!$C$2:$C$201,$A1661)+COUNTIF('Managed Identities'!$C$2:$C$201,$A1661)&gt;0,"Yes","NOT IN INVENTORY"))</f>
        <v/>
      </c>
    </row>
    <row r="1662" customFormat="false" ht="15" hidden="false" customHeight="false" outlineLevel="0" collapsed="false">
      <c r="A1662" s="46"/>
      <c r="B1662" s="46"/>
      <c r="C1662" s="47"/>
      <c r="D1662" s="47"/>
      <c r="E1662" s="46"/>
      <c r="F1662" s="46"/>
      <c r="G1662" s="47"/>
      <c r="H1662" s="47"/>
      <c r="I1662" s="47"/>
      <c r="J1662" s="45" t="str">
        <f aca="false">IF($A1662="","",IF(COUNTIF(Accounts!$C$2:$C$201,$A1662)+COUNTIF('Service Principals'!$C$2:$C$201,$A1662)+COUNTIF('Managed Identities'!$C$2:$C$201,$A1662)&gt;0,"Yes","NOT IN INVENTORY"))</f>
        <v/>
      </c>
    </row>
    <row r="1663" customFormat="false" ht="15" hidden="false" customHeight="false" outlineLevel="0" collapsed="false">
      <c r="A1663" s="46"/>
      <c r="B1663" s="46"/>
      <c r="C1663" s="47"/>
      <c r="D1663" s="47"/>
      <c r="E1663" s="46"/>
      <c r="F1663" s="46"/>
      <c r="G1663" s="47"/>
      <c r="H1663" s="47"/>
      <c r="I1663" s="47"/>
      <c r="J1663" s="45" t="str">
        <f aca="false">IF($A1663="","",IF(COUNTIF(Accounts!$C$2:$C$201,$A1663)+COUNTIF('Service Principals'!$C$2:$C$201,$A1663)+COUNTIF('Managed Identities'!$C$2:$C$201,$A1663)&gt;0,"Yes","NOT IN INVENTORY"))</f>
        <v/>
      </c>
    </row>
    <row r="1664" customFormat="false" ht="15" hidden="false" customHeight="false" outlineLevel="0" collapsed="false">
      <c r="A1664" s="46"/>
      <c r="B1664" s="46"/>
      <c r="C1664" s="47"/>
      <c r="D1664" s="47"/>
      <c r="E1664" s="46"/>
      <c r="F1664" s="46"/>
      <c r="G1664" s="47"/>
      <c r="H1664" s="47"/>
      <c r="I1664" s="47"/>
      <c r="J1664" s="45" t="str">
        <f aca="false">IF($A1664="","",IF(COUNTIF(Accounts!$C$2:$C$201,$A1664)+COUNTIF('Service Principals'!$C$2:$C$201,$A1664)+COUNTIF('Managed Identities'!$C$2:$C$201,$A1664)&gt;0,"Yes","NOT IN INVENTORY"))</f>
        <v/>
      </c>
    </row>
    <row r="1665" customFormat="false" ht="15" hidden="false" customHeight="false" outlineLevel="0" collapsed="false">
      <c r="A1665" s="46"/>
      <c r="B1665" s="46"/>
      <c r="C1665" s="47"/>
      <c r="D1665" s="47"/>
      <c r="E1665" s="46"/>
      <c r="F1665" s="46"/>
      <c r="G1665" s="47"/>
      <c r="H1665" s="47"/>
      <c r="I1665" s="47"/>
      <c r="J1665" s="45" t="str">
        <f aca="false">IF($A1665="","",IF(COUNTIF(Accounts!$C$2:$C$201,$A1665)+COUNTIF('Service Principals'!$C$2:$C$201,$A1665)+COUNTIF('Managed Identities'!$C$2:$C$201,$A1665)&gt;0,"Yes","NOT IN INVENTORY"))</f>
        <v/>
      </c>
    </row>
    <row r="1666" customFormat="false" ht="15" hidden="false" customHeight="false" outlineLevel="0" collapsed="false">
      <c r="A1666" s="46"/>
      <c r="B1666" s="46"/>
      <c r="C1666" s="47"/>
      <c r="D1666" s="47"/>
      <c r="E1666" s="46"/>
      <c r="F1666" s="46"/>
      <c r="G1666" s="47"/>
      <c r="H1666" s="47"/>
      <c r="I1666" s="47"/>
      <c r="J1666" s="45" t="str">
        <f aca="false">IF($A1666="","",IF(COUNTIF(Accounts!$C$2:$C$201,$A1666)+COUNTIF('Service Principals'!$C$2:$C$201,$A1666)+COUNTIF('Managed Identities'!$C$2:$C$201,$A1666)&gt;0,"Yes","NOT IN INVENTORY"))</f>
        <v/>
      </c>
    </row>
    <row r="1667" customFormat="false" ht="15" hidden="false" customHeight="false" outlineLevel="0" collapsed="false">
      <c r="A1667" s="46"/>
      <c r="B1667" s="46"/>
      <c r="C1667" s="47"/>
      <c r="D1667" s="47"/>
      <c r="E1667" s="46"/>
      <c r="F1667" s="46"/>
      <c r="G1667" s="47"/>
      <c r="H1667" s="47"/>
      <c r="I1667" s="47"/>
      <c r="J1667" s="45" t="str">
        <f aca="false">IF($A1667="","",IF(COUNTIF(Accounts!$C$2:$C$201,$A1667)+COUNTIF('Service Principals'!$C$2:$C$201,$A1667)+COUNTIF('Managed Identities'!$C$2:$C$201,$A1667)&gt;0,"Yes","NOT IN INVENTORY"))</f>
        <v/>
      </c>
    </row>
    <row r="1668" customFormat="false" ht="15" hidden="false" customHeight="false" outlineLevel="0" collapsed="false">
      <c r="A1668" s="46"/>
      <c r="B1668" s="46"/>
      <c r="C1668" s="47"/>
      <c r="D1668" s="47"/>
      <c r="E1668" s="46"/>
      <c r="F1668" s="46"/>
      <c r="G1668" s="47"/>
      <c r="H1668" s="47"/>
      <c r="I1668" s="47"/>
      <c r="J1668" s="45" t="str">
        <f aca="false">IF($A1668="","",IF(COUNTIF(Accounts!$C$2:$C$201,$A1668)+COUNTIF('Service Principals'!$C$2:$C$201,$A1668)+COUNTIF('Managed Identities'!$C$2:$C$201,$A1668)&gt;0,"Yes","NOT IN INVENTORY"))</f>
        <v/>
      </c>
    </row>
    <row r="1669" customFormat="false" ht="15" hidden="false" customHeight="false" outlineLevel="0" collapsed="false">
      <c r="A1669" s="46"/>
      <c r="B1669" s="46"/>
      <c r="C1669" s="47"/>
      <c r="D1669" s="47"/>
      <c r="E1669" s="46"/>
      <c r="F1669" s="46"/>
      <c r="G1669" s="47"/>
      <c r="H1669" s="47"/>
      <c r="I1669" s="47"/>
      <c r="J1669" s="45" t="str">
        <f aca="false">IF($A1669="","",IF(COUNTIF(Accounts!$C$2:$C$201,$A1669)+COUNTIF('Service Principals'!$C$2:$C$201,$A1669)+COUNTIF('Managed Identities'!$C$2:$C$201,$A1669)&gt;0,"Yes","NOT IN INVENTORY"))</f>
        <v/>
      </c>
    </row>
    <row r="1670" customFormat="false" ht="15" hidden="false" customHeight="false" outlineLevel="0" collapsed="false">
      <c r="A1670" s="46"/>
      <c r="B1670" s="46"/>
      <c r="C1670" s="47"/>
      <c r="D1670" s="47"/>
      <c r="E1670" s="46"/>
      <c r="F1670" s="46"/>
      <c r="G1670" s="47"/>
      <c r="H1670" s="47"/>
      <c r="I1670" s="47"/>
      <c r="J1670" s="45" t="str">
        <f aca="false">IF($A1670="","",IF(COUNTIF(Accounts!$C$2:$C$201,$A1670)+COUNTIF('Service Principals'!$C$2:$C$201,$A1670)+COUNTIF('Managed Identities'!$C$2:$C$201,$A1670)&gt;0,"Yes","NOT IN INVENTORY"))</f>
        <v/>
      </c>
    </row>
    <row r="1671" customFormat="false" ht="15" hidden="false" customHeight="false" outlineLevel="0" collapsed="false">
      <c r="A1671" s="46"/>
      <c r="B1671" s="46"/>
      <c r="C1671" s="47"/>
      <c r="D1671" s="47"/>
      <c r="E1671" s="46"/>
      <c r="F1671" s="46"/>
      <c r="G1671" s="47"/>
      <c r="H1671" s="47"/>
      <c r="I1671" s="47"/>
      <c r="J1671" s="45" t="str">
        <f aca="false">IF($A1671="","",IF(COUNTIF(Accounts!$C$2:$C$201,$A1671)+COUNTIF('Service Principals'!$C$2:$C$201,$A1671)+COUNTIF('Managed Identities'!$C$2:$C$201,$A1671)&gt;0,"Yes","NOT IN INVENTORY"))</f>
        <v/>
      </c>
    </row>
    <row r="1672" customFormat="false" ht="15" hidden="false" customHeight="false" outlineLevel="0" collapsed="false">
      <c r="A1672" s="46"/>
      <c r="B1672" s="46"/>
      <c r="C1672" s="47"/>
      <c r="D1672" s="47"/>
      <c r="E1672" s="46"/>
      <c r="F1672" s="46"/>
      <c r="G1672" s="47"/>
      <c r="H1672" s="47"/>
      <c r="I1672" s="47"/>
      <c r="J1672" s="45" t="str">
        <f aca="false">IF($A1672="","",IF(COUNTIF(Accounts!$C$2:$C$201,$A1672)+COUNTIF('Service Principals'!$C$2:$C$201,$A1672)+COUNTIF('Managed Identities'!$C$2:$C$201,$A1672)&gt;0,"Yes","NOT IN INVENTORY"))</f>
        <v/>
      </c>
    </row>
    <row r="1673" customFormat="false" ht="15" hidden="false" customHeight="false" outlineLevel="0" collapsed="false">
      <c r="A1673" s="46"/>
      <c r="B1673" s="46"/>
      <c r="C1673" s="47"/>
      <c r="D1673" s="47"/>
      <c r="E1673" s="46"/>
      <c r="F1673" s="46"/>
      <c r="G1673" s="47"/>
      <c r="H1673" s="47"/>
      <c r="I1673" s="47"/>
      <c r="J1673" s="45" t="str">
        <f aca="false">IF($A1673="","",IF(COUNTIF(Accounts!$C$2:$C$201,$A1673)+COUNTIF('Service Principals'!$C$2:$C$201,$A1673)+COUNTIF('Managed Identities'!$C$2:$C$201,$A1673)&gt;0,"Yes","NOT IN INVENTORY"))</f>
        <v/>
      </c>
    </row>
    <row r="1674" customFormat="false" ht="15" hidden="false" customHeight="false" outlineLevel="0" collapsed="false">
      <c r="A1674" s="46"/>
      <c r="B1674" s="46"/>
      <c r="C1674" s="47"/>
      <c r="D1674" s="47"/>
      <c r="E1674" s="46"/>
      <c r="F1674" s="46"/>
      <c r="G1674" s="47"/>
      <c r="H1674" s="47"/>
      <c r="I1674" s="47"/>
      <c r="J1674" s="45" t="str">
        <f aca="false">IF($A1674="","",IF(COUNTIF(Accounts!$C$2:$C$201,$A1674)+COUNTIF('Service Principals'!$C$2:$C$201,$A1674)+COUNTIF('Managed Identities'!$C$2:$C$201,$A1674)&gt;0,"Yes","NOT IN INVENTORY"))</f>
        <v/>
      </c>
    </row>
    <row r="1675" customFormat="false" ht="15" hidden="false" customHeight="false" outlineLevel="0" collapsed="false">
      <c r="A1675" s="46"/>
      <c r="B1675" s="46"/>
      <c r="C1675" s="47"/>
      <c r="D1675" s="47"/>
      <c r="E1675" s="46"/>
      <c r="F1675" s="46"/>
      <c r="G1675" s="47"/>
      <c r="H1675" s="47"/>
      <c r="I1675" s="47"/>
      <c r="J1675" s="45" t="str">
        <f aca="false">IF($A1675="","",IF(COUNTIF(Accounts!$C$2:$C$201,$A1675)+COUNTIF('Service Principals'!$C$2:$C$201,$A1675)+COUNTIF('Managed Identities'!$C$2:$C$201,$A1675)&gt;0,"Yes","NOT IN INVENTORY"))</f>
        <v/>
      </c>
    </row>
    <row r="1676" customFormat="false" ht="15" hidden="false" customHeight="false" outlineLevel="0" collapsed="false">
      <c r="A1676" s="46"/>
      <c r="B1676" s="46"/>
      <c r="C1676" s="47"/>
      <c r="D1676" s="47"/>
      <c r="E1676" s="46"/>
      <c r="F1676" s="46"/>
      <c r="G1676" s="47"/>
      <c r="H1676" s="47"/>
      <c r="I1676" s="47"/>
      <c r="J1676" s="45" t="str">
        <f aca="false">IF($A1676="","",IF(COUNTIF(Accounts!$C$2:$C$201,$A1676)+COUNTIF('Service Principals'!$C$2:$C$201,$A1676)+COUNTIF('Managed Identities'!$C$2:$C$201,$A1676)&gt;0,"Yes","NOT IN INVENTORY"))</f>
        <v/>
      </c>
    </row>
    <row r="1677" customFormat="false" ht="15" hidden="false" customHeight="false" outlineLevel="0" collapsed="false">
      <c r="A1677" s="46"/>
      <c r="B1677" s="46"/>
      <c r="C1677" s="47"/>
      <c r="D1677" s="47"/>
      <c r="E1677" s="46"/>
      <c r="F1677" s="46"/>
      <c r="G1677" s="47"/>
      <c r="H1677" s="47"/>
      <c r="I1677" s="47"/>
      <c r="J1677" s="45" t="str">
        <f aca="false">IF($A1677="","",IF(COUNTIF(Accounts!$C$2:$C$201,$A1677)+COUNTIF('Service Principals'!$C$2:$C$201,$A1677)+COUNTIF('Managed Identities'!$C$2:$C$201,$A1677)&gt;0,"Yes","NOT IN INVENTORY"))</f>
        <v/>
      </c>
    </row>
    <row r="1678" customFormat="false" ht="15" hidden="false" customHeight="false" outlineLevel="0" collapsed="false">
      <c r="A1678" s="46"/>
      <c r="B1678" s="46"/>
      <c r="C1678" s="47"/>
      <c r="D1678" s="47"/>
      <c r="E1678" s="46"/>
      <c r="F1678" s="46"/>
      <c r="G1678" s="47"/>
      <c r="H1678" s="47"/>
      <c r="I1678" s="47"/>
      <c r="J1678" s="45" t="str">
        <f aca="false">IF($A1678="","",IF(COUNTIF(Accounts!$C$2:$C$201,$A1678)+COUNTIF('Service Principals'!$C$2:$C$201,$A1678)+COUNTIF('Managed Identities'!$C$2:$C$201,$A1678)&gt;0,"Yes","NOT IN INVENTORY"))</f>
        <v/>
      </c>
    </row>
    <row r="1679" customFormat="false" ht="15" hidden="false" customHeight="false" outlineLevel="0" collapsed="false">
      <c r="A1679" s="46"/>
      <c r="B1679" s="46"/>
      <c r="C1679" s="47"/>
      <c r="D1679" s="47"/>
      <c r="E1679" s="46"/>
      <c r="F1679" s="46"/>
      <c r="G1679" s="47"/>
      <c r="H1679" s="47"/>
      <c r="I1679" s="47"/>
      <c r="J1679" s="45" t="str">
        <f aca="false">IF($A1679="","",IF(COUNTIF(Accounts!$C$2:$C$201,$A1679)+COUNTIF('Service Principals'!$C$2:$C$201,$A1679)+COUNTIF('Managed Identities'!$C$2:$C$201,$A1679)&gt;0,"Yes","NOT IN INVENTORY"))</f>
        <v/>
      </c>
    </row>
    <row r="1680" customFormat="false" ht="15" hidden="false" customHeight="false" outlineLevel="0" collapsed="false">
      <c r="A1680" s="46"/>
      <c r="B1680" s="46"/>
      <c r="C1680" s="47"/>
      <c r="D1680" s="47"/>
      <c r="E1680" s="46"/>
      <c r="F1680" s="46"/>
      <c r="G1680" s="47"/>
      <c r="H1680" s="47"/>
      <c r="I1680" s="47"/>
      <c r="J1680" s="45" t="str">
        <f aca="false">IF($A1680="","",IF(COUNTIF(Accounts!$C$2:$C$201,$A1680)+COUNTIF('Service Principals'!$C$2:$C$201,$A1680)+COUNTIF('Managed Identities'!$C$2:$C$201,$A1680)&gt;0,"Yes","NOT IN INVENTORY"))</f>
        <v/>
      </c>
    </row>
    <row r="1681" customFormat="false" ht="15" hidden="false" customHeight="false" outlineLevel="0" collapsed="false">
      <c r="A1681" s="46"/>
      <c r="B1681" s="46"/>
      <c r="C1681" s="47"/>
      <c r="D1681" s="47"/>
      <c r="E1681" s="46"/>
      <c r="F1681" s="46"/>
      <c r="G1681" s="47"/>
      <c r="H1681" s="47"/>
      <c r="I1681" s="47"/>
      <c r="J1681" s="45" t="str">
        <f aca="false">IF($A1681="","",IF(COUNTIF(Accounts!$C$2:$C$201,$A1681)+COUNTIF('Service Principals'!$C$2:$C$201,$A1681)+COUNTIF('Managed Identities'!$C$2:$C$201,$A1681)&gt;0,"Yes","NOT IN INVENTORY"))</f>
        <v/>
      </c>
    </row>
    <row r="1682" customFormat="false" ht="15" hidden="false" customHeight="false" outlineLevel="0" collapsed="false">
      <c r="A1682" s="46"/>
      <c r="B1682" s="46"/>
      <c r="C1682" s="47"/>
      <c r="D1682" s="47"/>
      <c r="E1682" s="46"/>
      <c r="F1682" s="46"/>
      <c r="G1682" s="47"/>
      <c r="H1682" s="47"/>
      <c r="I1682" s="47"/>
      <c r="J1682" s="45" t="str">
        <f aca="false">IF($A1682="","",IF(COUNTIF(Accounts!$C$2:$C$201,$A1682)+COUNTIF('Service Principals'!$C$2:$C$201,$A1682)+COUNTIF('Managed Identities'!$C$2:$C$201,$A1682)&gt;0,"Yes","NOT IN INVENTORY"))</f>
        <v/>
      </c>
    </row>
    <row r="1683" customFormat="false" ht="15" hidden="false" customHeight="false" outlineLevel="0" collapsed="false">
      <c r="A1683" s="46"/>
      <c r="B1683" s="46"/>
      <c r="C1683" s="47"/>
      <c r="D1683" s="47"/>
      <c r="E1683" s="46"/>
      <c r="F1683" s="46"/>
      <c r="G1683" s="47"/>
      <c r="H1683" s="47"/>
      <c r="I1683" s="47"/>
      <c r="J1683" s="45" t="str">
        <f aca="false">IF($A1683="","",IF(COUNTIF(Accounts!$C$2:$C$201,$A1683)+COUNTIF('Service Principals'!$C$2:$C$201,$A1683)+COUNTIF('Managed Identities'!$C$2:$C$201,$A1683)&gt;0,"Yes","NOT IN INVENTORY"))</f>
        <v/>
      </c>
    </row>
    <row r="1684" customFormat="false" ht="15" hidden="false" customHeight="false" outlineLevel="0" collapsed="false">
      <c r="A1684" s="46"/>
      <c r="B1684" s="46"/>
      <c r="C1684" s="47"/>
      <c r="D1684" s="47"/>
      <c r="E1684" s="46"/>
      <c r="F1684" s="46"/>
      <c r="G1684" s="47"/>
      <c r="H1684" s="47"/>
      <c r="I1684" s="47"/>
      <c r="J1684" s="45" t="str">
        <f aca="false">IF($A1684="","",IF(COUNTIF(Accounts!$C$2:$C$201,$A1684)+COUNTIF('Service Principals'!$C$2:$C$201,$A1684)+COUNTIF('Managed Identities'!$C$2:$C$201,$A1684)&gt;0,"Yes","NOT IN INVENTORY"))</f>
        <v/>
      </c>
    </row>
    <row r="1685" customFormat="false" ht="15" hidden="false" customHeight="false" outlineLevel="0" collapsed="false">
      <c r="A1685" s="46"/>
      <c r="B1685" s="46"/>
      <c r="C1685" s="47"/>
      <c r="D1685" s="47"/>
      <c r="E1685" s="46"/>
      <c r="F1685" s="46"/>
      <c r="G1685" s="47"/>
      <c r="H1685" s="47"/>
      <c r="I1685" s="47"/>
      <c r="J1685" s="45" t="str">
        <f aca="false">IF($A1685="","",IF(COUNTIF(Accounts!$C$2:$C$201,$A1685)+COUNTIF('Service Principals'!$C$2:$C$201,$A1685)+COUNTIF('Managed Identities'!$C$2:$C$201,$A1685)&gt;0,"Yes","NOT IN INVENTORY"))</f>
        <v/>
      </c>
    </row>
    <row r="1686" customFormat="false" ht="15" hidden="false" customHeight="false" outlineLevel="0" collapsed="false">
      <c r="A1686" s="46"/>
      <c r="B1686" s="46"/>
      <c r="C1686" s="47"/>
      <c r="D1686" s="47"/>
      <c r="E1686" s="46"/>
      <c r="F1686" s="46"/>
      <c r="G1686" s="47"/>
      <c r="H1686" s="47"/>
      <c r="I1686" s="47"/>
      <c r="J1686" s="45" t="str">
        <f aca="false">IF($A1686="","",IF(COUNTIF(Accounts!$C$2:$C$201,$A1686)+COUNTIF('Service Principals'!$C$2:$C$201,$A1686)+COUNTIF('Managed Identities'!$C$2:$C$201,$A1686)&gt;0,"Yes","NOT IN INVENTORY"))</f>
        <v/>
      </c>
    </row>
    <row r="1687" customFormat="false" ht="15" hidden="false" customHeight="false" outlineLevel="0" collapsed="false">
      <c r="A1687" s="46"/>
      <c r="B1687" s="46"/>
      <c r="C1687" s="47"/>
      <c r="D1687" s="47"/>
      <c r="E1687" s="46"/>
      <c r="F1687" s="46"/>
      <c r="G1687" s="47"/>
      <c r="H1687" s="47"/>
      <c r="I1687" s="47"/>
      <c r="J1687" s="45" t="str">
        <f aca="false">IF($A1687="","",IF(COUNTIF(Accounts!$C$2:$C$201,$A1687)+COUNTIF('Service Principals'!$C$2:$C$201,$A1687)+COUNTIF('Managed Identities'!$C$2:$C$201,$A1687)&gt;0,"Yes","NOT IN INVENTORY"))</f>
        <v/>
      </c>
    </row>
    <row r="1688" customFormat="false" ht="15" hidden="false" customHeight="false" outlineLevel="0" collapsed="false">
      <c r="A1688" s="46"/>
      <c r="B1688" s="46"/>
      <c r="C1688" s="47"/>
      <c r="D1688" s="47"/>
      <c r="E1688" s="46"/>
      <c r="F1688" s="46"/>
      <c r="G1688" s="47"/>
      <c r="H1688" s="47"/>
      <c r="I1688" s="47"/>
      <c r="J1688" s="45" t="str">
        <f aca="false">IF($A1688="","",IF(COUNTIF(Accounts!$C$2:$C$201,$A1688)+COUNTIF('Service Principals'!$C$2:$C$201,$A1688)+COUNTIF('Managed Identities'!$C$2:$C$201,$A1688)&gt;0,"Yes","NOT IN INVENTORY"))</f>
        <v/>
      </c>
    </row>
    <row r="1689" customFormat="false" ht="15" hidden="false" customHeight="false" outlineLevel="0" collapsed="false">
      <c r="A1689" s="46"/>
      <c r="B1689" s="46"/>
      <c r="C1689" s="47"/>
      <c r="D1689" s="47"/>
      <c r="E1689" s="46"/>
      <c r="F1689" s="46"/>
      <c r="G1689" s="47"/>
      <c r="H1689" s="47"/>
      <c r="I1689" s="47"/>
      <c r="J1689" s="45" t="str">
        <f aca="false">IF($A1689="","",IF(COUNTIF(Accounts!$C$2:$C$201,$A1689)+COUNTIF('Service Principals'!$C$2:$C$201,$A1689)+COUNTIF('Managed Identities'!$C$2:$C$201,$A1689)&gt;0,"Yes","NOT IN INVENTORY"))</f>
        <v/>
      </c>
    </row>
    <row r="1690" customFormat="false" ht="15" hidden="false" customHeight="false" outlineLevel="0" collapsed="false">
      <c r="A1690" s="46"/>
      <c r="B1690" s="46"/>
      <c r="C1690" s="47"/>
      <c r="D1690" s="47"/>
      <c r="E1690" s="46"/>
      <c r="F1690" s="46"/>
      <c r="G1690" s="47"/>
      <c r="H1690" s="47"/>
      <c r="I1690" s="47"/>
      <c r="J1690" s="45" t="str">
        <f aca="false">IF($A1690="","",IF(COUNTIF(Accounts!$C$2:$C$201,$A1690)+COUNTIF('Service Principals'!$C$2:$C$201,$A1690)+COUNTIF('Managed Identities'!$C$2:$C$201,$A1690)&gt;0,"Yes","NOT IN INVENTORY"))</f>
        <v/>
      </c>
    </row>
    <row r="1691" customFormat="false" ht="15" hidden="false" customHeight="false" outlineLevel="0" collapsed="false">
      <c r="A1691" s="46"/>
      <c r="B1691" s="46"/>
      <c r="C1691" s="47"/>
      <c r="D1691" s="47"/>
      <c r="E1691" s="46"/>
      <c r="F1691" s="46"/>
      <c r="G1691" s="47"/>
      <c r="H1691" s="47"/>
      <c r="I1691" s="47"/>
      <c r="J1691" s="45" t="str">
        <f aca="false">IF($A1691="","",IF(COUNTIF(Accounts!$C$2:$C$201,$A1691)+COUNTIF('Service Principals'!$C$2:$C$201,$A1691)+COUNTIF('Managed Identities'!$C$2:$C$201,$A1691)&gt;0,"Yes","NOT IN INVENTORY"))</f>
        <v/>
      </c>
    </row>
    <row r="1692" customFormat="false" ht="15" hidden="false" customHeight="false" outlineLevel="0" collapsed="false">
      <c r="A1692" s="46"/>
      <c r="B1692" s="46"/>
      <c r="C1692" s="47"/>
      <c r="D1692" s="47"/>
      <c r="E1692" s="46"/>
      <c r="F1692" s="46"/>
      <c r="G1692" s="47"/>
      <c r="H1692" s="47"/>
      <c r="I1692" s="47"/>
      <c r="J1692" s="45" t="str">
        <f aca="false">IF($A1692="","",IF(COUNTIF(Accounts!$C$2:$C$201,$A1692)+COUNTIF('Service Principals'!$C$2:$C$201,$A1692)+COUNTIF('Managed Identities'!$C$2:$C$201,$A1692)&gt;0,"Yes","NOT IN INVENTORY"))</f>
        <v/>
      </c>
    </row>
    <row r="1693" customFormat="false" ht="15" hidden="false" customHeight="false" outlineLevel="0" collapsed="false">
      <c r="A1693" s="46"/>
      <c r="B1693" s="46"/>
      <c r="C1693" s="47"/>
      <c r="D1693" s="47"/>
      <c r="E1693" s="46"/>
      <c r="F1693" s="46"/>
      <c r="G1693" s="47"/>
      <c r="H1693" s="47"/>
      <c r="I1693" s="47"/>
      <c r="J1693" s="45" t="str">
        <f aca="false">IF($A1693="","",IF(COUNTIF(Accounts!$C$2:$C$201,$A1693)+COUNTIF('Service Principals'!$C$2:$C$201,$A1693)+COUNTIF('Managed Identities'!$C$2:$C$201,$A1693)&gt;0,"Yes","NOT IN INVENTORY"))</f>
        <v/>
      </c>
    </row>
    <row r="1694" customFormat="false" ht="15" hidden="false" customHeight="false" outlineLevel="0" collapsed="false">
      <c r="A1694" s="46"/>
      <c r="B1694" s="46"/>
      <c r="C1694" s="47"/>
      <c r="D1694" s="47"/>
      <c r="E1694" s="46"/>
      <c r="F1694" s="46"/>
      <c r="G1694" s="47"/>
      <c r="H1694" s="47"/>
      <c r="I1694" s="47"/>
      <c r="J1694" s="45" t="str">
        <f aca="false">IF($A1694="","",IF(COUNTIF(Accounts!$C$2:$C$201,$A1694)+COUNTIF('Service Principals'!$C$2:$C$201,$A1694)+COUNTIF('Managed Identities'!$C$2:$C$201,$A1694)&gt;0,"Yes","NOT IN INVENTORY"))</f>
        <v/>
      </c>
    </row>
    <row r="1695" customFormat="false" ht="15" hidden="false" customHeight="false" outlineLevel="0" collapsed="false">
      <c r="A1695" s="46"/>
      <c r="B1695" s="46"/>
      <c r="C1695" s="47"/>
      <c r="D1695" s="47"/>
      <c r="E1695" s="46"/>
      <c r="F1695" s="46"/>
      <c r="G1695" s="47"/>
      <c r="H1695" s="47"/>
      <c r="I1695" s="47"/>
      <c r="J1695" s="45" t="str">
        <f aca="false">IF($A1695="","",IF(COUNTIF(Accounts!$C$2:$C$201,$A1695)+COUNTIF('Service Principals'!$C$2:$C$201,$A1695)+COUNTIF('Managed Identities'!$C$2:$C$201,$A1695)&gt;0,"Yes","NOT IN INVENTORY"))</f>
        <v/>
      </c>
    </row>
    <row r="1696" customFormat="false" ht="15" hidden="false" customHeight="false" outlineLevel="0" collapsed="false">
      <c r="A1696" s="46"/>
      <c r="B1696" s="46"/>
      <c r="C1696" s="47"/>
      <c r="D1696" s="47"/>
      <c r="E1696" s="46"/>
      <c r="F1696" s="46"/>
      <c r="G1696" s="47"/>
      <c r="H1696" s="47"/>
      <c r="I1696" s="47"/>
      <c r="J1696" s="45" t="str">
        <f aca="false">IF($A1696="","",IF(COUNTIF(Accounts!$C$2:$C$201,$A1696)+COUNTIF('Service Principals'!$C$2:$C$201,$A1696)+COUNTIF('Managed Identities'!$C$2:$C$201,$A1696)&gt;0,"Yes","NOT IN INVENTORY"))</f>
        <v/>
      </c>
    </row>
    <row r="1697" customFormat="false" ht="15" hidden="false" customHeight="false" outlineLevel="0" collapsed="false">
      <c r="A1697" s="46"/>
      <c r="B1697" s="46"/>
      <c r="C1697" s="47"/>
      <c r="D1697" s="47"/>
      <c r="E1697" s="46"/>
      <c r="F1697" s="46"/>
      <c r="G1697" s="47"/>
      <c r="H1697" s="47"/>
      <c r="I1697" s="47"/>
      <c r="J1697" s="45" t="str">
        <f aca="false">IF($A1697="","",IF(COUNTIF(Accounts!$C$2:$C$201,$A1697)+COUNTIF('Service Principals'!$C$2:$C$201,$A1697)+COUNTIF('Managed Identities'!$C$2:$C$201,$A1697)&gt;0,"Yes","NOT IN INVENTORY"))</f>
        <v/>
      </c>
    </row>
    <row r="1698" customFormat="false" ht="15" hidden="false" customHeight="false" outlineLevel="0" collapsed="false">
      <c r="A1698" s="46"/>
      <c r="B1698" s="46"/>
      <c r="C1698" s="47"/>
      <c r="D1698" s="47"/>
      <c r="E1698" s="46"/>
      <c r="F1698" s="46"/>
      <c r="G1698" s="47"/>
      <c r="H1698" s="47"/>
      <c r="I1698" s="47"/>
      <c r="J1698" s="45" t="str">
        <f aca="false">IF($A1698="","",IF(COUNTIF(Accounts!$C$2:$C$201,$A1698)+COUNTIF('Service Principals'!$C$2:$C$201,$A1698)+COUNTIF('Managed Identities'!$C$2:$C$201,$A1698)&gt;0,"Yes","NOT IN INVENTORY"))</f>
        <v/>
      </c>
    </row>
    <row r="1699" customFormat="false" ht="15" hidden="false" customHeight="false" outlineLevel="0" collapsed="false">
      <c r="A1699" s="46"/>
      <c r="B1699" s="46"/>
      <c r="C1699" s="47"/>
      <c r="D1699" s="47"/>
      <c r="E1699" s="46"/>
      <c r="F1699" s="46"/>
      <c r="G1699" s="47"/>
      <c r="H1699" s="47"/>
      <c r="I1699" s="47"/>
      <c r="J1699" s="45" t="str">
        <f aca="false">IF($A1699="","",IF(COUNTIF(Accounts!$C$2:$C$201,$A1699)+COUNTIF('Service Principals'!$C$2:$C$201,$A1699)+COUNTIF('Managed Identities'!$C$2:$C$201,$A1699)&gt;0,"Yes","NOT IN INVENTORY"))</f>
        <v/>
      </c>
    </row>
    <row r="1700" customFormat="false" ht="15" hidden="false" customHeight="false" outlineLevel="0" collapsed="false">
      <c r="A1700" s="46"/>
      <c r="B1700" s="46"/>
      <c r="C1700" s="47"/>
      <c r="D1700" s="47"/>
      <c r="E1700" s="46"/>
      <c r="F1700" s="46"/>
      <c r="G1700" s="47"/>
      <c r="H1700" s="47"/>
      <c r="I1700" s="47"/>
      <c r="J1700" s="45" t="str">
        <f aca="false">IF($A1700="","",IF(COUNTIF(Accounts!$C$2:$C$201,$A1700)+COUNTIF('Service Principals'!$C$2:$C$201,$A1700)+COUNTIF('Managed Identities'!$C$2:$C$201,$A1700)&gt;0,"Yes","NOT IN INVENTORY"))</f>
        <v/>
      </c>
    </row>
    <row r="1701" customFormat="false" ht="15" hidden="false" customHeight="false" outlineLevel="0" collapsed="false">
      <c r="A1701" s="46"/>
      <c r="B1701" s="46"/>
      <c r="C1701" s="47"/>
      <c r="D1701" s="47"/>
      <c r="E1701" s="46"/>
      <c r="F1701" s="46"/>
      <c r="G1701" s="47"/>
      <c r="H1701" s="47"/>
      <c r="I1701" s="47"/>
      <c r="J1701" s="45" t="str">
        <f aca="false">IF($A1701="","",IF(COUNTIF(Accounts!$C$2:$C$201,$A1701)+COUNTIF('Service Principals'!$C$2:$C$201,$A1701)+COUNTIF('Managed Identities'!$C$2:$C$201,$A1701)&gt;0,"Yes","NOT IN INVENTORY"))</f>
        <v/>
      </c>
    </row>
    <row r="1702" customFormat="false" ht="15" hidden="false" customHeight="false" outlineLevel="0" collapsed="false">
      <c r="A1702" s="46"/>
      <c r="B1702" s="46"/>
      <c r="C1702" s="47"/>
      <c r="D1702" s="47"/>
      <c r="E1702" s="46"/>
      <c r="F1702" s="46"/>
      <c r="G1702" s="47"/>
      <c r="H1702" s="47"/>
      <c r="I1702" s="47"/>
      <c r="J1702" s="45" t="str">
        <f aca="false">IF($A1702="","",IF(COUNTIF(Accounts!$C$2:$C$201,$A1702)+COUNTIF('Service Principals'!$C$2:$C$201,$A1702)+COUNTIF('Managed Identities'!$C$2:$C$201,$A1702)&gt;0,"Yes","NOT IN INVENTORY"))</f>
        <v/>
      </c>
    </row>
    <row r="1703" customFormat="false" ht="15" hidden="false" customHeight="false" outlineLevel="0" collapsed="false">
      <c r="A1703" s="46"/>
      <c r="B1703" s="46"/>
      <c r="C1703" s="47"/>
      <c r="D1703" s="47"/>
      <c r="E1703" s="46"/>
      <c r="F1703" s="46"/>
      <c r="G1703" s="47"/>
      <c r="H1703" s="47"/>
      <c r="I1703" s="47"/>
      <c r="J1703" s="45" t="str">
        <f aca="false">IF($A1703="","",IF(COUNTIF(Accounts!$C$2:$C$201,$A1703)+COUNTIF('Service Principals'!$C$2:$C$201,$A1703)+COUNTIF('Managed Identities'!$C$2:$C$201,$A1703)&gt;0,"Yes","NOT IN INVENTORY"))</f>
        <v/>
      </c>
    </row>
    <row r="1704" customFormat="false" ht="15" hidden="false" customHeight="false" outlineLevel="0" collapsed="false">
      <c r="A1704" s="46"/>
      <c r="B1704" s="46"/>
      <c r="C1704" s="47"/>
      <c r="D1704" s="47"/>
      <c r="E1704" s="46"/>
      <c r="F1704" s="46"/>
      <c r="G1704" s="47"/>
      <c r="H1704" s="47"/>
      <c r="I1704" s="47"/>
      <c r="J1704" s="45" t="str">
        <f aca="false">IF($A1704="","",IF(COUNTIF(Accounts!$C$2:$C$201,$A1704)+COUNTIF('Service Principals'!$C$2:$C$201,$A1704)+COUNTIF('Managed Identities'!$C$2:$C$201,$A1704)&gt;0,"Yes","NOT IN INVENTORY"))</f>
        <v/>
      </c>
    </row>
    <row r="1705" customFormat="false" ht="15" hidden="false" customHeight="false" outlineLevel="0" collapsed="false">
      <c r="A1705" s="46"/>
      <c r="B1705" s="46"/>
      <c r="C1705" s="47"/>
      <c r="D1705" s="47"/>
      <c r="E1705" s="46"/>
      <c r="F1705" s="46"/>
      <c r="G1705" s="47"/>
      <c r="H1705" s="47"/>
      <c r="I1705" s="47"/>
      <c r="J1705" s="45" t="str">
        <f aca="false">IF($A1705="","",IF(COUNTIF(Accounts!$C$2:$C$201,$A1705)+COUNTIF('Service Principals'!$C$2:$C$201,$A1705)+COUNTIF('Managed Identities'!$C$2:$C$201,$A1705)&gt;0,"Yes","NOT IN INVENTORY"))</f>
        <v/>
      </c>
    </row>
    <row r="1706" customFormat="false" ht="15" hidden="false" customHeight="false" outlineLevel="0" collapsed="false">
      <c r="A1706" s="46"/>
      <c r="B1706" s="46"/>
      <c r="C1706" s="47"/>
      <c r="D1706" s="47"/>
      <c r="E1706" s="46"/>
      <c r="F1706" s="46"/>
      <c r="G1706" s="47"/>
      <c r="H1706" s="47"/>
      <c r="I1706" s="47"/>
      <c r="J1706" s="45" t="str">
        <f aca="false">IF($A1706="","",IF(COUNTIF(Accounts!$C$2:$C$201,$A1706)+COUNTIF('Service Principals'!$C$2:$C$201,$A1706)+COUNTIF('Managed Identities'!$C$2:$C$201,$A1706)&gt;0,"Yes","NOT IN INVENTORY"))</f>
        <v/>
      </c>
    </row>
    <row r="1707" customFormat="false" ht="15" hidden="false" customHeight="false" outlineLevel="0" collapsed="false">
      <c r="A1707" s="46"/>
      <c r="B1707" s="46"/>
      <c r="C1707" s="47"/>
      <c r="D1707" s="47"/>
      <c r="E1707" s="46"/>
      <c r="F1707" s="46"/>
      <c r="G1707" s="47"/>
      <c r="H1707" s="47"/>
      <c r="I1707" s="47"/>
      <c r="J1707" s="45" t="str">
        <f aca="false">IF($A1707="","",IF(COUNTIF(Accounts!$C$2:$C$201,$A1707)+COUNTIF('Service Principals'!$C$2:$C$201,$A1707)+COUNTIF('Managed Identities'!$C$2:$C$201,$A1707)&gt;0,"Yes","NOT IN INVENTORY"))</f>
        <v/>
      </c>
    </row>
    <row r="1708" customFormat="false" ht="15" hidden="false" customHeight="false" outlineLevel="0" collapsed="false">
      <c r="A1708" s="46"/>
      <c r="B1708" s="46"/>
      <c r="C1708" s="47"/>
      <c r="D1708" s="47"/>
      <c r="E1708" s="46"/>
      <c r="F1708" s="46"/>
      <c r="G1708" s="47"/>
      <c r="H1708" s="47"/>
      <c r="I1708" s="47"/>
      <c r="J1708" s="45" t="str">
        <f aca="false">IF($A1708="","",IF(COUNTIF(Accounts!$C$2:$C$201,$A1708)+COUNTIF('Service Principals'!$C$2:$C$201,$A1708)+COUNTIF('Managed Identities'!$C$2:$C$201,$A1708)&gt;0,"Yes","NOT IN INVENTORY"))</f>
        <v/>
      </c>
    </row>
    <row r="1709" customFormat="false" ht="15" hidden="false" customHeight="false" outlineLevel="0" collapsed="false">
      <c r="A1709" s="46"/>
      <c r="B1709" s="46"/>
      <c r="C1709" s="47"/>
      <c r="D1709" s="47"/>
      <c r="E1709" s="46"/>
      <c r="F1709" s="46"/>
      <c r="G1709" s="47"/>
      <c r="H1709" s="47"/>
      <c r="I1709" s="47"/>
      <c r="J1709" s="45" t="str">
        <f aca="false">IF($A1709="","",IF(COUNTIF(Accounts!$C$2:$C$201,$A1709)+COUNTIF('Service Principals'!$C$2:$C$201,$A1709)+COUNTIF('Managed Identities'!$C$2:$C$201,$A1709)&gt;0,"Yes","NOT IN INVENTORY"))</f>
        <v/>
      </c>
    </row>
    <row r="1710" customFormat="false" ht="15" hidden="false" customHeight="false" outlineLevel="0" collapsed="false">
      <c r="A1710" s="46"/>
      <c r="B1710" s="46"/>
      <c r="C1710" s="47"/>
      <c r="D1710" s="47"/>
      <c r="E1710" s="46"/>
      <c r="F1710" s="46"/>
      <c r="G1710" s="47"/>
      <c r="H1710" s="47"/>
      <c r="I1710" s="47"/>
      <c r="J1710" s="45" t="str">
        <f aca="false">IF($A1710="","",IF(COUNTIF(Accounts!$C$2:$C$201,$A1710)+COUNTIF('Service Principals'!$C$2:$C$201,$A1710)+COUNTIF('Managed Identities'!$C$2:$C$201,$A1710)&gt;0,"Yes","NOT IN INVENTORY"))</f>
        <v/>
      </c>
    </row>
    <row r="1711" customFormat="false" ht="15" hidden="false" customHeight="false" outlineLevel="0" collapsed="false">
      <c r="A1711" s="46"/>
      <c r="B1711" s="46"/>
      <c r="C1711" s="47"/>
      <c r="D1711" s="47"/>
      <c r="E1711" s="46"/>
      <c r="F1711" s="46"/>
      <c r="G1711" s="47"/>
      <c r="H1711" s="47"/>
      <c r="I1711" s="47"/>
      <c r="J1711" s="45" t="str">
        <f aca="false">IF($A1711="","",IF(COUNTIF(Accounts!$C$2:$C$201,$A1711)+COUNTIF('Service Principals'!$C$2:$C$201,$A1711)+COUNTIF('Managed Identities'!$C$2:$C$201,$A1711)&gt;0,"Yes","NOT IN INVENTORY"))</f>
        <v/>
      </c>
    </row>
    <row r="1712" customFormat="false" ht="15" hidden="false" customHeight="false" outlineLevel="0" collapsed="false">
      <c r="A1712" s="46"/>
      <c r="B1712" s="46"/>
      <c r="C1712" s="47"/>
      <c r="D1712" s="47"/>
      <c r="E1712" s="46"/>
      <c r="F1712" s="46"/>
      <c r="G1712" s="47"/>
      <c r="H1712" s="47"/>
      <c r="I1712" s="47"/>
      <c r="J1712" s="45" t="str">
        <f aca="false">IF($A1712="","",IF(COUNTIF(Accounts!$C$2:$C$201,$A1712)+COUNTIF('Service Principals'!$C$2:$C$201,$A1712)+COUNTIF('Managed Identities'!$C$2:$C$201,$A1712)&gt;0,"Yes","NOT IN INVENTORY"))</f>
        <v/>
      </c>
    </row>
    <row r="1713" customFormat="false" ht="15" hidden="false" customHeight="false" outlineLevel="0" collapsed="false">
      <c r="A1713" s="46"/>
      <c r="B1713" s="46"/>
      <c r="C1713" s="47"/>
      <c r="D1713" s="47"/>
      <c r="E1713" s="46"/>
      <c r="F1713" s="46"/>
      <c r="G1713" s="47"/>
      <c r="H1713" s="47"/>
      <c r="I1713" s="47"/>
      <c r="J1713" s="45" t="str">
        <f aca="false">IF($A1713="","",IF(COUNTIF(Accounts!$C$2:$C$201,$A1713)+COUNTIF('Service Principals'!$C$2:$C$201,$A1713)+COUNTIF('Managed Identities'!$C$2:$C$201,$A1713)&gt;0,"Yes","NOT IN INVENTORY"))</f>
        <v/>
      </c>
    </row>
    <row r="1714" customFormat="false" ht="15" hidden="false" customHeight="false" outlineLevel="0" collapsed="false">
      <c r="A1714" s="46"/>
      <c r="B1714" s="46"/>
      <c r="C1714" s="47"/>
      <c r="D1714" s="47"/>
      <c r="E1714" s="46"/>
      <c r="F1714" s="46"/>
      <c r="G1714" s="47"/>
      <c r="H1714" s="47"/>
      <c r="I1714" s="47"/>
      <c r="J1714" s="45" t="str">
        <f aca="false">IF($A1714="","",IF(COUNTIF(Accounts!$C$2:$C$201,$A1714)+COUNTIF('Service Principals'!$C$2:$C$201,$A1714)+COUNTIF('Managed Identities'!$C$2:$C$201,$A1714)&gt;0,"Yes","NOT IN INVENTORY"))</f>
        <v/>
      </c>
    </row>
    <row r="1715" customFormat="false" ht="15" hidden="false" customHeight="false" outlineLevel="0" collapsed="false">
      <c r="A1715" s="46"/>
      <c r="B1715" s="46"/>
      <c r="C1715" s="47"/>
      <c r="D1715" s="47"/>
      <c r="E1715" s="46"/>
      <c r="F1715" s="46"/>
      <c r="G1715" s="47"/>
      <c r="H1715" s="47"/>
      <c r="I1715" s="47"/>
      <c r="J1715" s="45" t="str">
        <f aca="false">IF($A1715="","",IF(COUNTIF(Accounts!$C$2:$C$201,$A1715)+COUNTIF('Service Principals'!$C$2:$C$201,$A1715)+COUNTIF('Managed Identities'!$C$2:$C$201,$A1715)&gt;0,"Yes","NOT IN INVENTORY"))</f>
        <v/>
      </c>
    </row>
    <row r="1716" customFormat="false" ht="15" hidden="false" customHeight="false" outlineLevel="0" collapsed="false">
      <c r="A1716" s="46"/>
      <c r="B1716" s="46"/>
      <c r="C1716" s="47"/>
      <c r="D1716" s="47"/>
      <c r="E1716" s="46"/>
      <c r="F1716" s="46"/>
      <c r="G1716" s="47"/>
      <c r="H1716" s="47"/>
      <c r="I1716" s="47"/>
      <c r="J1716" s="45" t="str">
        <f aca="false">IF($A1716="","",IF(COUNTIF(Accounts!$C$2:$C$201,$A1716)+COUNTIF('Service Principals'!$C$2:$C$201,$A1716)+COUNTIF('Managed Identities'!$C$2:$C$201,$A1716)&gt;0,"Yes","NOT IN INVENTORY"))</f>
        <v/>
      </c>
    </row>
    <row r="1717" customFormat="false" ht="15" hidden="false" customHeight="false" outlineLevel="0" collapsed="false">
      <c r="A1717" s="46"/>
      <c r="B1717" s="46"/>
      <c r="C1717" s="47"/>
      <c r="D1717" s="47"/>
      <c r="E1717" s="46"/>
      <c r="F1717" s="46"/>
      <c r="G1717" s="47"/>
      <c r="H1717" s="47"/>
      <c r="I1717" s="47"/>
      <c r="J1717" s="45" t="str">
        <f aca="false">IF($A1717="","",IF(COUNTIF(Accounts!$C$2:$C$201,$A1717)+COUNTIF('Service Principals'!$C$2:$C$201,$A1717)+COUNTIF('Managed Identities'!$C$2:$C$201,$A1717)&gt;0,"Yes","NOT IN INVENTORY"))</f>
        <v/>
      </c>
    </row>
    <row r="1718" customFormat="false" ht="15" hidden="false" customHeight="false" outlineLevel="0" collapsed="false">
      <c r="A1718" s="46"/>
      <c r="B1718" s="46"/>
      <c r="C1718" s="47"/>
      <c r="D1718" s="47"/>
      <c r="E1718" s="46"/>
      <c r="F1718" s="46"/>
      <c r="G1718" s="47"/>
      <c r="H1718" s="47"/>
      <c r="I1718" s="47"/>
      <c r="J1718" s="45" t="str">
        <f aca="false">IF($A1718="","",IF(COUNTIF(Accounts!$C$2:$C$201,$A1718)+COUNTIF('Service Principals'!$C$2:$C$201,$A1718)+COUNTIF('Managed Identities'!$C$2:$C$201,$A1718)&gt;0,"Yes","NOT IN INVENTORY"))</f>
        <v/>
      </c>
    </row>
    <row r="1719" customFormat="false" ht="15" hidden="false" customHeight="false" outlineLevel="0" collapsed="false">
      <c r="A1719" s="46"/>
      <c r="B1719" s="46"/>
      <c r="C1719" s="47"/>
      <c r="D1719" s="47"/>
      <c r="E1719" s="46"/>
      <c r="F1719" s="46"/>
      <c r="G1719" s="47"/>
      <c r="H1719" s="47"/>
      <c r="I1719" s="47"/>
      <c r="J1719" s="45" t="str">
        <f aca="false">IF($A1719="","",IF(COUNTIF(Accounts!$C$2:$C$201,$A1719)+COUNTIF('Service Principals'!$C$2:$C$201,$A1719)+COUNTIF('Managed Identities'!$C$2:$C$201,$A1719)&gt;0,"Yes","NOT IN INVENTORY"))</f>
        <v/>
      </c>
    </row>
    <row r="1720" customFormat="false" ht="15" hidden="false" customHeight="false" outlineLevel="0" collapsed="false">
      <c r="A1720" s="46"/>
      <c r="B1720" s="46"/>
      <c r="C1720" s="47"/>
      <c r="D1720" s="47"/>
      <c r="E1720" s="46"/>
      <c r="F1720" s="46"/>
      <c r="G1720" s="47"/>
      <c r="H1720" s="47"/>
      <c r="I1720" s="47"/>
      <c r="J1720" s="45" t="str">
        <f aca="false">IF($A1720="","",IF(COUNTIF(Accounts!$C$2:$C$201,$A1720)+COUNTIF('Service Principals'!$C$2:$C$201,$A1720)+COUNTIF('Managed Identities'!$C$2:$C$201,$A1720)&gt;0,"Yes","NOT IN INVENTORY"))</f>
        <v/>
      </c>
    </row>
    <row r="1721" customFormat="false" ht="15" hidden="false" customHeight="false" outlineLevel="0" collapsed="false">
      <c r="A1721" s="46"/>
      <c r="B1721" s="46"/>
      <c r="C1721" s="47"/>
      <c r="D1721" s="47"/>
      <c r="E1721" s="46"/>
      <c r="F1721" s="46"/>
      <c r="G1721" s="47"/>
      <c r="H1721" s="47"/>
      <c r="I1721" s="47"/>
      <c r="J1721" s="45" t="str">
        <f aca="false">IF($A1721="","",IF(COUNTIF(Accounts!$C$2:$C$201,$A1721)+COUNTIF('Service Principals'!$C$2:$C$201,$A1721)+COUNTIF('Managed Identities'!$C$2:$C$201,$A1721)&gt;0,"Yes","NOT IN INVENTORY"))</f>
        <v/>
      </c>
    </row>
    <row r="1722" customFormat="false" ht="15" hidden="false" customHeight="false" outlineLevel="0" collapsed="false">
      <c r="A1722" s="46"/>
      <c r="B1722" s="46"/>
      <c r="C1722" s="47"/>
      <c r="D1722" s="47"/>
      <c r="E1722" s="46"/>
      <c r="F1722" s="46"/>
      <c r="G1722" s="47"/>
      <c r="H1722" s="47"/>
      <c r="I1722" s="47"/>
      <c r="J1722" s="45" t="str">
        <f aca="false">IF($A1722="","",IF(COUNTIF(Accounts!$C$2:$C$201,$A1722)+COUNTIF('Service Principals'!$C$2:$C$201,$A1722)+COUNTIF('Managed Identities'!$C$2:$C$201,$A1722)&gt;0,"Yes","NOT IN INVENTORY"))</f>
        <v/>
      </c>
    </row>
    <row r="1723" customFormat="false" ht="15" hidden="false" customHeight="false" outlineLevel="0" collapsed="false">
      <c r="A1723" s="46"/>
      <c r="B1723" s="46"/>
      <c r="C1723" s="47"/>
      <c r="D1723" s="47"/>
      <c r="E1723" s="46"/>
      <c r="F1723" s="46"/>
      <c r="G1723" s="47"/>
      <c r="H1723" s="47"/>
      <c r="I1723" s="47"/>
      <c r="J1723" s="45" t="str">
        <f aca="false">IF($A1723="","",IF(COUNTIF(Accounts!$C$2:$C$201,$A1723)+COUNTIF('Service Principals'!$C$2:$C$201,$A1723)+COUNTIF('Managed Identities'!$C$2:$C$201,$A1723)&gt;0,"Yes","NOT IN INVENTORY"))</f>
        <v/>
      </c>
    </row>
    <row r="1724" customFormat="false" ht="15" hidden="false" customHeight="false" outlineLevel="0" collapsed="false">
      <c r="A1724" s="46"/>
      <c r="B1724" s="46"/>
      <c r="C1724" s="47"/>
      <c r="D1724" s="47"/>
      <c r="E1724" s="46"/>
      <c r="F1724" s="46"/>
      <c r="G1724" s="47"/>
      <c r="H1724" s="47"/>
      <c r="I1724" s="47"/>
      <c r="J1724" s="45" t="str">
        <f aca="false">IF($A1724="","",IF(COUNTIF(Accounts!$C$2:$C$201,$A1724)+COUNTIF('Service Principals'!$C$2:$C$201,$A1724)+COUNTIF('Managed Identities'!$C$2:$C$201,$A1724)&gt;0,"Yes","NOT IN INVENTORY"))</f>
        <v/>
      </c>
    </row>
    <row r="1725" customFormat="false" ht="15" hidden="false" customHeight="false" outlineLevel="0" collapsed="false">
      <c r="A1725" s="46"/>
      <c r="B1725" s="46"/>
      <c r="C1725" s="47"/>
      <c r="D1725" s="47"/>
      <c r="E1725" s="46"/>
      <c r="F1725" s="46"/>
      <c r="G1725" s="47"/>
      <c r="H1725" s="47"/>
      <c r="I1725" s="47"/>
      <c r="J1725" s="45" t="str">
        <f aca="false">IF($A1725="","",IF(COUNTIF(Accounts!$C$2:$C$201,$A1725)+COUNTIF('Service Principals'!$C$2:$C$201,$A1725)+COUNTIF('Managed Identities'!$C$2:$C$201,$A1725)&gt;0,"Yes","NOT IN INVENTORY"))</f>
        <v/>
      </c>
    </row>
    <row r="1726" customFormat="false" ht="15" hidden="false" customHeight="false" outlineLevel="0" collapsed="false">
      <c r="A1726" s="46"/>
      <c r="B1726" s="46"/>
      <c r="C1726" s="47"/>
      <c r="D1726" s="47"/>
      <c r="E1726" s="46"/>
      <c r="F1726" s="46"/>
      <c r="G1726" s="47"/>
      <c r="H1726" s="47"/>
      <c r="I1726" s="47"/>
      <c r="J1726" s="45" t="str">
        <f aca="false">IF($A1726="","",IF(COUNTIF(Accounts!$C$2:$C$201,$A1726)+COUNTIF('Service Principals'!$C$2:$C$201,$A1726)+COUNTIF('Managed Identities'!$C$2:$C$201,$A1726)&gt;0,"Yes","NOT IN INVENTORY"))</f>
        <v/>
      </c>
    </row>
    <row r="1727" customFormat="false" ht="15" hidden="false" customHeight="false" outlineLevel="0" collapsed="false">
      <c r="A1727" s="46"/>
      <c r="B1727" s="46"/>
      <c r="C1727" s="47"/>
      <c r="D1727" s="47"/>
      <c r="E1727" s="46"/>
      <c r="F1727" s="46"/>
      <c r="G1727" s="47"/>
      <c r="H1727" s="47"/>
      <c r="I1727" s="47"/>
      <c r="J1727" s="45" t="str">
        <f aca="false">IF($A1727="","",IF(COUNTIF(Accounts!$C$2:$C$201,$A1727)+COUNTIF('Service Principals'!$C$2:$C$201,$A1727)+COUNTIF('Managed Identities'!$C$2:$C$201,$A1727)&gt;0,"Yes","NOT IN INVENTORY"))</f>
        <v/>
      </c>
    </row>
    <row r="1728" customFormat="false" ht="15" hidden="false" customHeight="false" outlineLevel="0" collapsed="false">
      <c r="A1728" s="46"/>
      <c r="B1728" s="46"/>
      <c r="C1728" s="47"/>
      <c r="D1728" s="47"/>
      <c r="E1728" s="46"/>
      <c r="F1728" s="46"/>
      <c r="G1728" s="47"/>
      <c r="H1728" s="47"/>
      <c r="I1728" s="47"/>
      <c r="J1728" s="45" t="str">
        <f aca="false">IF($A1728="","",IF(COUNTIF(Accounts!$C$2:$C$201,$A1728)+COUNTIF('Service Principals'!$C$2:$C$201,$A1728)+COUNTIF('Managed Identities'!$C$2:$C$201,$A1728)&gt;0,"Yes","NOT IN INVENTORY"))</f>
        <v/>
      </c>
    </row>
    <row r="1729" customFormat="false" ht="15" hidden="false" customHeight="false" outlineLevel="0" collapsed="false">
      <c r="A1729" s="46"/>
      <c r="B1729" s="46"/>
      <c r="C1729" s="47"/>
      <c r="D1729" s="47"/>
      <c r="E1729" s="46"/>
      <c r="F1729" s="46"/>
      <c r="G1729" s="47"/>
      <c r="H1729" s="47"/>
      <c r="I1729" s="47"/>
      <c r="J1729" s="45" t="str">
        <f aca="false">IF($A1729="","",IF(COUNTIF(Accounts!$C$2:$C$201,$A1729)+COUNTIF('Service Principals'!$C$2:$C$201,$A1729)+COUNTIF('Managed Identities'!$C$2:$C$201,$A1729)&gt;0,"Yes","NOT IN INVENTORY"))</f>
        <v/>
      </c>
    </row>
    <row r="1730" customFormat="false" ht="15" hidden="false" customHeight="false" outlineLevel="0" collapsed="false">
      <c r="A1730" s="46"/>
      <c r="B1730" s="46"/>
      <c r="C1730" s="47"/>
      <c r="D1730" s="47"/>
      <c r="E1730" s="46"/>
      <c r="F1730" s="46"/>
      <c r="G1730" s="47"/>
      <c r="H1730" s="47"/>
      <c r="I1730" s="47"/>
      <c r="J1730" s="45" t="str">
        <f aca="false">IF($A1730="","",IF(COUNTIF(Accounts!$C$2:$C$201,$A1730)+COUNTIF('Service Principals'!$C$2:$C$201,$A1730)+COUNTIF('Managed Identities'!$C$2:$C$201,$A1730)&gt;0,"Yes","NOT IN INVENTORY"))</f>
        <v/>
      </c>
    </row>
    <row r="1731" customFormat="false" ht="15" hidden="false" customHeight="false" outlineLevel="0" collapsed="false">
      <c r="A1731" s="46"/>
      <c r="B1731" s="46"/>
      <c r="C1731" s="47"/>
      <c r="D1731" s="47"/>
      <c r="E1731" s="46"/>
      <c r="F1731" s="46"/>
      <c r="G1731" s="47"/>
      <c r="H1731" s="47"/>
      <c r="I1731" s="47"/>
      <c r="J1731" s="45" t="str">
        <f aca="false">IF($A1731="","",IF(COUNTIF(Accounts!$C$2:$C$201,$A1731)+COUNTIF('Service Principals'!$C$2:$C$201,$A1731)+COUNTIF('Managed Identities'!$C$2:$C$201,$A1731)&gt;0,"Yes","NOT IN INVENTORY"))</f>
        <v/>
      </c>
    </row>
    <row r="1732" customFormat="false" ht="15" hidden="false" customHeight="false" outlineLevel="0" collapsed="false">
      <c r="A1732" s="46"/>
      <c r="B1732" s="46"/>
      <c r="C1732" s="47"/>
      <c r="D1732" s="47"/>
      <c r="E1732" s="46"/>
      <c r="F1732" s="46"/>
      <c r="G1732" s="47"/>
      <c r="H1732" s="47"/>
      <c r="I1732" s="47"/>
      <c r="J1732" s="45" t="str">
        <f aca="false">IF($A1732="","",IF(COUNTIF(Accounts!$C$2:$C$201,$A1732)+COUNTIF('Service Principals'!$C$2:$C$201,$A1732)+COUNTIF('Managed Identities'!$C$2:$C$201,$A1732)&gt;0,"Yes","NOT IN INVENTORY"))</f>
        <v/>
      </c>
    </row>
    <row r="1733" customFormat="false" ht="15" hidden="false" customHeight="false" outlineLevel="0" collapsed="false">
      <c r="A1733" s="46"/>
      <c r="B1733" s="46"/>
      <c r="C1733" s="47"/>
      <c r="D1733" s="47"/>
      <c r="E1733" s="46"/>
      <c r="F1733" s="46"/>
      <c r="G1733" s="47"/>
      <c r="H1733" s="47"/>
      <c r="I1733" s="47"/>
      <c r="J1733" s="45" t="str">
        <f aca="false">IF($A1733="","",IF(COUNTIF(Accounts!$C$2:$C$201,$A1733)+COUNTIF('Service Principals'!$C$2:$C$201,$A1733)+COUNTIF('Managed Identities'!$C$2:$C$201,$A1733)&gt;0,"Yes","NOT IN INVENTORY"))</f>
        <v/>
      </c>
    </row>
    <row r="1734" customFormat="false" ht="15" hidden="false" customHeight="false" outlineLevel="0" collapsed="false">
      <c r="A1734" s="46"/>
      <c r="B1734" s="46"/>
      <c r="C1734" s="47"/>
      <c r="D1734" s="47"/>
      <c r="E1734" s="46"/>
      <c r="F1734" s="46"/>
      <c r="G1734" s="47"/>
      <c r="H1734" s="47"/>
      <c r="I1734" s="47"/>
      <c r="J1734" s="45" t="str">
        <f aca="false">IF($A1734="","",IF(COUNTIF(Accounts!$C$2:$C$201,$A1734)+COUNTIF('Service Principals'!$C$2:$C$201,$A1734)+COUNTIF('Managed Identities'!$C$2:$C$201,$A1734)&gt;0,"Yes","NOT IN INVENTORY"))</f>
        <v/>
      </c>
    </row>
    <row r="1735" customFormat="false" ht="15" hidden="false" customHeight="false" outlineLevel="0" collapsed="false">
      <c r="A1735" s="46"/>
      <c r="B1735" s="46"/>
      <c r="C1735" s="47"/>
      <c r="D1735" s="47"/>
      <c r="E1735" s="46"/>
      <c r="F1735" s="46"/>
      <c r="G1735" s="47"/>
      <c r="H1735" s="47"/>
      <c r="I1735" s="47"/>
      <c r="J1735" s="45" t="str">
        <f aca="false">IF($A1735="","",IF(COUNTIF(Accounts!$C$2:$C$201,$A1735)+COUNTIF('Service Principals'!$C$2:$C$201,$A1735)+COUNTIF('Managed Identities'!$C$2:$C$201,$A1735)&gt;0,"Yes","NOT IN INVENTORY"))</f>
        <v/>
      </c>
    </row>
    <row r="1736" customFormat="false" ht="15" hidden="false" customHeight="false" outlineLevel="0" collapsed="false">
      <c r="A1736" s="46"/>
      <c r="B1736" s="46"/>
      <c r="C1736" s="47"/>
      <c r="D1736" s="47"/>
      <c r="E1736" s="46"/>
      <c r="F1736" s="46"/>
      <c r="G1736" s="47"/>
      <c r="H1736" s="47"/>
      <c r="I1736" s="47"/>
      <c r="J1736" s="45" t="str">
        <f aca="false">IF($A1736="","",IF(COUNTIF(Accounts!$C$2:$C$201,$A1736)+COUNTIF('Service Principals'!$C$2:$C$201,$A1736)+COUNTIF('Managed Identities'!$C$2:$C$201,$A1736)&gt;0,"Yes","NOT IN INVENTORY"))</f>
        <v/>
      </c>
    </row>
    <row r="1737" customFormat="false" ht="15" hidden="false" customHeight="false" outlineLevel="0" collapsed="false">
      <c r="A1737" s="46"/>
      <c r="B1737" s="46"/>
      <c r="C1737" s="47"/>
      <c r="D1737" s="47"/>
      <c r="E1737" s="46"/>
      <c r="F1737" s="46"/>
      <c r="G1737" s="47"/>
      <c r="H1737" s="47"/>
      <c r="I1737" s="47"/>
      <c r="J1737" s="45" t="str">
        <f aca="false">IF($A1737="","",IF(COUNTIF(Accounts!$C$2:$C$201,$A1737)+COUNTIF('Service Principals'!$C$2:$C$201,$A1737)+COUNTIF('Managed Identities'!$C$2:$C$201,$A1737)&gt;0,"Yes","NOT IN INVENTORY"))</f>
        <v/>
      </c>
    </row>
    <row r="1738" customFormat="false" ht="15" hidden="false" customHeight="false" outlineLevel="0" collapsed="false">
      <c r="A1738" s="46"/>
      <c r="B1738" s="46"/>
      <c r="C1738" s="47"/>
      <c r="D1738" s="47"/>
      <c r="E1738" s="46"/>
      <c r="F1738" s="46"/>
      <c r="G1738" s="47"/>
      <c r="H1738" s="47"/>
      <c r="I1738" s="47"/>
      <c r="J1738" s="45" t="str">
        <f aca="false">IF($A1738="","",IF(COUNTIF(Accounts!$C$2:$C$201,$A1738)+COUNTIF('Service Principals'!$C$2:$C$201,$A1738)+COUNTIF('Managed Identities'!$C$2:$C$201,$A1738)&gt;0,"Yes","NOT IN INVENTORY"))</f>
        <v/>
      </c>
    </row>
    <row r="1739" customFormat="false" ht="15" hidden="false" customHeight="false" outlineLevel="0" collapsed="false">
      <c r="A1739" s="46"/>
      <c r="B1739" s="46"/>
      <c r="C1739" s="47"/>
      <c r="D1739" s="47"/>
      <c r="E1739" s="46"/>
      <c r="F1739" s="46"/>
      <c r="G1739" s="47"/>
      <c r="H1739" s="47"/>
      <c r="I1739" s="47"/>
      <c r="J1739" s="45" t="str">
        <f aca="false">IF($A1739="","",IF(COUNTIF(Accounts!$C$2:$C$201,$A1739)+COUNTIF('Service Principals'!$C$2:$C$201,$A1739)+COUNTIF('Managed Identities'!$C$2:$C$201,$A1739)&gt;0,"Yes","NOT IN INVENTORY"))</f>
        <v/>
      </c>
    </row>
    <row r="1740" customFormat="false" ht="15" hidden="false" customHeight="false" outlineLevel="0" collapsed="false">
      <c r="A1740" s="46"/>
      <c r="B1740" s="46"/>
      <c r="C1740" s="47"/>
      <c r="D1740" s="47"/>
      <c r="E1740" s="46"/>
      <c r="F1740" s="46"/>
      <c r="G1740" s="47"/>
      <c r="H1740" s="47"/>
      <c r="I1740" s="47"/>
      <c r="J1740" s="45" t="str">
        <f aca="false">IF($A1740="","",IF(COUNTIF(Accounts!$C$2:$C$201,$A1740)+COUNTIF('Service Principals'!$C$2:$C$201,$A1740)+COUNTIF('Managed Identities'!$C$2:$C$201,$A1740)&gt;0,"Yes","NOT IN INVENTORY"))</f>
        <v/>
      </c>
    </row>
    <row r="1741" customFormat="false" ht="15" hidden="false" customHeight="false" outlineLevel="0" collapsed="false">
      <c r="A1741" s="46"/>
      <c r="B1741" s="46"/>
      <c r="C1741" s="47"/>
      <c r="D1741" s="47"/>
      <c r="E1741" s="46"/>
      <c r="F1741" s="46"/>
      <c r="G1741" s="47"/>
      <c r="H1741" s="47"/>
      <c r="I1741" s="47"/>
      <c r="J1741" s="45" t="str">
        <f aca="false">IF($A1741="","",IF(COUNTIF(Accounts!$C$2:$C$201,$A1741)+COUNTIF('Service Principals'!$C$2:$C$201,$A1741)+COUNTIF('Managed Identities'!$C$2:$C$201,$A1741)&gt;0,"Yes","NOT IN INVENTORY"))</f>
        <v/>
      </c>
    </row>
    <row r="1742" customFormat="false" ht="15" hidden="false" customHeight="false" outlineLevel="0" collapsed="false">
      <c r="A1742" s="46"/>
      <c r="B1742" s="46"/>
      <c r="C1742" s="47"/>
      <c r="D1742" s="47"/>
      <c r="E1742" s="46"/>
      <c r="F1742" s="46"/>
      <c r="G1742" s="47"/>
      <c r="H1742" s="47"/>
      <c r="I1742" s="47"/>
      <c r="J1742" s="45" t="str">
        <f aca="false">IF($A1742="","",IF(COUNTIF(Accounts!$C$2:$C$201,$A1742)+COUNTIF('Service Principals'!$C$2:$C$201,$A1742)+COUNTIF('Managed Identities'!$C$2:$C$201,$A1742)&gt;0,"Yes","NOT IN INVENTORY"))</f>
        <v/>
      </c>
    </row>
    <row r="1743" customFormat="false" ht="15" hidden="false" customHeight="false" outlineLevel="0" collapsed="false">
      <c r="A1743" s="46"/>
      <c r="B1743" s="46"/>
      <c r="C1743" s="47"/>
      <c r="D1743" s="47"/>
      <c r="E1743" s="46"/>
      <c r="F1743" s="46"/>
      <c r="G1743" s="47"/>
      <c r="H1743" s="47"/>
      <c r="I1743" s="47"/>
      <c r="J1743" s="45" t="str">
        <f aca="false">IF($A1743="","",IF(COUNTIF(Accounts!$C$2:$C$201,$A1743)+COUNTIF('Service Principals'!$C$2:$C$201,$A1743)+COUNTIF('Managed Identities'!$C$2:$C$201,$A1743)&gt;0,"Yes","NOT IN INVENTORY"))</f>
        <v/>
      </c>
    </row>
    <row r="1744" customFormat="false" ht="15" hidden="false" customHeight="false" outlineLevel="0" collapsed="false">
      <c r="A1744" s="46"/>
      <c r="B1744" s="46"/>
      <c r="C1744" s="47"/>
      <c r="D1744" s="47"/>
      <c r="E1744" s="46"/>
      <c r="F1744" s="46"/>
      <c r="G1744" s="47"/>
      <c r="H1744" s="47"/>
      <c r="I1744" s="47"/>
      <c r="J1744" s="45" t="str">
        <f aca="false">IF($A1744="","",IF(COUNTIF(Accounts!$C$2:$C$201,$A1744)+COUNTIF('Service Principals'!$C$2:$C$201,$A1744)+COUNTIF('Managed Identities'!$C$2:$C$201,$A1744)&gt;0,"Yes","NOT IN INVENTORY"))</f>
        <v/>
      </c>
    </row>
    <row r="1745" customFormat="false" ht="15" hidden="false" customHeight="false" outlineLevel="0" collapsed="false">
      <c r="A1745" s="46"/>
      <c r="B1745" s="46"/>
      <c r="C1745" s="47"/>
      <c r="D1745" s="47"/>
      <c r="E1745" s="46"/>
      <c r="F1745" s="46"/>
      <c r="G1745" s="47"/>
      <c r="H1745" s="47"/>
      <c r="I1745" s="47"/>
      <c r="J1745" s="45" t="str">
        <f aca="false">IF($A1745="","",IF(COUNTIF(Accounts!$C$2:$C$201,$A1745)+COUNTIF('Service Principals'!$C$2:$C$201,$A1745)+COUNTIF('Managed Identities'!$C$2:$C$201,$A1745)&gt;0,"Yes","NOT IN INVENTORY"))</f>
        <v/>
      </c>
    </row>
    <row r="1746" customFormat="false" ht="15" hidden="false" customHeight="false" outlineLevel="0" collapsed="false">
      <c r="A1746" s="46"/>
      <c r="B1746" s="46"/>
      <c r="C1746" s="47"/>
      <c r="D1746" s="47"/>
      <c r="E1746" s="46"/>
      <c r="F1746" s="46"/>
      <c r="G1746" s="47"/>
      <c r="H1746" s="47"/>
      <c r="I1746" s="47"/>
      <c r="J1746" s="45" t="str">
        <f aca="false">IF($A1746="","",IF(COUNTIF(Accounts!$C$2:$C$201,$A1746)+COUNTIF('Service Principals'!$C$2:$C$201,$A1746)+COUNTIF('Managed Identities'!$C$2:$C$201,$A1746)&gt;0,"Yes","NOT IN INVENTORY"))</f>
        <v/>
      </c>
    </row>
    <row r="1747" customFormat="false" ht="15" hidden="false" customHeight="false" outlineLevel="0" collapsed="false">
      <c r="A1747" s="46"/>
      <c r="B1747" s="46"/>
      <c r="C1747" s="47"/>
      <c r="D1747" s="47"/>
      <c r="E1747" s="46"/>
      <c r="F1747" s="46"/>
      <c r="G1747" s="47"/>
      <c r="H1747" s="47"/>
      <c r="I1747" s="47"/>
      <c r="J1747" s="45" t="str">
        <f aca="false">IF($A1747="","",IF(COUNTIF(Accounts!$C$2:$C$201,$A1747)+COUNTIF('Service Principals'!$C$2:$C$201,$A1747)+COUNTIF('Managed Identities'!$C$2:$C$201,$A1747)&gt;0,"Yes","NOT IN INVENTORY"))</f>
        <v/>
      </c>
    </row>
    <row r="1748" customFormat="false" ht="15" hidden="false" customHeight="false" outlineLevel="0" collapsed="false">
      <c r="A1748" s="46"/>
      <c r="B1748" s="46"/>
      <c r="C1748" s="47"/>
      <c r="D1748" s="47"/>
      <c r="E1748" s="46"/>
      <c r="F1748" s="46"/>
      <c r="G1748" s="47"/>
      <c r="H1748" s="47"/>
      <c r="I1748" s="47"/>
      <c r="J1748" s="45" t="str">
        <f aca="false">IF($A1748="","",IF(COUNTIF(Accounts!$C$2:$C$201,$A1748)+COUNTIF('Service Principals'!$C$2:$C$201,$A1748)+COUNTIF('Managed Identities'!$C$2:$C$201,$A1748)&gt;0,"Yes","NOT IN INVENTORY"))</f>
        <v/>
      </c>
    </row>
    <row r="1749" customFormat="false" ht="15" hidden="false" customHeight="false" outlineLevel="0" collapsed="false">
      <c r="A1749" s="46"/>
      <c r="B1749" s="46"/>
      <c r="C1749" s="47"/>
      <c r="D1749" s="47"/>
      <c r="E1749" s="46"/>
      <c r="F1749" s="46"/>
      <c r="G1749" s="47"/>
      <c r="H1749" s="47"/>
      <c r="I1749" s="47"/>
      <c r="J1749" s="45" t="str">
        <f aca="false">IF($A1749="","",IF(COUNTIF(Accounts!$C$2:$C$201,$A1749)+COUNTIF('Service Principals'!$C$2:$C$201,$A1749)+COUNTIF('Managed Identities'!$C$2:$C$201,$A1749)&gt;0,"Yes","NOT IN INVENTORY"))</f>
        <v/>
      </c>
    </row>
    <row r="1750" customFormat="false" ht="15" hidden="false" customHeight="false" outlineLevel="0" collapsed="false">
      <c r="A1750" s="46"/>
      <c r="B1750" s="46"/>
      <c r="C1750" s="47"/>
      <c r="D1750" s="47"/>
      <c r="E1750" s="46"/>
      <c r="F1750" s="46"/>
      <c r="G1750" s="47"/>
      <c r="H1750" s="47"/>
      <c r="I1750" s="47"/>
      <c r="J1750" s="45" t="str">
        <f aca="false">IF($A1750="","",IF(COUNTIF(Accounts!$C$2:$C$201,$A1750)+COUNTIF('Service Principals'!$C$2:$C$201,$A1750)+COUNTIF('Managed Identities'!$C$2:$C$201,$A1750)&gt;0,"Yes","NOT IN INVENTORY"))</f>
        <v/>
      </c>
    </row>
    <row r="1751" customFormat="false" ht="15" hidden="false" customHeight="false" outlineLevel="0" collapsed="false">
      <c r="A1751" s="46"/>
      <c r="B1751" s="46"/>
      <c r="C1751" s="47"/>
      <c r="D1751" s="47"/>
      <c r="E1751" s="46"/>
      <c r="F1751" s="46"/>
      <c r="G1751" s="47"/>
      <c r="H1751" s="47"/>
      <c r="I1751" s="47"/>
      <c r="J1751" s="45" t="str">
        <f aca="false">IF($A1751="","",IF(COUNTIF(Accounts!$C$2:$C$201,$A1751)+COUNTIF('Service Principals'!$C$2:$C$201,$A1751)+COUNTIF('Managed Identities'!$C$2:$C$201,$A1751)&gt;0,"Yes","NOT IN INVENTORY"))</f>
        <v/>
      </c>
    </row>
    <row r="1752" customFormat="false" ht="15" hidden="false" customHeight="false" outlineLevel="0" collapsed="false">
      <c r="A1752" s="46"/>
      <c r="B1752" s="46"/>
      <c r="C1752" s="47"/>
      <c r="D1752" s="47"/>
      <c r="E1752" s="46"/>
      <c r="F1752" s="46"/>
      <c r="G1752" s="47"/>
      <c r="H1752" s="47"/>
      <c r="I1752" s="47"/>
      <c r="J1752" s="45" t="str">
        <f aca="false">IF($A1752="","",IF(COUNTIF(Accounts!$C$2:$C$201,$A1752)+COUNTIF('Service Principals'!$C$2:$C$201,$A1752)+COUNTIF('Managed Identities'!$C$2:$C$201,$A1752)&gt;0,"Yes","NOT IN INVENTORY"))</f>
        <v/>
      </c>
    </row>
    <row r="1753" customFormat="false" ht="15" hidden="false" customHeight="false" outlineLevel="0" collapsed="false">
      <c r="A1753" s="46"/>
      <c r="B1753" s="46"/>
      <c r="C1753" s="47"/>
      <c r="D1753" s="47"/>
      <c r="E1753" s="46"/>
      <c r="F1753" s="46"/>
      <c r="G1753" s="47"/>
      <c r="H1753" s="47"/>
      <c r="I1753" s="47"/>
      <c r="J1753" s="45" t="str">
        <f aca="false">IF($A1753="","",IF(COUNTIF(Accounts!$C$2:$C$201,$A1753)+COUNTIF('Service Principals'!$C$2:$C$201,$A1753)+COUNTIF('Managed Identities'!$C$2:$C$201,$A1753)&gt;0,"Yes","NOT IN INVENTORY"))</f>
        <v/>
      </c>
    </row>
    <row r="1754" customFormat="false" ht="15" hidden="false" customHeight="false" outlineLevel="0" collapsed="false">
      <c r="A1754" s="46"/>
      <c r="B1754" s="46"/>
      <c r="C1754" s="47"/>
      <c r="D1754" s="47"/>
      <c r="E1754" s="46"/>
      <c r="F1754" s="46"/>
      <c r="G1754" s="47"/>
      <c r="H1754" s="47"/>
      <c r="I1754" s="47"/>
      <c r="J1754" s="45" t="str">
        <f aca="false">IF($A1754="","",IF(COUNTIF(Accounts!$C$2:$C$201,$A1754)+COUNTIF('Service Principals'!$C$2:$C$201,$A1754)+COUNTIF('Managed Identities'!$C$2:$C$201,$A1754)&gt;0,"Yes","NOT IN INVENTORY"))</f>
        <v/>
      </c>
    </row>
    <row r="1755" customFormat="false" ht="15" hidden="false" customHeight="false" outlineLevel="0" collapsed="false">
      <c r="A1755" s="46"/>
      <c r="B1755" s="46"/>
      <c r="C1755" s="47"/>
      <c r="D1755" s="47"/>
      <c r="E1755" s="46"/>
      <c r="F1755" s="46"/>
      <c r="G1755" s="47"/>
      <c r="H1755" s="47"/>
      <c r="I1755" s="47"/>
      <c r="J1755" s="45" t="str">
        <f aca="false">IF($A1755="","",IF(COUNTIF(Accounts!$C$2:$C$201,$A1755)+COUNTIF('Service Principals'!$C$2:$C$201,$A1755)+COUNTIF('Managed Identities'!$C$2:$C$201,$A1755)&gt;0,"Yes","NOT IN INVENTORY"))</f>
        <v/>
      </c>
    </row>
    <row r="1756" customFormat="false" ht="15" hidden="false" customHeight="false" outlineLevel="0" collapsed="false">
      <c r="A1756" s="46"/>
      <c r="B1756" s="46"/>
      <c r="C1756" s="47"/>
      <c r="D1756" s="47"/>
      <c r="E1756" s="46"/>
      <c r="F1756" s="46"/>
      <c r="G1756" s="47"/>
      <c r="H1756" s="47"/>
      <c r="I1756" s="47"/>
      <c r="J1756" s="45" t="str">
        <f aca="false">IF($A1756="","",IF(COUNTIF(Accounts!$C$2:$C$201,$A1756)+COUNTIF('Service Principals'!$C$2:$C$201,$A1756)+COUNTIF('Managed Identities'!$C$2:$C$201,$A1756)&gt;0,"Yes","NOT IN INVENTORY"))</f>
        <v/>
      </c>
    </row>
    <row r="1757" customFormat="false" ht="15" hidden="false" customHeight="false" outlineLevel="0" collapsed="false">
      <c r="A1757" s="46"/>
      <c r="B1757" s="46"/>
      <c r="C1757" s="47"/>
      <c r="D1757" s="47"/>
      <c r="E1757" s="46"/>
      <c r="F1757" s="46"/>
      <c r="G1757" s="47"/>
      <c r="H1757" s="47"/>
      <c r="I1757" s="47"/>
      <c r="J1757" s="45" t="str">
        <f aca="false">IF($A1757="","",IF(COUNTIF(Accounts!$C$2:$C$201,$A1757)+COUNTIF('Service Principals'!$C$2:$C$201,$A1757)+COUNTIF('Managed Identities'!$C$2:$C$201,$A1757)&gt;0,"Yes","NOT IN INVENTORY"))</f>
        <v/>
      </c>
    </row>
    <row r="1758" customFormat="false" ht="15" hidden="false" customHeight="false" outlineLevel="0" collapsed="false">
      <c r="A1758" s="46"/>
      <c r="B1758" s="46"/>
      <c r="C1758" s="47"/>
      <c r="D1758" s="47"/>
      <c r="E1758" s="46"/>
      <c r="F1758" s="46"/>
      <c r="G1758" s="47"/>
      <c r="H1758" s="47"/>
      <c r="I1758" s="47"/>
      <c r="J1758" s="45" t="str">
        <f aca="false">IF($A1758="","",IF(COUNTIF(Accounts!$C$2:$C$201,$A1758)+COUNTIF('Service Principals'!$C$2:$C$201,$A1758)+COUNTIF('Managed Identities'!$C$2:$C$201,$A1758)&gt;0,"Yes","NOT IN INVENTORY"))</f>
        <v/>
      </c>
    </row>
    <row r="1759" customFormat="false" ht="15" hidden="false" customHeight="false" outlineLevel="0" collapsed="false">
      <c r="A1759" s="46"/>
      <c r="B1759" s="46"/>
      <c r="C1759" s="47"/>
      <c r="D1759" s="47"/>
      <c r="E1759" s="46"/>
      <c r="F1759" s="46"/>
      <c r="G1759" s="47"/>
      <c r="H1759" s="47"/>
      <c r="I1759" s="47"/>
      <c r="J1759" s="45" t="str">
        <f aca="false">IF($A1759="","",IF(COUNTIF(Accounts!$C$2:$C$201,$A1759)+COUNTIF('Service Principals'!$C$2:$C$201,$A1759)+COUNTIF('Managed Identities'!$C$2:$C$201,$A1759)&gt;0,"Yes","NOT IN INVENTORY"))</f>
        <v/>
      </c>
    </row>
    <row r="1760" customFormat="false" ht="15" hidden="false" customHeight="false" outlineLevel="0" collapsed="false">
      <c r="A1760" s="46"/>
      <c r="B1760" s="46"/>
      <c r="C1760" s="47"/>
      <c r="D1760" s="47"/>
      <c r="E1760" s="46"/>
      <c r="F1760" s="46"/>
      <c r="G1760" s="47"/>
      <c r="H1760" s="47"/>
      <c r="I1760" s="47"/>
      <c r="J1760" s="45" t="str">
        <f aca="false">IF($A1760="","",IF(COUNTIF(Accounts!$C$2:$C$201,$A1760)+COUNTIF('Service Principals'!$C$2:$C$201,$A1760)+COUNTIF('Managed Identities'!$C$2:$C$201,$A1760)&gt;0,"Yes","NOT IN INVENTORY"))</f>
        <v/>
      </c>
    </row>
    <row r="1761" customFormat="false" ht="15" hidden="false" customHeight="false" outlineLevel="0" collapsed="false">
      <c r="A1761" s="46"/>
      <c r="B1761" s="46"/>
      <c r="C1761" s="47"/>
      <c r="D1761" s="47"/>
      <c r="E1761" s="46"/>
      <c r="F1761" s="46"/>
      <c r="G1761" s="47"/>
      <c r="H1761" s="47"/>
      <c r="I1761" s="47"/>
      <c r="J1761" s="45" t="str">
        <f aca="false">IF($A1761="","",IF(COUNTIF(Accounts!$C$2:$C$201,$A1761)+COUNTIF('Service Principals'!$C$2:$C$201,$A1761)+COUNTIF('Managed Identities'!$C$2:$C$201,$A1761)&gt;0,"Yes","NOT IN INVENTORY"))</f>
        <v/>
      </c>
    </row>
    <row r="1762" customFormat="false" ht="15" hidden="false" customHeight="false" outlineLevel="0" collapsed="false">
      <c r="A1762" s="46"/>
      <c r="B1762" s="46"/>
      <c r="C1762" s="47"/>
      <c r="D1762" s="47"/>
      <c r="E1762" s="46"/>
      <c r="F1762" s="46"/>
      <c r="G1762" s="47"/>
      <c r="H1762" s="47"/>
      <c r="I1762" s="47"/>
      <c r="J1762" s="45" t="str">
        <f aca="false">IF($A1762="","",IF(COUNTIF(Accounts!$C$2:$C$201,$A1762)+COUNTIF('Service Principals'!$C$2:$C$201,$A1762)+COUNTIF('Managed Identities'!$C$2:$C$201,$A1762)&gt;0,"Yes","NOT IN INVENTORY"))</f>
        <v/>
      </c>
    </row>
    <row r="1763" customFormat="false" ht="15" hidden="false" customHeight="false" outlineLevel="0" collapsed="false">
      <c r="A1763" s="46"/>
      <c r="B1763" s="46"/>
      <c r="C1763" s="47"/>
      <c r="D1763" s="47"/>
      <c r="E1763" s="46"/>
      <c r="F1763" s="46"/>
      <c r="G1763" s="47"/>
      <c r="H1763" s="47"/>
      <c r="I1763" s="47"/>
      <c r="J1763" s="45" t="str">
        <f aca="false">IF($A1763="","",IF(COUNTIF(Accounts!$C$2:$C$201,$A1763)+COUNTIF('Service Principals'!$C$2:$C$201,$A1763)+COUNTIF('Managed Identities'!$C$2:$C$201,$A1763)&gt;0,"Yes","NOT IN INVENTORY"))</f>
        <v/>
      </c>
    </row>
    <row r="1764" customFormat="false" ht="15" hidden="false" customHeight="false" outlineLevel="0" collapsed="false">
      <c r="A1764" s="46"/>
      <c r="B1764" s="46"/>
      <c r="C1764" s="47"/>
      <c r="D1764" s="47"/>
      <c r="E1764" s="46"/>
      <c r="F1764" s="46"/>
      <c r="G1764" s="47"/>
      <c r="H1764" s="47"/>
      <c r="I1764" s="47"/>
      <c r="J1764" s="45" t="str">
        <f aca="false">IF($A1764="","",IF(COUNTIF(Accounts!$C$2:$C$201,$A1764)+COUNTIF('Service Principals'!$C$2:$C$201,$A1764)+COUNTIF('Managed Identities'!$C$2:$C$201,$A1764)&gt;0,"Yes","NOT IN INVENTORY"))</f>
        <v/>
      </c>
    </row>
    <row r="1765" customFormat="false" ht="15" hidden="false" customHeight="false" outlineLevel="0" collapsed="false">
      <c r="A1765" s="46"/>
      <c r="B1765" s="46"/>
      <c r="C1765" s="47"/>
      <c r="D1765" s="47"/>
      <c r="E1765" s="46"/>
      <c r="F1765" s="46"/>
      <c r="G1765" s="47"/>
      <c r="H1765" s="47"/>
      <c r="I1765" s="47"/>
      <c r="J1765" s="45" t="str">
        <f aca="false">IF($A1765="","",IF(COUNTIF(Accounts!$C$2:$C$201,$A1765)+COUNTIF('Service Principals'!$C$2:$C$201,$A1765)+COUNTIF('Managed Identities'!$C$2:$C$201,$A1765)&gt;0,"Yes","NOT IN INVENTORY"))</f>
        <v/>
      </c>
    </row>
    <row r="1766" customFormat="false" ht="15" hidden="false" customHeight="false" outlineLevel="0" collapsed="false">
      <c r="A1766" s="46"/>
      <c r="B1766" s="46"/>
      <c r="C1766" s="47"/>
      <c r="D1766" s="47"/>
      <c r="E1766" s="46"/>
      <c r="F1766" s="46"/>
      <c r="G1766" s="47"/>
      <c r="H1766" s="47"/>
      <c r="I1766" s="47"/>
      <c r="J1766" s="45" t="str">
        <f aca="false">IF($A1766="","",IF(COUNTIF(Accounts!$C$2:$C$201,$A1766)+COUNTIF('Service Principals'!$C$2:$C$201,$A1766)+COUNTIF('Managed Identities'!$C$2:$C$201,$A1766)&gt;0,"Yes","NOT IN INVENTORY"))</f>
        <v/>
      </c>
    </row>
    <row r="1767" customFormat="false" ht="15" hidden="false" customHeight="false" outlineLevel="0" collapsed="false">
      <c r="A1767" s="46"/>
      <c r="B1767" s="46"/>
      <c r="C1767" s="47"/>
      <c r="D1767" s="47"/>
      <c r="E1767" s="46"/>
      <c r="F1767" s="46"/>
      <c r="G1767" s="47"/>
      <c r="H1767" s="47"/>
      <c r="I1767" s="47"/>
      <c r="J1767" s="45" t="str">
        <f aca="false">IF($A1767="","",IF(COUNTIF(Accounts!$C$2:$C$201,$A1767)+COUNTIF('Service Principals'!$C$2:$C$201,$A1767)+COUNTIF('Managed Identities'!$C$2:$C$201,$A1767)&gt;0,"Yes","NOT IN INVENTORY"))</f>
        <v/>
      </c>
    </row>
    <row r="1768" customFormat="false" ht="15" hidden="false" customHeight="false" outlineLevel="0" collapsed="false">
      <c r="A1768" s="46"/>
      <c r="B1768" s="46"/>
      <c r="C1768" s="47"/>
      <c r="D1768" s="47"/>
      <c r="E1768" s="46"/>
      <c r="F1768" s="46"/>
      <c r="G1768" s="47"/>
      <c r="H1768" s="47"/>
      <c r="I1768" s="47"/>
      <c r="J1768" s="45" t="str">
        <f aca="false">IF($A1768="","",IF(COUNTIF(Accounts!$C$2:$C$201,$A1768)+COUNTIF('Service Principals'!$C$2:$C$201,$A1768)+COUNTIF('Managed Identities'!$C$2:$C$201,$A1768)&gt;0,"Yes","NOT IN INVENTORY"))</f>
        <v/>
      </c>
    </row>
    <row r="1769" customFormat="false" ht="15" hidden="false" customHeight="false" outlineLevel="0" collapsed="false">
      <c r="A1769" s="46"/>
      <c r="B1769" s="46"/>
      <c r="C1769" s="47"/>
      <c r="D1769" s="47"/>
      <c r="E1769" s="46"/>
      <c r="F1769" s="46"/>
      <c r="G1769" s="47"/>
      <c r="H1769" s="47"/>
      <c r="I1769" s="47"/>
      <c r="J1769" s="45" t="str">
        <f aca="false">IF($A1769="","",IF(COUNTIF(Accounts!$C$2:$C$201,$A1769)+COUNTIF('Service Principals'!$C$2:$C$201,$A1769)+COUNTIF('Managed Identities'!$C$2:$C$201,$A1769)&gt;0,"Yes","NOT IN INVENTORY"))</f>
        <v/>
      </c>
    </row>
    <row r="1770" customFormat="false" ht="15" hidden="false" customHeight="false" outlineLevel="0" collapsed="false">
      <c r="A1770" s="46"/>
      <c r="B1770" s="46"/>
      <c r="C1770" s="47"/>
      <c r="D1770" s="47"/>
      <c r="E1770" s="46"/>
      <c r="F1770" s="46"/>
      <c r="G1770" s="47"/>
      <c r="H1770" s="47"/>
      <c r="I1770" s="47"/>
      <c r="J1770" s="45" t="str">
        <f aca="false">IF($A1770="","",IF(COUNTIF(Accounts!$C$2:$C$201,$A1770)+COUNTIF('Service Principals'!$C$2:$C$201,$A1770)+COUNTIF('Managed Identities'!$C$2:$C$201,$A1770)&gt;0,"Yes","NOT IN INVENTORY"))</f>
        <v/>
      </c>
    </row>
    <row r="1771" customFormat="false" ht="15" hidden="false" customHeight="false" outlineLevel="0" collapsed="false">
      <c r="A1771" s="46"/>
      <c r="B1771" s="46"/>
      <c r="C1771" s="47"/>
      <c r="D1771" s="47"/>
      <c r="E1771" s="46"/>
      <c r="F1771" s="46"/>
      <c r="G1771" s="47"/>
      <c r="H1771" s="47"/>
      <c r="I1771" s="47"/>
      <c r="J1771" s="45" t="str">
        <f aca="false">IF($A1771="","",IF(COUNTIF(Accounts!$C$2:$C$201,$A1771)+COUNTIF('Service Principals'!$C$2:$C$201,$A1771)+COUNTIF('Managed Identities'!$C$2:$C$201,$A1771)&gt;0,"Yes","NOT IN INVENTORY"))</f>
        <v/>
      </c>
    </row>
    <row r="1772" customFormat="false" ht="15" hidden="false" customHeight="false" outlineLevel="0" collapsed="false">
      <c r="A1772" s="46"/>
      <c r="B1772" s="46"/>
      <c r="C1772" s="47"/>
      <c r="D1772" s="47"/>
      <c r="E1772" s="46"/>
      <c r="F1772" s="46"/>
      <c r="G1772" s="47"/>
      <c r="H1772" s="47"/>
      <c r="I1772" s="47"/>
      <c r="J1772" s="45" t="str">
        <f aca="false">IF($A1772="","",IF(COUNTIF(Accounts!$C$2:$C$201,$A1772)+COUNTIF('Service Principals'!$C$2:$C$201,$A1772)+COUNTIF('Managed Identities'!$C$2:$C$201,$A1772)&gt;0,"Yes","NOT IN INVENTORY"))</f>
        <v/>
      </c>
    </row>
    <row r="1773" customFormat="false" ht="15" hidden="false" customHeight="false" outlineLevel="0" collapsed="false">
      <c r="A1773" s="46"/>
      <c r="B1773" s="46"/>
      <c r="C1773" s="47"/>
      <c r="D1773" s="47"/>
      <c r="E1773" s="46"/>
      <c r="F1773" s="46"/>
      <c r="G1773" s="47"/>
      <c r="H1773" s="47"/>
      <c r="I1773" s="47"/>
      <c r="J1773" s="45" t="str">
        <f aca="false">IF($A1773="","",IF(COUNTIF(Accounts!$C$2:$C$201,$A1773)+COUNTIF('Service Principals'!$C$2:$C$201,$A1773)+COUNTIF('Managed Identities'!$C$2:$C$201,$A1773)&gt;0,"Yes","NOT IN INVENTORY"))</f>
        <v/>
      </c>
    </row>
    <row r="1774" customFormat="false" ht="15" hidden="false" customHeight="false" outlineLevel="0" collapsed="false">
      <c r="A1774" s="46"/>
      <c r="B1774" s="46"/>
      <c r="C1774" s="47"/>
      <c r="D1774" s="47"/>
      <c r="E1774" s="46"/>
      <c r="F1774" s="46"/>
      <c r="G1774" s="47"/>
      <c r="H1774" s="47"/>
      <c r="I1774" s="47"/>
      <c r="J1774" s="45" t="str">
        <f aca="false">IF($A1774="","",IF(COUNTIF(Accounts!$C$2:$C$201,$A1774)+COUNTIF('Service Principals'!$C$2:$C$201,$A1774)+COUNTIF('Managed Identities'!$C$2:$C$201,$A1774)&gt;0,"Yes","NOT IN INVENTORY"))</f>
        <v/>
      </c>
    </row>
    <row r="1775" customFormat="false" ht="15" hidden="false" customHeight="false" outlineLevel="0" collapsed="false">
      <c r="A1775" s="46"/>
      <c r="B1775" s="46"/>
      <c r="C1775" s="47"/>
      <c r="D1775" s="47"/>
      <c r="E1775" s="46"/>
      <c r="F1775" s="46"/>
      <c r="G1775" s="47"/>
      <c r="H1775" s="47"/>
      <c r="I1775" s="47"/>
      <c r="J1775" s="45" t="str">
        <f aca="false">IF($A1775="","",IF(COUNTIF(Accounts!$C$2:$C$201,$A1775)+COUNTIF('Service Principals'!$C$2:$C$201,$A1775)+COUNTIF('Managed Identities'!$C$2:$C$201,$A1775)&gt;0,"Yes","NOT IN INVENTORY"))</f>
        <v/>
      </c>
    </row>
    <row r="1776" customFormat="false" ht="15" hidden="false" customHeight="false" outlineLevel="0" collapsed="false">
      <c r="A1776" s="46"/>
      <c r="B1776" s="46"/>
      <c r="C1776" s="47"/>
      <c r="D1776" s="47"/>
      <c r="E1776" s="46"/>
      <c r="F1776" s="46"/>
      <c r="G1776" s="47"/>
      <c r="H1776" s="47"/>
      <c r="I1776" s="47"/>
      <c r="J1776" s="45" t="str">
        <f aca="false">IF($A1776="","",IF(COUNTIF(Accounts!$C$2:$C$201,$A1776)+COUNTIF('Service Principals'!$C$2:$C$201,$A1776)+COUNTIF('Managed Identities'!$C$2:$C$201,$A1776)&gt;0,"Yes","NOT IN INVENTORY"))</f>
        <v/>
      </c>
    </row>
    <row r="1777" customFormat="false" ht="15" hidden="false" customHeight="false" outlineLevel="0" collapsed="false">
      <c r="A1777" s="46"/>
      <c r="B1777" s="46"/>
      <c r="C1777" s="47"/>
      <c r="D1777" s="47"/>
      <c r="E1777" s="46"/>
      <c r="F1777" s="46"/>
      <c r="G1777" s="47"/>
      <c r="H1777" s="47"/>
      <c r="I1777" s="47"/>
      <c r="J1777" s="45" t="str">
        <f aca="false">IF($A1777="","",IF(COUNTIF(Accounts!$C$2:$C$201,$A1777)+COUNTIF('Service Principals'!$C$2:$C$201,$A1777)+COUNTIF('Managed Identities'!$C$2:$C$201,$A1777)&gt;0,"Yes","NOT IN INVENTORY"))</f>
        <v/>
      </c>
    </row>
    <row r="1778" customFormat="false" ht="15" hidden="false" customHeight="false" outlineLevel="0" collapsed="false">
      <c r="A1778" s="46"/>
      <c r="B1778" s="46"/>
      <c r="C1778" s="47"/>
      <c r="D1778" s="47"/>
      <c r="E1778" s="46"/>
      <c r="F1778" s="46"/>
      <c r="G1778" s="47"/>
      <c r="H1778" s="47"/>
      <c r="I1778" s="47"/>
      <c r="J1778" s="45" t="str">
        <f aca="false">IF($A1778="","",IF(COUNTIF(Accounts!$C$2:$C$201,$A1778)+COUNTIF('Service Principals'!$C$2:$C$201,$A1778)+COUNTIF('Managed Identities'!$C$2:$C$201,$A1778)&gt;0,"Yes","NOT IN INVENTORY"))</f>
        <v/>
      </c>
    </row>
    <row r="1779" customFormat="false" ht="15" hidden="false" customHeight="false" outlineLevel="0" collapsed="false">
      <c r="A1779" s="46"/>
      <c r="B1779" s="46"/>
      <c r="C1779" s="47"/>
      <c r="D1779" s="47"/>
      <c r="E1779" s="46"/>
      <c r="F1779" s="46"/>
      <c r="G1779" s="47"/>
      <c r="H1779" s="47"/>
      <c r="I1779" s="47"/>
      <c r="J1779" s="45" t="str">
        <f aca="false">IF($A1779="","",IF(COUNTIF(Accounts!$C$2:$C$201,$A1779)+COUNTIF('Service Principals'!$C$2:$C$201,$A1779)+COUNTIF('Managed Identities'!$C$2:$C$201,$A1779)&gt;0,"Yes","NOT IN INVENTORY"))</f>
        <v/>
      </c>
    </row>
    <row r="1780" customFormat="false" ht="15" hidden="false" customHeight="false" outlineLevel="0" collapsed="false">
      <c r="A1780" s="46"/>
      <c r="B1780" s="46"/>
      <c r="C1780" s="47"/>
      <c r="D1780" s="47"/>
      <c r="E1780" s="46"/>
      <c r="F1780" s="46"/>
      <c r="G1780" s="47"/>
      <c r="H1780" s="47"/>
      <c r="I1780" s="47"/>
      <c r="J1780" s="45" t="str">
        <f aca="false">IF($A1780="","",IF(COUNTIF(Accounts!$C$2:$C$201,$A1780)+COUNTIF('Service Principals'!$C$2:$C$201,$A1780)+COUNTIF('Managed Identities'!$C$2:$C$201,$A1780)&gt;0,"Yes","NOT IN INVENTORY"))</f>
        <v/>
      </c>
    </row>
    <row r="1781" customFormat="false" ht="15" hidden="false" customHeight="false" outlineLevel="0" collapsed="false">
      <c r="A1781" s="46"/>
      <c r="B1781" s="46"/>
      <c r="C1781" s="47"/>
      <c r="D1781" s="47"/>
      <c r="E1781" s="46"/>
      <c r="F1781" s="46"/>
      <c r="G1781" s="47"/>
      <c r="H1781" s="47"/>
      <c r="I1781" s="47"/>
      <c r="J1781" s="45" t="str">
        <f aca="false">IF($A1781="","",IF(COUNTIF(Accounts!$C$2:$C$201,$A1781)+COUNTIF('Service Principals'!$C$2:$C$201,$A1781)+COUNTIF('Managed Identities'!$C$2:$C$201,$A1781)&gt;0,"Yes","NOT IN INVENTORY"))</f>
        <v/>
      </c>
    </row>
    <row r="1782" customFormat="false" ht="15" hidden="false" customHeight="false" outlineLevel="0" collapsed="false">
      <c r="A1782" s="46"/>
      <c r="B1782" s="46"/>
      <c r="C1782" s="47"/>
      <c r="D1782" s="47"/>
      <c r="E1782" s="46"/>
      <c r="F1782" s="46"/>
      <c r="G1782" s="47"/>
      <c r="H1782" s="47"/>
      <c r="I1782" s="47"/>
      <c r="J1782" s="45" t="str">
        <f aca="false">IF($A1782="","",IF(COUNTIF(Accounts!$C$2:$C$201,$A1782)+COUNTIF('Service Principals'!$C$2:$C$201,$A1782)+COUNTIF('Managed Identities'!$C$2:$C$201,$A1782)&gt;0,"Yes","NOT IN INVENTORY"))</f>
        <v/>
      </c>
    </row>
    <row r="1783" customFormat="false" ht="15" hidden="false" customHeight="false" outlineLevel="0" collapsed="false">
      <c r="A1783" s="46"/>
      <c r="B1783" s="46"/>
      <c r="C1783" s="47"/>
      <c r="D1783" s="47"/>
      <c r="E1783" s="46"/>
      <c r="F1783" s="46"/>
      <c r="G1783" s="47"/>
      <c r="H1783" s="47"/>
      <c r="I1783" s="47"/>
      <c r="J1783" s="45" t="str">
        <f aca="false">IF($A1783="","",IF(COUNTIF(Accounts!$C$2:$C$201,$A1783)+COUNTIF('Service Principals'!$C$2:$C$201,$A1783)+COUNTIF('Managed Identities'!$C$2:$C$201,$A1783)&gt;0,"Yes","NOT IN INVENTORY"))</f>
        <v/>
      </c>
    </row>
    <row r="1784" customFormat="false" ht="15" hidden="false" customHeight="false" outlineLevel="0" collapsed="false">
      <c r="A1784" s="46"/>
      <c r="B1784" s="46"/>
      <c r="C1784" s="47"/>
      <c r="D1784" s="47"/>
      <c r="E1784" s="46"/>
      <c r="F1784" s="46"/>
      <c r="G1784" s="47"/>
      <c r="H1784" s="47"/>
      <c r="I1784" s="47"/>
      <c r="J1784" s="45" t="str">
        <f aca="false">IF($A1784="","",IF(COUNTIF(Accounts!$C$2:$C$201,$A1784)+COUNTIF('Service Principals'!$C$2:$C$201,$A1784)+COUNTIF('Managed Identities'!$C$2:$C$201,$A1784)&gt;0,"Yes","NOT IN INVENTORY"))</f>
        <v/>
      </c>
    </row>
    <row r="1785" customFormat="false" ht="15" hidden="false" customHeight="false" outlineLevel="0" collapsed="false">
      <c r="A1785" s="46"/>
      <c r="B1785" s="46"/>
      <c r="C1785" s="47"/>
      <c r="D1785" s="47"/>
      <c r="E1785" s="46"/>
      <c r="F1785" s="46"/>
      <c r="G1785" s="47"/>
      <c r="H1785" s="47"/>
      <c r="I1785" s="47"/>
      <c r="J1785" s="45" t="str">
        <f aca="false">IF($A1785="","",IF(COUNTIF(Accounts!$C$2:$C$201,$A1785)+COUNTIF('Service Principals'!$C$2:$C$201,$A1785)+COUNTIF('Managed Identities'!$C$2:$C$201,$A1785)&gt;0,"Yes","NOT IN INVENTORY"))</f>
        <v/>
      </c>
    </row>
    <row r="1786" customFormat="false" ht="15" hidden="false" customHeight="false" outlineLevel="0" collapsed="false">
      <c r="A1786" s="46"/>
      <c r="B1786" s="46"/>
      <c r="C1786" s="47"/>
      <c r="D1786" s="47"/>
      <c r="E1786" s="46"/>
      <c r="F1786" s="46"/>
      <c r="G1786" s="47"/>
      <c r="H1786" s="47"/>
      <c r="I1786" s="47"/>
      <c r="J1786" s="45" t="str">
        <f aca="false">IF($A1786="","",IF(COUNTIF(Accounts!$C$2:$C$201,$A1786)+COUNTIF('Service Principals'!$C$2:$C$201,$A1786)+COUNTIF('Managed Identities'!$C$2:$C$201,$A1786)&gt;0,"Yes","NOT IN INVENTORY"))</f>
        <v/>
      </c>
    </row>
    <row r="1787" customFormat="false" ht="15" hidden="false" customHeight="false" outlineLevel="0" collapsed="false">
      <c r="A1787" s="46"/>
      <c r="B1787" s="46"/>
      <c r="C1787" s="47"/>
      <c r="D1787" s="47"/>
      <c r="E1787" s="46"/>
      <c r="F1787" s="46"/>
      <c r="G1787" s="47"/>
      <c r="H1787" s="47"/>
      <c r="I1787" s="47"/>
      <c r="J1787" s="45" t="str">
        <f aca="false">IF($A1787="","",IF(COUNTIF(Accounts!$C$2:$C$201,$A1787)+COUNTIF('Service Principals'!$C$2:$C$201,$A1787)+COUNTIF('Managed Identities'!$C$2:$C$201,$A1787)&gt;0,"Yes","NOT IN INVENTORY"))</f>
        <v/>
      </c>
    </row>
    <row r="1788" customFormat="false" ht="15" hidden="false" customHeight="false" outlineLevel="0" collapsed="false">
      <c r="A1788" s="46"/>
      <c r="B1788" s="46"/>
      <c r="C1788" s="47"/>
      <c r="D1788" s="47"/>
      <c r="E1788" s="46"/>
      <c r="F1788" s="46"/>
      <c r="G1788" s="47"/>
      <c r="H1788" s="47"/>
      <c r="I1788" s="47"/>
      <c r="J1788" s="45" t="str">
        <f aca="false">IF($A1788="","",IF(COUNTIF(Accounts!$C$2:$C$201,$A1788)+COUNTIF('Service Principals'!$C$2:$C$201,$A1788)+COUNTIF('Managed Identities'!$C$2:$C$201,$A1788)&gt;0,"Yes","NOT IN INVENTORY"))</f>
        <v/>
      </c>
    </row>
    <row r="1789" customFormat="false" ht="15" hidden="false" customHeight="false" outlineLevel="0" collapsed="false">
      <c r="A1789" s="46"/>
      <c r="B1789" s="46"/>
      <c r="C1789" s="47"/>
      <c r="D1789" s="47"/>
      <c r="E1789" s="46"/>
      <c r="F1789" s="46"/>
      <c r="G1789" s="47"/>
      <c r="H1789" s="47"/>
      <c r="I1789" s="47"/>
      <c r="J1789" s="45" t="str">
        <f aca="false">IF($A1789="","",IF(COUNTIF(Accounts!$C$2:$C$201,$A1789)+COUNTIF('Service Principals'!$C$2:$C$201,$A1789)+COUNTIF('Managed Identities'!$C$2:$C$201,$A1789)&gt;0,"Yes","NOT IN INVENTORY"))</f>
        <v/>
      </c>
    </row>
    <row r="1790" customFormat="false" ht="15" hidden="false" customHeight="false" outlineLevel="0" collapsed="false">
      <c r="A1790" s="46"/>
      <c r="B1790" s="46"/>
      <c r="C1790" s="47"/>
      <c r="D1790" s="47"/>
      <c r="E1790" s="46"/>
      <c r="F1790" s="46"/>
      <c r="G1790" s="47"/>
      <c r="H1790" s="47"/>
      <c r="I1790" s="47"/>
      <c r="J1790" s="45" t="str">
        <f aca="false">IF($A1790="","",IF(COUNTIF(Accounts!$C$2:$C$201,$A1790)+COUNTIF('Service Principals'!$C$2:$C$201,$A1790)+COUNTIF('Managed Identities'!$C$2:$C$201,$A1790)&gt;0,"Yes","NOT IN INVENTORY"))</f>
        <v/>
      </c>
    </row>
    <row r="1791" customFormat="false" ht="15" hidden="false" customHeight="false" outlineLevel="0" collapsed="false">
      <c r="A1791" s="46"/>
      <c r="B1791" s="46"/>
      <c r="C1791" s="47"/>
      <c r="D1791" s="47"/>
      <c r="E1791" s="46"/>
      <c r="F1791" s="46"/>
      <c r="G1791" s="47"/>
      <c r="H1791" s="47"/>
      <c r="I1791" s="47"/>
      <c r="J1791" s="45" t="str">
        <f aca="false">IF($A1791="","",IF(COUNTIF(Accounts!$C$2:$C$201,$A1791)+COUNTIF('Service Principals'!$C$2:$C$201,$A1791)+COUNTIF('Managed Identities'!$C$2:$C$201,$A1791)&gt;0,"Yes","NOT IN INVENTORY"))</f>
        <v/>
      </c>
    </row>
    <row r="1792" customFormat="false" ht="15" hidden="false" customHeight="false" outlineLevel="0" collapsed="false">
      <c r="A1792" s="46"/>
      <c r="B1792" s="46"/>
      <c r="C1792" s="47"/>
      <c r="D1792" s="47"/>
      <c r="E1792" s="46"/>
      <c r="F1792" s="46"/>
      <c r="G1792" s="47"/>
      <c r="H1792" s="47"/>
      <c r="I1792" s="47"/>
      <c r="J1792" s="45" t="str">
        <f aca="false">IF($A1792="","",IF(COUNTIF(Accounts!$C$2:$C$201,$A1792)+COUNTIF('Service Principals'!$C$2:$C$201,$A1792)+COUNTIF('Managed Identities'!$C$2:$C$201,$A1792)&gt;0,"Yes","NOT IN INVENTORY"))</f>
        <v/>
      </c>
    </row>
    <row r="1793" customFormat="false" ht="15" hidden="false" customHeight="false" outlineLevel="0" collapsed="false">
      <c r="A1793" s="46"/>
      <c r="B1793" s="46"/>
      <c r="C1793" s="47"/>
      <c r="D1793" s="47"/>
      <c r="E1793" s="46"/>
      <c r="F1793" s="46"/>
      <c r="G1793" s="47"/>
      <c r="H1793" s="47"/>
      <c r="I1793" s="47"/>
      <c r="J1793" s="45" t="str">
        <f aca="false">IF($A1793="","",IF(COUNTIF(Accounts!$C$2:$C$201,$A1793)+COUNTIF('Service Principals'!$C$2:$C$201,$A1793)+COUNTIF('Managed Identities'!$C$2:$C$201,$A1793)&gt;0,"Yes","NOT IN INVENTORY"))</f>
        <v/>
      </c>
    </row>
    <row r="1794" customFormat="false" ht="15" hidden="false" customHeight="false" outlineLevel="0" collapsed="false">
      <c r="A1794" s="46"/>
      <c r="B1794" s="46"/>
      <c r="C1794" s="47"/>
      <c r="D1794" s="47"/>
      <c r="E1794" s="46"/>
      <c r="F1794" s="46"/>
      <c r="G1794" s="47"/>
      <c r="H1794" s="47"/>
      <c r="I1794" s="47"/>
      <c r="J1794" s="45" t="str">
        <f aca="false">IF($A1794="","",IF(COUNTIF(Accounts!$C$2:$C$201,$A1794)+COUNTIF('Service Principals'!$C$2:$C$201,$A1794)+COUNTIF('Managed Identities'!$C$2:$C$201,$A1794)&gt;0,"Yes","NOT IN INVENTORY"))</f>
        <v/>
      </c>
    </row>
    <row r="1795" customFormat="false" ht="15" hidden="false" customHeight="false" outlineLevel="0" collapsed="false">
      <c r="A1795" s="46"/>
      <c r="B1795" s="46"/>
      <c r="C1795" s="47"/>
      <c r="D1795" s="47"/>
      <c r="E1795" s="46"/>
      <c r="F1795" s="46"/>
      <c r="G1795" s="47"/>
      <c r="H1795" s="47"/>
      <c r="I1795" s="47"/>
      <c r="J1795" s="45" t="str">
        <f aca="false">IF($A1795="","",IF(COUNTIF(Accounts!$C$2:$C$201,$A1795)+COUNTIF('Service Principals'!$C$2:$C$201,$A1795)+COUNTIF('Managed Identities'!$C$2:$C$201,$A1795)&gt;0,"Yes","NOT IN INVENTORY"))</f>
        <v/>
      </c>
    </row>
    <row r="1796" customFormat="false" ht="15" hidden="false" customHeight="false" outlineLevel="0" collapsed="false">
      <c r="A1796" s="46"/>
      <c r="B1796" s="46"/>
      <c r="C1796" s="47"/>
      <c r="D1796" s="47"/>
      <c r="E1796" s="46"/>
      <c r="F1796" s="46"/>
      <c r="G1796" s="47"/>
      <c r="H1796" s="47"/>
      <c r="I1796" s="47"/>
      <c r="J1796" s="45" t="str">
        <f aca="false">IF($A1796="","",IF(COUNTIF(Accounts!$C$2:$C$201,$A1796)+COUNTIF('Service Principals'!$C$2:$C$201,$A1796)+COUNTIF('Managed Identities'!$C$2:$C$201,$A1796)&gt;0,"Yes","NOT IN INVENTORY"))</f>
        <v/>
      </c>
    </row>
    <row r="1797" customFormat="false" ht="15" hidden="false" customHeight="false" outlineLevel="0" collapsed="false">
      <c r="A1797" s="46"/>
      <c r="B1797" s="46"/>
      <c r="C1797" s="47"/>
      <c r="D1797" s="47"/>
      <c r="E1797" s="46"/>
      <c r="F1797" s="46"/>
      <c r="G1797" s="47"/>
      <c r="H1797" s="47"/>
      <c r="I1797" s="47"/>
      <c r="J1797" s="45" t="str">
        <f aca="false">IF($A1797="","",IF(COUNTIF(Accounts!$C$2:$C$201,$A1797)+COUNTIF('Service Principals'!$C$2:$C$201,$A1797)+COUNTIF('Managed Identities'!$C$2:$C$201,$A1797)&gt;0,"Yes","NOT IN INVENTORY"))</f>
        <v/>
      </c>
    </row>
    <row r="1798" customFormat="false" ht="15" hidden="false" customHeight="false" outlineLevel="0" collapsed="false">
      <c r="A1798" s="46"/>
      <c r="B1798" s="46"/>
      <c r="C1798" s="47"/>
      <c r="D1798" s="47"/>
      <c r="E1798" s="46"/>
      <c r="F1798" s="46"/>
      <c r="G1798" s="47"/>
      <c r="H1798" s="47"/>
      <c r="I1798" s="47"/>
      <c r="J1798" s="45" t="str">
        <f aca="false">IF($A1798="","",IF(COUNTIF(Accounts!$C$2:$C$201,$A1798)+COUNTIF('Service Principals'!$C$2:$C$201,$A1798)+COUNTIF('Managed Identities'!$C$2:$C$201,$A1798)&gt;0,"Yes","NOT IN INVENTORY"))</f>
        <v/>
      </c>
    </row>
    <row r="1799" customFormat="false" ht="15" hidden="false" customHeight="false" outlineLevel="0" collapsed="false">
      <c r="A1799" s="46"/>
      <c r="B1799" s="46"/>
      <c r="C1799" s="47"/>
      <c r="D1799" s="47"/>
      <c r="E1799" s="46"/>
      <c r="F1799" s="46"/>
      <c r="G1799" s="47"/>
      <c r="H1799" s="47"/>
      <c r="I1799" s="47"/>
      <c r="J1799" s="45" t="str">
        <f aca="false">IF($A1799="","",IF(COUNTIF(Accounts!$C$2:$C$201,$A1799)+COUNTIF('Service Principals'!$C$2:$C$201,$A1799)+COUNTIF('Managed Identities'!$C$2:$C$201,$A1799)&gt;0,"Yes","NOT IN INVENTORY"))</f>
        <v/>
      </c>
    </row>
    <row r="1800" customFormat="false" ht="15" hidden="false" customHeight="false" outlineLevel="0" collapsed="false">
      <c r="A1800" s="46"/>
      <c r="B1800" s="46"/>
      <c r="C1800" s="47"/>
      <c r="D1800" s="47"/>
      <c r="E1800" s="46"/>
      <c r="F1800" s="46"/>
      <c r="G1800" s="47"/>
      <c r="H1800" s="47"/>
      <c r="I1800" s="47"/>
      <c r="J1800" s="45" t="str">
        <f aca="false">IF($A1800="","",IF(COUNTIF(Accounts!$C$2:$C$201,$A1800)+COUNTIF('Service Principals'!$C$2:$C$201,$A1800)+COUNTIF('Managed Identities'!$C$2:$C$201,$A1800)&gt;0,"Yes","NOT IN INVENTORY"))</f>
        <v/>
      </c>
    </row>
    <row r="1801" customFormat="false" ht="15" hidden="false" customHeight="false" outlineLevel="0" collapsed="false">
      <c r="A1801" s="46"/>
      <c r="B1801" s="46"/>
      <c r="C1801" s="47"/>
      <c r="D1801" s="47"/>
      <c r="E1801" s="46"/>
      <c r="F1801" s="46"/>
      <c r="G1801" s="47"/>
      <c r="H1801" s="47"/>
      <c r="I1801" s="47"/>
      <c r="J1801" s="45" t="str">
        <f aca="false">IF($A1801="","",IF(COUNTIF(Accounts!$C$2:$C$201,$A1801)+COUNTIF('Service Principals'!$C$2:$C$201,$A1801)+COUNTIF('Managed Identities'!$C$2:$C$201,$A1801)&gt;0,"Yes","NOT IN INVENTORY"))</f>
        <v/>
      </c>
    </row>
    <row r="1802" customFormat="false" ht="15" hidden="false" customHeight="false" outlineLevel="0" collapsed="false">
      <c r="A1802" s="46"/>
      <c r="B1802" s="46"/>
      <c r="C1802" s="47"/>
      <c r="D1802" s="47"/>
      <c r="E1802" s="46"/>
      <c r="F1802" s="46"/>
      <c r="G1802" s="47"/>
      <c r="H1802" s="47"/>
      <c r="I1802" s="47"/>
      <c r="J1802" s="45" t="str">
        <f aca="false">IF($A1802="","",IF(COUNTIF(Accounts!$C$2:$C$201,$A1802)+COUNTIF('Service Principals'!$C$2:$C$201,$A1802)+COUNTIF('Managed Identities'!$C$2:$C$201,$A1802)&gt;0,"Yes","NOT IN INVENTORY"))</f>
        <v/>
      </c>
    </row>
    <row r="1803" customFormat="false" ht="15" hidden="false" customHeight="false" outlineLevel="0" collapsed="false">
      <c r="A1803" s="46"/>
      <c r="B1803" s="46"/>
      <c r="C1803" s="47"/>
      <c r="D1803" s="47"/>
      <c r="E1803" s="46"/>
      <c r="F1803" s="46"/>
      <c r="G1803" s="47"/>
      <c r="H1803" s="47"/>
      <c r="I1803" s="47"/>
      <c r="J1803" s="45" t="str">
        <f aca="false">IF($A1803="","",IF(COUNTIF(Accounts!$C$2:$C$201,$A1803)+COUNTIF('Service Principals'!$C$2:$C$201,$A1803)+COUNTIF('Managed Identities'!$C$2:$C$201,$A1803)&gt;0,"Yes","NOT IN INVENTORY"))</f>
        <v/>
      </c>
    </row>
    <row r="1804" customFormat="false" ht="15" hidden="false" customHeight="false" outlineLevel="0" collapsed="false">
      <c r="A1804" s="46"/>
      <c r="B1804" s="46"/>
      <c r="C1804" s="47"/>
      <c r="D1804" s="47"/>
      <c r="E1804" s="46"/>
      <c r="F1804" s="46"/>
      <c r="G1804" s="47"/>
      <c r="H1804" s="47"/>
      <c r="I1804" s="47"/>
      <c r="J1804" s="45" t="str">
        <f aca="false">IF($A1804="","",IF(COUNTIF(Accounts!$C$2:$C$201,$A1804)+COUNTIF('Service Principals'!$C$2:$C$201,$A1804)+COUNTIF('Managed Identities'!$C$2:$C$201,$A1804)&gt;0,"Yes","NOT IN INVENTORY"))</f>
        <v/>
      </c>
    </row>
    <row r="1805" customFormat="false" ht="15" hidden="false" customHeight="false" outlineLevel="0" collapsed="false">
      <c r="A1805" s="46"/>
      <c r="B1805" s="46"/>
      <c r="C1805" s="47"/>
      <c r="D1805" s="47"/>
      <c r="E1805" s="46"/>
      <c r="F1805" s="46"/>
      <c r="G1805" s="47"/>
      <c r="H1805" s="47"/>
      <c r="I1805" s="47"/>
      <c r="J1805" s="45" t="str">
        <f aca="false">IF($A1805="","",IF(COUNTIF(Accounts!$C$2:$C$201,$A1805)+COUNTIF('Service Principals'!$C$2:$C$201,$A1805)+COUNTIF('Managed Identities'!$C$2:$C$201,$A1805)&gt;0,"Yes","NOT IN INVENTORY"))</f>
        <v/>
      </c>
    </row>
    <row r="1806" customFormat="false" ht="15" hidden="false" customHeight="false" outlineLevel="0" collapsed="false">
      <c r="A1806" s="46"/>
      <c r="B1806" s="46"/>
      <c r="C1806" s="47"/>
      <c r="D1806" s="47"/>
      <c r="E1806" s="46"/>
      <c r="F1806" s="46"/>
      <c r="G1806" s="47"/>
      <c r="H1806" s="47"/>
      <c r="I1806" s="47"/>
      <c r="J1806" s="45" t="str">
        <f aca="false">IF($A1806="","",IF(COUNTIF(Accounts!$C$2:$C$201,$A1806)+COUNTIF('Service Principals'!$C$2:$C$201,$A1806)+COUNTIF('Managed Identities'!$C$2:$C$201,$A1806)&gt;0,"Yes","NOT IN INVENTORY"))</f>
        <v/>
      </c>
    </row>
    <row r="1807" customFormat="false" ht="15" hidden="false" customHeight="false" outlineLevel="0" collapsed="false">
      <c r="A1807" s="46"/>
      <c r="B1807" s="46"/>
      <c r="C1807" s="47"/>
      <c r="D1807" s="47"/>
      <c r="E1807" s="46"/>
      <c r="F1807" s="46"/>
      <c r="G1807" s="47"/>
      <c r="H1807" s="47"/>
      <c r="I1807" s="47"/>
      <c r="J1807" s="45" t="str">
        <f aca="false">IF($A1807="","",IF(COUNTIF(Accounts!$C$2:$C$201,$A1807)+COUNTIF('Service Principals'!$C$2:$C$201,$A1807)+COUNTIF('Managed Identities'!$C$2:$C$201,$A1807)&gt;0,"Yes","NOT IN INVENTORY"))</f>
        <v/>
      </c>
    </row>
    <row r="1808" customFormat="false" ht="15" hidden="false" customHeight="false" outlineLevel="0" collapsed="false">
      <c r="A1808" s="46"/>
      <c r="B1808" s="46"/>
      <c r="C1808" s="47"/>
      <c r="D1808" s="47"/>
      <c r="E1808" s="46"/>
      <c r="F1808" s="46"/>
      <c r="G1808" s="47"/>
      <c r="H1808" s="47"/>
      <c r="I1808" s="47"/>
      <c r="J1808" s="45" t="str">
        <f aca="false">IF($A1808="","",IF(COUNTIF(Accounts!$C$2:$C$201,$A1808)+COUNTIF('Service Principals'!$C$2:$C$201,$A1808)+COUNTIF('Managed Identities'!$C$2:$C$201,$A1808)&gt;0,"Yes","NOT IN INVENTORY"))</f>
        <v/>
      </c>
    </row>
    <row r="1809" customFormat="false" ht="15" hidden="false" customHeight="false" outlineLevel="0" collapsed="false">
      <c r="A1809" s="46"/>
      <c r="B1809" s="46"/>
      <c r="C1809" s="47"/>
      <c r="D1809" s="47"/>
      <c r="E1809" s="46"/>
      <c r="F1809" s="46"/>
      <c r="G1809" s="47"/>
      <c r="H1809" s="47"/>
      <c r="I1809" s="47"/>
      <c r="J1809" s="45" t="str">
        <f aca="false">IF($A1809="","",IF(COUNTIF(Accounts!$C$2:$C$201,$A1809)+COUNTIF('Service Principals'!$C$2:$C$201,$A1809)+COUNTIF('Managed Identities'!$C$2:$C$201,$A1809)&gt;0,"Yes","NOT IN INVENTORY"))</f>
        <v/>
      </c>
    </row>
    <row r="1810" customFormat="false" ht="15" hidden="false" customHeight="false" outlineLevel="0" collapsed="false">
      <c r="A1810" s="46"/>
      <c r="B1810" s="46"/>
      <c r="C1810" s="47"/>
      <c r="D1810" s="47"/>
      <c r="E1810" s="46"/>
      <c r="F1810" s="46"/>
      <c r="G1810" s="47"/>
      <c r="H1810" s="47"/>
      <c r="I1810" s="47"/>
      <c r="J1810" s="45" t="str">
        <f aca="false">IF($A1810="","",IF(COUNTIF(Accounts!$C$2:$C$201,$A1810)+COUNTIF('Service Principals'!$C$2:$C$201,$A1810)+COUNTIF('Managed Identities'!$C$2:$C$201,$A1810)&gt;0,"Yes","NOT IN INVENTORY"))</f>
        <v/>
      </c>
    </row>
    <row r="1811" customFormat="false" ht="15" hidden="false" customHeight="false" outlineLevel="0" collapsed="false">
      <c r="A1811" s="46"/>
      <c r="B1811" s="46"/>
      <c r="C1811" s="47"/>
      <c r="D1811" s="47"/>
      <c r="E1811" s="46"/>
      <c r="F1811" s="46"/>
      <c r="G1811" s="47"/>
      <c r="H1811" s="47"/>
      <c r="I1811" s="47"/>
      <c r="J1811" s="45" t="str">
        <f aca="false">IF($A1811="","",IF(COUNTIF(Accounts!$C$2:$C$201,$A1811)+COUNTIF('Service Principals'!$C$2:$C$201,$A1811)+COUNTIF('Managed Identities'!$C$2:$C$201,$A1811)&gt;0,"Yes","NOT IN INVENTORY"))</f>
        <v/>
      </c>
    </row>
    <row r="1812" customFormat="false" ht="15" hidden="false" customHeight="false" outlineLevel="0" collapsed="false">
      <c r="A1812" s="46"/>
      <c r="B1812" s="46"/>
      <c r="C1812" s="47"/>
      <c r="D1812" s="47"/>
      <c r="E1812" s="46"/>
      <c r="F1812" s="46"/>
      <c r="G1812" s="47"/>
      <c r="H1812" s="47"/>
      <c r="I1812" s="47"/>
      <c r="J1812" s="45" t="str">
        <f aca="false">IF($A1812="","",IF(COUNTIF(Accounts!$C$2:$C$201,$A1812)+COUNTIF('Service Principals'!$C$2:$C$201,$A1812)+COUNTIF('Managed Identities'!$C$2:$C$201,$A1812)&gt;0,"Yes","NOT IN INVENTORY"))</f>
        <v/>
      </c>
    </row>
    <row r="1813" customFormat="false" ht="15" hidden="false" customHeight="false" outlineLevel="0" collapsed="false">
      <c r="A1813" s="46"/>
      <c r="B1813" s="46"/>
      <c r="C1813" s="47"/>
      <c r="D1813" s="47"/>
      <c r="E1813" s="46"/>
      <c r="F1813" s="46"/>
      <c r="G1813" s="47"/>
      <c r="H1813" s="47"/>
      <c r="I1813" s="47"/>
      <c r="J1813" s="45" t="str">
        <f aca="false">IF($A1813="","",IF(COUNTIF(Accounts!$C$2:$C$201,$A1813)+COUNTIF('Service Principals'!$C$2:$C$201,$A1813)+COUNTIF('Managed Identities'!$C$2:$C$201,$A1813)&gt;0,"Yes","NOT IN INVENTORY"))</f>
        <v/>
      </c>
    </row>
    <row r="1814" customFormat="false" ht="15" hidden="false" customHeight="false" outlineLevel="0" collapsed="false">
      <c r="A1814" s="46"/>
      <c r="B1814" s="46"/>
      <c r="C1814" s="47"/>
      <c r="D1814" s="47"/>
      <c r="E1814" s="46"/>
      <c r="F1814" s="46"/>
      <c r="G1814" s="47"/>
      <c r="H1814" s="47"/>
      <c r="I1814" s="47"/>
      <c r="J1814" s="45" t="str">
        <f aca="false">IF($A1814="","",IF(COUNTIF(Accounts!$C$2:$C$201,$A1814)+COUNTIF('Service Principals'!$C$2:$C$201,$A1814)+COUNTIF('Managed Identities'!$C$2:$C$201,$A1814)&gt;0,"Yes","NOT IN INVENTORY"))</f>
        <v/>
      </c>
    </row>
    <row r="1815" customFormat="false" ht="15" hidden="false" customHeight="false" outlineLevel="0" collapsed="false">
      <c r="A1815" s="46"/>
      <c r="B1815" s="46"/>
      <c r="C1815" s="47"/>
      <c r="D1815" s="47"/>
      <c r="E1815" s="46"/>
      <c r="F1815" s="46"/>
      <c r="G1815" s="47"/>
      <c r="H1815" s="47"/>
      <c r="I1815" s="47"/>
      <c r="J1815" s="45" t="str">
        <f aca="false">IF($A1815="","",IF(COUNTIF(Accounts!$C$2:$C$201,$A1815)+COUNTIF('Service Principals'!$C$2:$C$201,$A1815)+COUNTIF('Managed Identities'!$C$2:$C$201,$A1815)&gt;0,"Yes","NOT IN INVENTORY"))</f>
        <v/>
      </c>
    </row>
    <row r="1816" customFormat="false" ht="15" hidden="false" customHeight="false" outlineLevel="0" collapsed="false">
      <c r="A1816" s="46"/>
      <c r="B1816" s="46"/>
      <c r="C1816" s="47"/>
      <c r="D1816" s="47"/>
      <c r="E1816" s="46"/>
      <c r="F1816" s="46"/>
      <c r="G1816" s="47"/>
      <c r="H1816" s="47"/>
      <c r="I1816" s="47"/>
      <c r="J1816" s="45" t="str">
        <f aca="false">IF($A1816="","",IF(COUNTIF(Accounts!$C$2:$C$201,$A1816)+COUNTIF('Service Principals'!$C$2:$C$201,$A1816)+COUNTIF('Managed Identities'!$C$2:$C$201,$A1816)&gt;0,"Yes","NOT IN INVENTORY"))</f>
        <v/>
      </c>
    </row>
    <row r="1817" customFormat="false" ht="15" hidden="false" customHeight="false" outlineLevel="0" collapsed="false">
      <c r="A1817" s="46"/>
      <c r="B1817" s="46"/>
      <c r="C1817" s="47"/>
      <c r="D1817" s="47"/>
      <c r="E1817" s="46"/>
      <c r="F1817" s="46"/>
      <c r="G1817" s="47"/>
      <c r="H1817" s="47"/>
      <c r="I1817" s="47"/>
      <c r="J1817" s="45" t="str">
        <f aca="false">IF($A1817="","",IF(COUNTIF(Accounts!$C$2:$C$201,$A1817)+COUNTIF('Service Principals'!$C$2:$C$201,$A1817)+COUNTIF('Managed Identities'!$C$2:$C$201,$A1817)&gt;0,"Yes","NOT IN INVENTORY"))</f>
        <v/>
      </c>
    </row>
    <row r="1818" customFormat="false" ht="15" hidden="false" customHeight="false" outlineLevel="0" collapsed="false">
      <c r="A1818" s="46"/>
      <c r="B1818" s="46"/>
      <c r="C1818" s="47"/>
      <c r="D1818" s="47"/>
      <c r="E1818" s="46"/>
      <c r="F1818" s="46"/>
      <c r="G1818" s="47"/>
      <c r="H1818" s="47"/>
      <c r="I1818" s="47"/>
      <c r="J1818" s="45" t="str">
        <f aca="false">IF($A1818="","",IF(COUNTIF(Accounts!$C$2:$C$201,$A1818)+COUNTIF('Service Principals'!$C$2:$C$201,$A1818)+COUNTIF('Managed Identities'!$C$2:$C$201,$A1818)&gt;0,"Yes","NOT IN INVENTORY"))</f>
        <v/>
      </c>
    </row>
    <row r="1819" customFormat="false" ht="15" hidden="false" customHeight="false" outlineLevel="0" collapsed="false">
      <c r="A1819" s="46"/>
      <c r="B1819" s="46"/>
      <c r="C1819" s="47"/>
      <c r="D1819" s="47"/>
      <c r="E1819" s="46"/>
      <c r="F1819" s="46"/>
      <c r="G1819" s="47"/>
      <c r="H1819" s="47"/>
      <c r="I1819" s="47"/>
      <c r="J1819" s="45" t="str">
        <f aca="false">IF($A1819="","",IF(COUNTIF(Accounts!$C$2:$C$201,$A1819)+COUNTIF('Service Principals'!$C$2:$C$201,$A1819)+COUNTIF('Managed Identities'!$C$2:$C$201,$A1819)&gt;0,"Yes","NOT IN INVENTORY"))</f>
        <v/>
      </c>
    </row>
    <row r="1820" customFormat="false" ht="15" hidden="false" customHeight="false" outlineLevel="0" collapsed="false">
      <c r="A1820" s="46"/>
      <c r="B1820" s="46"/>
      <c r="C1820" s="47"/>
      <c r="D1820" s="47"/>
      <c r="E1820" s="46"/>
      <c r="F1820" s="46"/>
      <c r="G1820" s="47"/>
      <c r="H1820" s="47"/>
      <c r="I1820" s="47"/>
      <c r="J1820" s="45" t="str">
        <f aca="false">IF($A1820="","",IF(COUNTIF(Accounts!$C$2:$C$201,$A1820)+COUNTIF('Service Principals'!$C$2:$C$201,$A1820)+COUNTIF('Managed Identities'!$C$2:$C$201,$A1820)&gt;0,"Yes","NOT IN INVENTORY"))</f>
        <v/>
      </c>
    </row>
    <row r="1821" customFormat="false" ht="15" hidden="false" customHeight="false" outlineLevel="0" collapsed="false">
      <c r="A1821" s="46"/>
      <c r="B1821" s="46"/>
      <c r="C1821" s="47"/>
      <c r="D1821" s="47"/>
      <c r="E1821" s="46"/>
      <c r="F1821" s="46"/>
      <c r="G1821" s="47"/>
      <c r="H1821" s="47"/>
      <c r="I1821" s="47"/>
      <c r="J1821" s="45" t="str">
        <f aca="false">IF($A1821="","",IF(COUNTIF(Accounts!$C$2:$C$201,$A1821)+COUNTIF('Service Principals'!$C$2:$C$201,$A1821)+COUNTIF('Managed Identities'!$C$2:$C$201,$A1821)&gt;0,"Yes","NOT IN INVENTORY"))</f>
        <v/>
      </c>
    </row>
    <row r="1822" customFormat="false" ht="15" hidden="false" customHeight="false" outlineLevel="0" collapsed="false">
      <c r="A1822" s="46"/>
      <c r="B1822" s="46"/>
      <c r="C1822" s="47"/>
      <c r="D1822" s="47"/>
      <c r="E1822" s="46"/>
      <c r="F1822" s="46"/>
      <c r="G1822" s="47"/>
      <c r="H1822" s="47"/>
      <c r="I1822" s="47"/>
      <c r="J1822" s="45" t="str">
        <f aca="false">IF($A1822="","",IF(COUNTIF(Accounts!$C$2:$C$201,$A1822)+COUNTIF('Service Principals'!$C$2:$C$201,$A1822)+COUNTIF('Managed Identities'!$C$2:$C$201,$A1822)&gt;0,"Yes","NOT IN INVENTORY"))</f>
        <v/>
      </c>
    </row>
    <row r="1823" customFormat="false" ht="15" hidden="false" customHeight="false" outlineLevel="0" collapsed="false">
      <c r="A1823" s="46"/>
      <c r="B1823" s="46"/>
      <c r="C1823" s="47"/>
      <c r="D1823" s="47"/>
      <c r="E1823" s="46"/>
      <c r="F1823" s="46"/>
      <c r="G1823" s="47"/>
      <c r="H1823" s="47"/>
      <c r="I1823" s="47"/>
      <c r="J1823" s="45" t="str">
        <f aca="false">IF($A1823="","",IF(COUNTIF(Accounts!$C$2:$C$201,$A1823)+COUNTIF('Service Principals'!$C$2:$C$201,$A1823)+COUNTIF('Managed Identities'!$C$2:$C$201,$A1823)&gt;0,"Yes","NOT IN INVENTORY"))</f>
        <v/>
      </c>
    </row>
    <row r="1824" customFormat="false" ht="15" hidden="false" customHeight="false" outlineLevel="0" collapsed="false">
      <c r="A1824" s="46"/>
      <c r="B1824" s="46"/>
      <c r="C1824" s="47"/>
      <c r="D1824" s="47"/>
      <c r="E1824" s="46"/>
      <c r="F1824" s="46"/>
      <c r="G1824" s="47"/>
      <c r="H1824" s="47"/>
      <c r="I1824" s="47"/>
      <c r="J1824" s="45" t="str">
        <f aca="false">IF($A1824="","",IF(COUNTIF(Accounts!$C$2:$C$201,$A1824)+COUNTIF('Service Principals'!$C$2:$C$201,$A1824)+COUNTIF('Managed Identities'!$C$2:$C$201,$A1824)&gt;0,"Yes","NOT IN INVENTORY"))</f>
        <v/>
      </c>
    </row>
    <row r="1825" customFormat="false" ht="15" hidden="false" customHeight="false" outlineLevel="0" collapsed="false">
      <c r="A1825" s="46"/>
      <c r="B1825" s="46"/>
      <c r="C1825" s="47"/>
      <c r="D1825" s="47"/>
      <c r="E1825" s="46"/>
      <c r="F1825" s="46"/>
      <c r="G1825" s="47"/>
      <c r="H1825" s="47"/>
      <c r="I1825" s="47"/>
      <c r="J1825" s="45" t="str">
        <f aca="false">IF($A1825="","",IF(COUNTIF(Accounts!$C$2:$C$201,$A1825)+COUNTIF('Service Principals'!$C$2:$C$201,$A1825)+COUNTIF('Managed Identities'!$C$2:$C$201,$A1825)&gt;0,"Yes","NOT IN INVENTORY"))</f>
        <v/>
      </c>
    </row>
    <row r="1826" customFormat="false" ht="15" hidden="false" customHeight="false" outlineLevel="0" collapsed="false">
      <c r="A1826" s="46"/>
      <c r="B1826" s="46"/>
      <c r="C1826" s="47"/>
      <c r="D1826" s="47"/>
      <c r="E1826" s="46"/>
      <c r="F1826" s="46"/>
      <c r="G1826" s="47"/>
      <c r="H1826" s="47"/>
      <c r="I1826" s="47"/>
      <c r="J1826" s="45" t="str">
        <f aca="false">IF($A1826="","",IF(COUNTIF(Accounts!$C$2:$C$201,$A1826)+COUNTIF('Service Principals'!$C$2:$C$201,$A1826)+COUNTIF('Managed Identities'!$C$2:$C$201,$A1826)&gt;0,"Yes","NOT IN INVENTORY"))</f>
        <v/>
      </c>
    </row>
    <row r="1827" customFormat="false" ht="15" hidden="false" customHeight="false" outlineLevel="0" collapsed="false">
      <c r="A1827" s="46"/>
      <c r="B1827" s="46"/>
      <c r="C1827" s="47"/>
      <c r="D1827" s="47"/>
      <c r="E1827" s="46"/>
      <c r="F1827" s="46"/>
      <c r="G1827" s="47"/>
      <c r="H1827" s="47"/>
      <c r="I1827" s="47"/>
      <c r="J1827" s="45" t="str">
        <f aca="false">IF($A1827="","",IF(COUNTIF(Accounts!$C$2:$C$201,$A1827)+COUNTIF('Service Principals'!$C$2:$C$201,$A1827)+COUNTIF('Managed Identities'!$C$2:$C$201,$A1827)&gt;0,"Yes","NOT IN INVENTORY"))</f>
        <v/>
      </c>
    </row>
    <row r="1828" customFormat="false" ht="15" hidden="false" customHeight="false" outlineLevel="0" collapsed="false">
      <c r="A1828" s="46"/>
      <c r="B1828" s="46"/>
      <c r="C1828" s="47"/>
      <c r="D1828" s="47"/>
      <c r="E1828" s="46"/>
      <c r="F1828" s="46"/>
      <c r="G1828" s="47"/>
      <c r="H1828" s="47"/>
      <c r="I1828" s="47"/>
      <c r="J1828" s="45" t="str">
        <f aca="false">IF($A1828="","",IF(COUNTIF(Accounts!$C$2:$C$201,$A1828)+COUNTIF('Service Principals'!$C$2:$C$201,$A1828)+COUNTIF('Managed Identities'!$C$2:$C$201,$A1828)&gt;0,"Yes","NOT IN INVENTORY"))</f>
        <v/>
      </c>
    </row>
    <row r="1829" customFormat="false" ht="15" hidden="false" customHeight="false" outlineLevel="0" collapsed="false">
      <c r="A1829" s="46"/>
      <c r="B1829" s="46"/>
      <c r="C1829" s="47"/>
      <c r="D1829" s="47"/>
      <c r="E1829" s="46"/>
      <c r="F1829" s="46"/>
      <c r="G1829" s="47"/>
      <c r="H1829" s="47"/>
      <c r="I1829" s="47"/>
      <c r="J1829" s="45" t="str">
        <f aca="false">IF($A1829="","",IF(COUNTIF(Accounts!$C$2:$C$201,$A1829)+COUNTIF('Service Principals'!$C$2:$C$201,$A1829)+COUNTIF('Managed Identities'!$C$2:$C$201,$A1829)&gt;0,"Yes","NOT IN INVENTORY"))</f>
        <v/>
      </c>
    </row>
    <row r="1830" customFormat="false" ht="15" hidden="false" customHeight="false" outlineLevel="0" collapsed="false">
      <c r="A1830" s="46"/>
      <c r="B1830" s="46"/>
      <c r="C1830" s="47"/>
      <c r="D1830" s="47"/>
      <c r="E1830" s="46"/>
      <c r="F1830" s="46"/>
      <c r="G1830" s="47"/>
      <c r="H1830" s="47"/>
      <c r="I1830" s="47"/>
      <c r="J1830" s="45" t="str">
        <f aca="false">IF($A1830="","",IF(COUNTIF(Accounts!$C$2:$C$201,$A1830)+COUNTIF('Service Principals'!$C$2:$C$201,$A1830)+COUNTIF('Managed Identities'!$C$2:$C$201,$A1830)&gt;0,"Yes","NOT IN INVENTORY"))</f>
        <v/>
      </c>
    </row>
    <row r="1831" customFormat="false" ht="15" hidden="false" customHeight="false" outlineLevel="0" collapsed="false">
      <c r="A1831" s="46"/>
      <c r="B1831" s="46"/>
      <c r="C1831" s="47"/>
      <c r="D1831" s="47"/>
      <c r="E1831" s="46"/>
      <c r="F1831" s="46"/>
      <c r="G1831" s="47"/>
      <c r="H1831" s="47"/>
      <c r="I1831" s="47"/>
      <c r="J1831" s="45" t="str">
        <f aca="false">IF($A1831="","",IF(COUNTIF(Accounts!$C$2:$C$201,$A1831)+COUNTIF('Service Principals'!$C$2:$C$201,$A1831)+COUNTIF('Managed Identities'!$C$2:$C$201,$A1831)&gt;0,"Yes","NOT IN INVENTORY"))</f>
        <v/>
      </c>
    </row>
    <row r="1832" customFormat="false" ht="15" hidden="false" customHeight="false" outlineLevel="0" collapsed="false">
      <c r="A1832" s="46"/>
      <c r="B1832" s="46"/>
      <c r="C1832" s="47"/>
      <c r="D1832" s="47"/>
      <c r="E1832" s="46"/>
      <c r="F1832" s="46"/>
      <c r="G1832" s="47"/>
      <c r="H1832" s="47"/>
      <c r="I1832" s="47"/>
      <c r="J1832" s="45" t="str">
        <f aca="false">IF($A1832="","",IF(COUNTIF(Accounts!$C$2:$C$201,$A1832)+COUNTIF('Service Principals'!$C$2:$C$201,$A1832)+COUNTIF('Managed Identities'!$C$2:$C$201,$A1832)&gt;0,"Yes","NOT IN INVENTORY"))</f>
        <v/>
      </c>
    </row>
    <row r="1833" customFormat="false" ht="15" hidden="false" customHeight="false" outlineLevel="0" collapsed="false">
      <c r="A1833" s="46"/>
      <c r="B1833" s="46"/>
      <c r="C1833" s="47"/>
      <c r="D1833" s="47"/>
      <c r="E1833" s="46"/>
      <c r="F1833" s="46"/>
      <c r="G1833" s="47"/>
      <c r="H1833" s="47"/>
      <c r="I1833" s="47"/>
      <c r="J1833" s="45" t="str">
        <f aca="false">IF($A1833="","",IF(COUNTIF(Accounts!$C$2:$C$201,$A1833)+COUNTIF('Service Principals'!$C$2:$C$201,$A1833)+COUNTIF('Managed Identities'!$C$2:$C$201,$A1833)&gt;0,"Yes","NOT IN INVENTORY"))</f>
        <v/>
      </c>
    </row>
    <row r="1834" customFormat="false" ht="15" hidden="false" customHeight="false" outlineLevel="0" collapsed="false">
      <c r="A1834" s="46"/>
      <c r="B1834" s="46"/>
      <c r="C1834" s="47"/>
      <c r="D1834" s="47"/>
      <c r="E1834" s="46"/>
      <c r="F1834" s="46"/>
      <c r="G1834" s="47"/>
      <c r="H1834" s="47"/>
      <c r="I1834" s="47"/>
      <c r="J1834" s="45" t="str">
        <f aca="false">IF($A1834="","",IF(COUNTIF(Accounts!$C$2:$C$201,$A1834)+COUNTIF('Service Principals'!$C$2:$C$201,$A1834)+COUNTIF('Managed Identities'!$C$2:$C$201,$A1834)&gt;0,"Yes","NOT IN INVENTORY"))</f>
        <v/>
      </c>
    </row>
    <row r="1835" customFormat="false" ht="15" hidden="false" customHeight="false" outlineLevel="0" collapsed="false">
      <c r="A1835" s="46"/>
      <c r="B1835" s="46"/>
      <c r="C1835" s="47"/>
      <c r="D1835" s="47"/>
      <c r="E1835" s="46"/>
      <c r="F1835" s="46"/>
      <c r="G1835" s="47"/>
      <c r="H1835" s="47"/>
      <c r="I1835" s="47"/>
      <c r="J1835" s="45" t="str">
        <f aca="false">IF($A1835="","",IF(COUNTIF(Accounts!$C$2:$C$201,$A1835)+COUNTIF('Service Principals'!$C$2:$C$201,$A1835)+COUNTIF('Managed Identities'!$C$2:$C$201,$A1835)&gt;0,"Yes","NOT IN INVENTORY"))</f>
        <v/>
      </c>
    </row>
    <row r="1836" customFormat="false" ht="15" hidden="false" customHeight="false" outlineLevel="0" collapsed="false">
      <c r="A1836" s="46"/>
      <c r="B1836" s="46"/>
      <c r="C1836" s="47"/>
      <c r="D1836" s="47"/>
      <c r="E1836" s="46"/>
      <c r="F1836" s="46"/>
      <c r="G1836" s="47"/>
      <c r="H1836" s="47"/>
      <c r="I1836" s="47"/>
      <c r="J1836" s="45" t="str">
        <f aca="false">IF($A1836="","",IF(COUNTIF(Accounts!$C$2:$C$201,$A1836)+COUNTIF('Service Principals'!$C$2:$C$201,$A1836)+COUNTIF('Managed Identities'!$C$2:$C$201,$A1836)&gt;0,"Yes","NOT IN INVENTORY"))</f>
        <v/>
      </c>
    </row>
    <row r="1837" customFormat="false" ht="15" hidden="false" customHeight="false" outlineLevel="0" collapsed="false">
      <c r="A1837" s="46"/>
      <c r="B1837" s="46"/>
      <c r="C1837" s="47"/>
      <c r="D1837" s="47"/>
      <c r="E1837" s="46"/>
      <c r="F1837" s="46"/>
      <c r="G1837" s="47"/>
      <c r="H1837" s="47"/>
      <c r="I1837" s="47"/>
      <c r="J1837" s="45" t="str">
        <f aca="false">IF($A1837="","",IF(COUNTIF(Accounts!$C$2:$C$201,$A1837)+COUNTIF('Service Principals'!$C$2:$C$201,$A1837)+COUNTIF('Managed Identities'!$C$2:$C$201,$A1837)&gt;0,"Yes","NOT IN INVENTORY"))</f>
        <v/>
      </c>
    </row>
    <row r="1838" customFormat="false" ht="15" hidden="false" customHeight="false" outlineLevel="0" collapsed="false">
      <c r="A1838" s="46"/>
      <c r="B1838" s="46"/>
      <c r="C1838" s="47"/>
      <c r="D1838" s="47"/>
      <c r="E1838" s="46"/>
      <c r="F1838" s="46"/>
      <c r="G1838" s="47"/>
      <c r="H1838" s="47"/>
      <c r="I1838" s="47"/>
      <c r="J1838" s="45" t="str">
        <f aca="false">IF($A1838="","",IF(COUNTIF(Accounts!$C$2:$C$201,$A1838)+COUNTIF('Service Principals'!$C$2:$C$201,$A1838)+COUNTIF('Managed Identities'!$C$2:$C$201,$A1838)&gt;0,"Yes","NOT IN INVENTORY"))</f>
        <v/>
      </c>
    </row>
    <row r="1839" customFormat="false" ht="15" hidden="false" customHeight="false" outlineLevel="0" collapsed="false">
      <c r="A1839" s="46"/>
      <c r="B1839" s="46"/>
      <c r="C1839" s="47"/>
      <c r="D1839" s="47"/>
      <c r="E1839" s="46"/>
      <c r="F1839" s="46"/>
      <c r="G1839" s="47"/>
      <c r="H1839" s="47"/>
      <c r="I1839" s="47"/>
      <c r="J1839" s="45" t="str">
        <f aca="false">IF($A1839="","",IF(COUNTIF(Accounts!$C$2:$C$201,$A1839)+COUNTIF('Service Principals'!$C$2:$C$201,$A1839)+COUNTIF('Managed Identities'!$C$2:$C$201,$A1839)&gt;0,"Yes","NOT IN INVENTORY"))</f>
        <v/>
      </c>
    </row>
    <row r="1840" customFormat="false" ht="15" hidden="false" customHeight="false" outlineLevel="0" collapsed="false">
      <c r="A1840" s="46"/>
      <c r="B1840" s="46"/>
      <c r="C1840" s="47"/>
      <c r="D1840" s="47"/>
      <c r="E1840" s="46"/>
      <c r="F1840" s="46"/>
      <c r="G1840" s="47"/>
      <c r="H1840" s="47"/>
      <c r="I1840" s="47"/>
      <c r="J1840" s="45" t="str">
        <f aca="false">IF($A1840="","",IF(COUNTIF(Accounts!$C$2:$C$201,$A1840)+COUNTIF('Service Principals'!$C$2:$C$201,$A1840)+COUNTIF('Managed Identities'!$C$2:$C$201,$A1840)&gt;0,"Yes","NOT IN INVENTORY"))</f>
        <v/>
      </c>
    </row>
    <row r="1841" customFormat="false" ht="15" hidden="false" customHeight="false" outlineLevel="0" collapsed="false">
      <c r="A1841" s="46"/>
      <c r="B1841" s="46"/>
      <c r="C1841" s="47"/>
      <c r="D1841" s="47"/>
      <c r="E1841" s="46"/>
      <c r="F1841" s="46"/>
      <c r="G1841" s="47"/>
      <c r="H1841" s="47"/>
      <c r="I1841" s="47"/>
      <c r="J1841" s="45" t="str">
        <f aca="false">IF($A1841="","",IF(COUNTIF(Accounts!$C$2:$C$201,$A1841)+COUNTIF('Service Principals'!$C$2:$C$201,$A1841)+COUNTIF('Managed Identities'!$C$2:$C$201,$A1841)&gt;0,"Yes","NOT IN INVENTORY"))</f>
        <v/>
      </c>
    </row>
    <row r="1842" customFormat="false" ht="15" hidden="false" customHeight="false" outlineLevel="0" collapsed="false">
      <c r="A1842" s="46"/>
      <c r="B1842" s="46"/>
      <c r="C1842" s="47"/>
      <c r="D1842" s="47"/>
      <c r="E1842" s="46"/>
      <c r="F1842" s="46"/>
      <c r="G1842" s="47"/>
      <c r="H1842" s="47"/>
      <c r="I1842" s="47"/>
      <c r="J1842" s="45" t="str">
        <f aca="false">IF($A1842="","",IF(COUNTIF(Accounts!$C$2:$C$201,$A1842)+COUNTIF('Service Principals'!$C$2:$C$201,$A1842)+COUNTIF('Managed Identities'!$C$2:$C$201,$A1842)&gt;0,"Yes","NOT IN INVENTORY"))</f>
        <v/>
      </c>
    </row>
    <row r="1843" customFormat="false" ht="15" hidden="false" customHeight="false" outlineLevel="0" collapsed="false">
      <c r="A1843" s="46"/>
      <c r="B1843" s="46"/>
      <c r="C1843" s="47"/>
      <c r="D1843" s="47"/>
      <c r="E1843" s="46"/>
      <c r="F1843" s="46"/>
      <c r="G1843" s="47"/>
      <c r="H1843" s="47"/>
      <c r="I1843" s="47"/>
      <c r="J1843" s="45" t="str">
        <f aca="false">IF($A1843="","",IF(COUNTIF(Accounts!$C$2:$C$201,$A1843)+COUNTIF('Service Principals'!$C$2:$C$201,$A1843)+COUNTIF('Managed Identities'!$C$2:$C$201,$A1843)&gt;0,"Yes","NOT IN INVENTORY"))</f>
        <v/>
      </c>
    </row>
    <row r="1844" customFormat="false" ht="15" hidden="false" customHeight="false" outlineLevel="0" collapsed="false">
      <c r="A1844" s="46"/>
      <c r="B1844" s="46"/>
      <c r="C1844" s="47"/>
      <c r="D1844" s="47"/>
      <c r="E1844" s="46"/>
      <c r="F1844" s="46"/>
      <c r="G1844" s="47"/>
      <c r="H1844" s="47"/>
      <c r="I1844" s="47"/>
      <c r="J1844" s="45" t="str">
        <f aca="false">IF($A1844="","",IF(COUNTIF(Accounts!$C$2:$C$201,$A1844)+COUNTIF('Service Principals'!$C$2:$C$201,$A1844)+COUNTIF('Managed Identities'!$C$2:$C$201,$A1844)&gt;0,"Yes","NOT IN INVENTORY"))</f>
        <v/>
      </c>
    </row>
    <row r="1845" customFormat="false" ht="15" hidden="false" customHeight="false" outlineLevel="0" collapsed="false">
      <c r="A1845" s="46"/>
      <c r="B1845" s="46"/>
      <c r="C1845" s="47"/>
      <c r="D1845" s="47"/>
      <c r="E1845" s="46"/>
      <c r="F1845" s="46"/>
      <c r="G1845" s="47"/>
      <c r="H1845" s="47"/>
      <c r="I1845" s="47"/>
      <c r="J1845" s="45" t="str">
        <f aca="false">IF($A1845="","",IF(COUNTIF(Accounts!$C$2:$C$201,$A1845)+COUNTIF('Service Principals'!$C$2:$C$201,$A1845)+COUNTIF('Managed Identities'!$C$2:$C$201,$A1845)&gt;0,"Yes","NOT IN INVENTORY"))</f>
        <v/>
      </c>
    </row>
    <row r="1846" customFormat="false" ht="15" hidden="false" customHeight="false" outlineLevel="0" collapsed="false">
      <c r="A1846" s="46"/>
      <c r="B1846" s="46"/>
      <c r="C1846" s="47"/>
      <c r="D1846" s="47"/>
      <c r="E1846" s="46"/>
      <c r="F1846" s="46"/>
      <c r="G1846" s="47"/>
      <c r="H1846" s="47"/>
      <c r="I1846" s="47"/>
      <c r="J1846" s="45" t="str">
        <f aca="false">IF($A1846="","",IF(COUNTIF(Accounts!$C$2:$C$201,$A1846)+COUNTIF('Service Principals'!$C$2:$C$201,$A1846)+COUNTIF('Managed Identities'!$C$2:$C$201,$A1846)&gt;0,"Yes","NOT IN INVENTORY"))</f>
        <v/>
      </c>
    </row>
    <row r="1847" customFormat="false" ht="15" hidden="false" customHeight="false" outlineLevel="0" collapsed="false">
      <c r="A1847" s="46"/>
      <c r="B1847" s="46"/>
      <c r="C1847" s="47"/>
      <c r="D1847" s="47"/>
      <c r="E1847" s="46"/>
      <c r="F1847" s="46"/>
      <c r="G1847" s="47"/>
      <c r="H1847" s="47"/>
      <c r="I1847" s="47"/>
      <c r="J1847" s="45" t="str">
        <f aca="false">IF($A1847="","",IF(COUNTIF(Accounts!$C$2:$C$201,$A1847)+COUNTIF('Service Principals'!$C$2:$C$201,$A1847)+COUNTIF('Managed Identities'!$C$2:$C$201,$A1847)&gt;0,"Yes","NOT IN INVENTORY"))</f>
        <v/>
      </c>
    </row>
    <row r="1848" customFormat="false" ht="15" hidden="false" customHeight="false" outlineLevel="0" collapsed="false">
      <c r="A1848" s="46"/>
      <c r="B1848" s="46"/>
      <c r="C1848" s="47"/>
      <c r="D1848" s="47"/>
      <c r="E1848" s="46"/>
      <c r="F1848" s="46"/>
      <c r="G1848" s="47"/>
      <c r="H1848" s="47"/>
      <c r="I1848" s="47"/>
      <c r="J1848" s="45" t="str">
        <f aca="false">IF($A1848="","",IF(COUNTIF(Accounts!$C$2:$C$201,$A1848)+COUNTIF('Service Principals'!$C$2:$C$201,$A1848)+COUNTIF('Managed Identities'!$C$2:$C$201,$A1848)&gt;0,"Yes","NOT IN INVENTORY"))</f>
        <v/>
      </c>
    </row>
    <row r="1849" customFormat="false" ht="15" hidden="false" customHeight="false" outlineLevel="0" collapsed="false">
      <c r="A1849" s="46"/>
      <c r="B1849" s="46"/>
      <c r="C1849" s="47"/>
      <c r="D1849" s="47"/>
      <c r="E1849" s="46"/>
      <c r="F1849" s="46"/>
      <c r="G1849" s="47"/>
      <c r="H1849" s="47"/>
      <c r="I1849" s="47"/>
      <c r="J1849" s="45" t="str">
        <f aca="false">IF($A1849="","",IF(COUNTIF(Accounts!$C$2:$C$201,$A1849)+COUNTIF('Service Principals'!$C$2:$C$201,$A1849)+COUNTIF('Managed Identities'!$C$2:$C$201,$A1849)&gt;0,"Yes","NOT IN INVENTORY"))</f>
        <v/>
      </c>
    </row>
    <row r="1850" customFormat="false" ht="15" hidden="false" customHeight="false" outlineLevel="0" collapsed="false">
      <c r="A1850" s="46"/>
      <c r="B1850" s="46"/>
      <c r="C1850" s="47"/>
      <c r="D1850" s="47"/>
      <c r="E1850" s="46"/>
      <c r="F1850" s="46"/>
      <c r="G1850" s="47"/>
      <c r="H1850" s="47"/>
      <c r="I1850" s="47"/>
      <c r="J1850" s="45" t="str">
        <f aca="false">IF($A1850="","",IF(COUNTIF(Accounts!$C$2:$C$201,$A1850)+COUNTIF('Service Principals'!$C$2:$C$201,$A1850)+COUNTIF('Managed Identities'!$C$2:$C$201,$A1850)&gt;0,"Yes","NOT IN INVENTORY"))</f>
        <v/>
      </c>
    </row>
    <row r="1851" customFormat="false" ht="15" hidden="false" customHeight="false" outlineLevel="0" collapsed="false">
      <c r="A1851" s="46"/>
      <c r="B1851" s="46"/>
      <c r="C1851" s="47"/>
      <c r="D1851" s="47"/>
      <c r="E1851" s="46"/>
      <c r="F1851" s="46"/>
      <c r="G1851" s="47"/>
      <c r="H1851" s="47"/>
      <c r="I1851" s="47"/>
      <c r="J1851" s="45" t="str">
        <f aca="false">IF($A1851="","",IF(COUNTIF(Accounts!$C$2:$C$201,$A1851)+COUNTIF('Service Principals'!$C$2:$C$201,$A1851)+COUNTIF('Managed Identities'!$C$2:$C$201,$A1851)&gt;0,"Yes","NOT IN INVENTORY"))</f>
        <v/>
      </c>
    </row>
    <row r="1852" customFormat="false" ht="15" hidden="false" customHeight="false" outlineLevel="0" collapsed="false">
      <c r="A1852" s="46"/>
      <c r="B1852" s="46"/>
      <c r="C1852" s="47"/>
      <c r="D1852" s="47"/>
      <c r="E1852" s="46"/>
      <c r="F1852" s="46"/>
      <c r="G1852" s="47"/>
      <c r="H1852" s="47"/>
      <c r="I1852" s="47"/>
      <c r="J1852" s="45" t="str">
        <f aca="false">IF($A1852="","",IF(COUNTIF(Accounts!$C$2:$C$201,$A1852)+COUNTIF('Service Principals'!$C$2:$C$201,$A1852)+COUNTIF('Managed Identities'!$C$2:$C$201,$A1852)&gt;0,"Yes","NOT IN INVENTORY"))</f>
        <v/>
      </c>
    </row>
    <row r="1853" customFormat="false" ht="15" hidden="false" customHeight="false" outlineLevel="0" collapsed="false">
      <c r="A1853" s="46"/>
      <c r="B1853" s="46"/>
      <c r="C1853" s="47"/>
      <c r="D1853" s="47"/>
      <c r="E1853" s="46"/>
      <c r="F1853" s="46"/>
      <c r="G1853" s="47"/>
      <c r="H1853" s="47"/>
      <c r="I1853" s="47"/>
      <c r="J1853" s="45" t="str">
        <f aca="false">IF($A1853="","",IF(COUNTIF(Accounts!$C$2:$C$201,$A1853)+COUNTIF('Service Principals'!$C$2:$C$201,$A1853)+COUNTIF('Managed Identities'!$C$2:$C$201,$A1853)&gt;0,"Yes","NOT IN INVENTORY"))</f>
        <v/>
      </c>
    </row>
    <row r="1854" customFormat="false" ht="15" hidden="false" customHeight="false" outlineLevel="0" collapsed="false">
      <c r="A1854" s="46"/>
      <c r="B1854" s="46"/>
      <c r="C1854" s="47"/>
      <c r="D1854" s="47"/>
      <c r="E1854" s="46"/>
      <c r="F1854" s="46"/>
      <c r="G1854" s="47"/>
      <c r="H1854" s="47"/>
      <c r="I1854" s="47"/>
      <c r="J1854" s="45" t="str">
        <f aca="false">IF($A1854="","",IF(COUNTIF(Accounts!$C$2:$C$201,$A1854)+COUNTIF('Service Principals'!$C$2:$C$201,$A1854)+COUNTIF('Managed Identities'!$C$2:$C$201,$A1854)&gt;0,"Yes","NOT IN INVENTORY"))</f>
        <v/>
      </c>
    </row>
    <row r="1855" customFormat="false" ht="15" hidden="false" customHeight="false" outlineLevel="0" collapsed="false">
      <c r="A1855" s="46"/>
      <c r="B1855" s="46"/>
      <c r="C1855" s="47"/>
      <c r="D1855" s="47"/>
      <c r="E1855" s="46"/>
      <c r="F1855" s="46"/>
      <c r="G1855" s="47"/>
      <c r="H1855" s="47"/>
      <c r="I1855" s="47"/>
      <c r="J1855" s="45" t="str">
        <f aca="false">IF($A1855="","",IF(COUNTIF(Accounts!$C$2:$C$201,$A1855)+COUNTIF('Service Principals'!$C$2:$C$201,$A1855)+COUNTIF('Managed Identities'!$C$2:$C$201,$A1855)&gt;0,"Yes","NOT IN INVENTORY"))</f>
        <v/>
      </c>
    </row>
    <row r="1856" customFormat="false" ht="15" hidden="false" customHeight="false" outlineLevel="0" collapsed="false">
      <c r="A1856" s="46"/>
      <c r="B1856" s="46"/>
      <c r="C1856" s="47"/>
      <c r="D1856" s="47"/>
      <c r="E1856" s="46"/>
      <c r="F1856" s="46"/>
      <c r="G1856" s="47"/>
      <c r="H1856" s="47"/>
      <c r="I1856" s="47"/>
      <c r="J1856" s="45" t="str">
        <f aca="false">IF($A1856="","",IF(COUNTIF(Accounts!$C$2:$C$201,$A1856)+COUNTIF('Service Principals'!$C$2:$C$201,$A1856)+COUNTIF('Managed Identities'!$C$2:$C$201,$A1856)&gt;0,"Yes","NOT IN INVENTORY"))</f>
        <v/>
      </c>
    </row>
    <row r="1857" customFormat="false" ht="15" hidden="false" customHeight="false" outlineLevel="0" collapsed="false">
      <c r="A1857" s="46"/>
      <c r="B1857" s="46"/>
      <c r="C1857" s="47"/>
      <c r="D1857" s="47"/>
      <c r="E1857" s="46"/>
      <c r="F1857" s="46"/>
      <c r="G1857" s="47"/>
      <c r="H1857" s="47"/>
      <c r="I1857" s="47"/>
      <c r="J1857" s="45" t="str">
        <f aca="false">IF($A1857="","",IF(COUNTIF(Accounts!$C$2:$C$201,$A1857)+COUNTIF('Service Principals'!$C$2:$C$201,$A1857)+COUNTIF('Managed Identities'!$C$2:$C$201,$A1857)&gt;0,"Yes","NOT IN INVENTORY"))</f>
        <v/>
      </c>
    </row>
    <row r="1858" customFormat="false" ht="15" hidden="false" customHeight="false" outlineLevel="0" collapsed="false">
      <c r="A1858" s="46"/>
      <c r="B1858" s="46"/>
      <c r="C1858" s="47"/>
      <c r="D1858" s="47"/>
      <c r="E1858" s="46"/>
      <c r="F1858" s="46"/>
      <c r="G1858" s="47"/>
      <c r="H1858" s="47"/>
      <c r="I1858" s="47"/>
      <c r="J1858" s="45" t="str">
        <f aca="false">IF($A1858="","",IF(COUNTIF(Accounts!$C$2:$C$201,$A1858)+COUNTIF('Service Principals'!$C$2:$C$201,$A1858)+COUNTIF('Managed Identities'!$C$2:$C$201,$A1858)&gt;0,"Yes","NOT IN INVENTORY"))</f>
        <v/>
      </c>
    </row>
    <row r="1859" customFormat="false" ht="15" hidden="false" customHeight="false" outlineLevel="0" collapsed="false">
      <c r="A1859" s="46"/>
      <c r="B1859" s="46"/>
      <c r="C1859" s="47"/>
      <c r="D1859" s="47"/>
      <c r="E1859" s="46"/>
      <c r="F1859" s="46"/>
      <c r="G1859" s="47"/>
      <c r="H1859" s="47"/>
      <c r="I1859" s="47"/>
      <c r="J1859" s="45" t="str">
        <f aca="false">IF($A1859="","",IF(COUNTIF(Accounts!$C$2:$C$201,$A1859)+COUNTIF('Service Principals'!$C$2:$C$201,$A1859)+COUNTIF('Managed Identities'!$C$2:$C$201,$A1859)&gt;0,"Yes","NOT IN INVENTORY"))</f>
        <v/>
      </c>
    </row>
    <row r="1860" customFormat="false" ht="15" hidden="false" customHeight="false" outlineLevel="0" collapsed="false">
      <c r="A1860" s="46"/>
      <c r="B1860" s="46"/>
      <c r="C1860" s="47"/>
      <c r="D1860" s="47"/>
      <c r="E1860" s="46"/>
      <c r="F1860" s="46"/>
      <c r="G1860" s="47"/>
      <c r="H1860" s="47"/>
      <c r="I1860" s="47"/>
      <c r="J1860" s="45" t="str">
        <f aca="false">IF($A1860="","",IF(COUNTIF(Accounts!$C$2:$C$201,$A1860)+COUNTIF('Service Principals'!$C$2:$C$201,$A1860)+COUNTIF('Managed Identities'!$C$2:$C$201,$A1860)&gt;0,"Yes","NOT IN INVENTORY"))</f>
        <v/>
      </c>
    </row>
    <row r="1861" customFormat="false" ht="15" hidden="false" customHeight="false" outlineLevel="0" collapsed="false">
      <c r="A1861" s="46"/>
      <c r="B1861" s="46"/>
      <c r="C1861" s="47"/>
      <c r="D1861" s="47"/>
      <c r="E1861" s="46"/>
      <c r="F1861" s="46"/>
      <c r="G1861" s="47"/>
      <c r="H1861" s="47"/>
      <c r="I1861" s="47"/>
      <c r="J1861" s="45" t="str">
        <f aca="false">IF($A1861="","",IF(COUNTIF(Accounts!$C$2:$C$201,$A1861)+COUNTIF('Service Principals'!$C$2:$C$201,$A1861)+COUNTIF('Managed Identities'!$C$2:$C$201,$A1861)&gt;0,"Yes","NOT IN INVENTORY"))</f>
        <v/>
      </c>
    </row>
    <row r="1862" customFormat="false" ht="15" hidden="false" customHeight="false" outlineLevel="0" collapsed="false">
      <c r="A1862" s="46"/>
      <c r="B1862" s="46"/>
      <c r="C1862" s="47"/>
      <c r="D1862" s="47"/>
      <c r="E1862" s="46"/>
      <c r="F1862" s="46"/>
      <c r="G1862" s="47"/>
      <c r="H1862" s="47"/>
      <c r="I1862" s="47"/>
      <c r="J1862" s="45" t="str">
        <f aca="false">IF($A1862="","",IF(COUNTIF(Accounts!$C$2:$C$201,$A1862)+COUNTIF('Service Principals'!$C$2:$C$201,$A1862)+COUNTIF('Managed Identities'!$C$2:$C$201,$A1862)&gt;0,"Yes","NOT IN INVENTORY"))</f>
        <v/>
      </c>
    </row>
    <row r="1863" customFormat="false" ht="15" hidden="false" customHeight="false" outlineLevel="0" collapsed="false">
      <c r="A1863" s="46"/>
      <c r="B1863" s="46"/>
      <c r="C1863" s="47"/>
      <c r="D1863" s="47"/>
      <c r="E1863" s="46"/>
      <c r="F1863" s="46"/>
      <c r="G1863" s="47"/>
      <c r="H1863" s="47"/>
      <c r="I1863" s="47"/>
      <c r="J1863" s="45" t="str">
        <f aca="false">IF($A1863="","",IF(COUNTIF(Accounts!$C$2:$C$201,$A1863)+COUNTIF('Service Principals'!$C$2:$C$201,$A1863)+COUNTIF('Managed Identities'!$C$2:$C$201,$A1863)&gt;0,"Yes","NOT IN INVENTORY"))</f>
        <v/>
      </c>
    </row>
    <row r="1864" customFormat="false" ht="15" hidden="false" customHeight="false" outlineLevel="0" collapsed="false">
      <c r="A1864" s="46"/>
      <c r="B1864" s="46"/>
      <c r="C1864" s="47"/>
      <c r="D1864" s="47"/>
      <c r="E1864" s="46"/>
      <c r="F1864" s="46"/>
      <c r="G1864" s="47"/>
      <c r="H1864" s="47"/>
      <c r="I1864" s="47"/>
      <c r="J1864" s="45" t="str">
        <f aca="false">IF($A1864="","",IF(COUNTIF(Accounts!$C$2:$C$201,$A1864)+COUNTIF('Service Principals'!$C$2:$C$201,$A1864)+COUNTIF('Managed Identities'!$C$2:$C$201,$A1864)&gt;0,"Yes","NOT IN INVENTORY"))</f>
        <v/>
      </c>
    </row>
    <row r="1865" customFormat="false" ht="15" hidden="false" customHeight="false" outlineLevel="0" collapsed="false">
      <c r="A1865" s="46"/>
      <c r="B1865" s="46"/>
      <c r="C1865" s="47"/>
      <c r="D1865" s="47"/>
      <c r="E1865" s="46"/>
      <c r="F1865" s="46"/>
      <c r="G1865" s="47"/>
      <c r="H1865" s="47"/>
      <c r="I1865" s="47"/>
      <c r="J1865" s="45" t="str">
        <f aca="false">IF($A1865="","",IF(COUNTIF(Accounts!$C$2:$C$201,$A1865)+COUNTIF('Service Principals'!$C$2:$C$201,$A1865)+COUNTIF('Managed Identities'!$C$2:$C$201,$A1865)&gt;0,"Yes","NOT IN INVENTORY"))</f>
        <v/>
      </c>
    </row>
    <row r="1866" customFormat="false" ht="15" hidden="false" customHeight="false" outlineLevel="0" collapsed="false">
      <c r="A1866" s="46"/>
      <c r="B1866" s="46"/>
      <c r="C1866" s="47"/>
      <c r="D1866" s="47"/>
      <c r="E1866" s="46"/>
      <c r="F1866" s="46"/>
      <c r="G1866" s="47"/>
      <c r="H1866" s="47"/>
      <c r="I1866" s="47"/>
      <c r="J1866" s="45" t="str">
        <f aca="false">IF($A1866="","",IF(COUNTIF(Accounts!$C$2:$C$201,$A1866)+COUNTIF('Service Principals'!$C$2:$C$201,$A1866)+COUNTIF('Managed Identities'!$C$2:$C$201,$A1866)&gt;0,"Yes","NOT IN INVENTORY"))</f>
        <v/>
      </c>
    </row>
    <row r="1867" customFormat="false" ht="15" hidden="false" customHeight="false" outlineLevel="0" collapsed="false">
      <c r="A1867" s="46"/>
      <c r="B1867" s="46"/>
      <c r="C1867" s="47"/>
      <c r="D1867" s="47"/>
      <c r="E1867" s="46"/>
      <c r="F1867" s="46"/>
      <c r="G1867" s="47"/>
      <c r="H1867" s="47"/>
      <c r="I1867" s="47"/>
      <c r="J1867" s="45" t="str">
        <f aca="false">IF($A1867="","",IF(COUNTIF(Accounts!$C$2:$C$201,$A1867)+COUNTIF('Service Principals'!$C$2:$C$201,$A1867)+COUNTIF('Managed Identities'!$C$2:$C$201,$A1867)&gt;0,"Yes","NOT IN INVENTORY"))</f>
        <v/>
      </c>
    </row>
    <row r="1868" customFormat="false" ht="15" hidden="false" customHeight="false" outlineLevel="0" collapsed="false">
      <c r="A1868" s="46"/>
      <c r="B1868" s="46"/>
      <c r="C1868" s="47"/>
      <c r="D1868" s="47"/>
      <c r="E1868" s="46"/>
      <c r="F1868" s="46"/>
      <c r="G1868" s="47"/>
      <c r="H1868" s="47"/>
      <c r="I1868" s="47"/>
      <c r="J1868" s="45" t="str">
        <f aca="false">IF($A1868="","",IF(COUNTIF(Accounts!$C$2:$C$201,$A1868)+COUNTIF('Service Principals'!$C$2:$C$201,$A1868)+COUNTIF('Managed Identities'!$C$2:$C$201,$A1868)&gt;0,"Yes","NOT IN INVENTORY"))</f>
        <v/>
      </c>
    </row>
    <row r="1869" customFormat="false" ht="15" hidden="false" customHeight="false" outlineLevel="0" collapsed="false">
      <c r="A1869" s="46"/>
      <c r="B1869" s="46"/>
      <c r="C1869" s="47"/>
      <c r="D1869" s="47"/>
      <c r="E1869" s="46"/>
      <c r="F1869" s="46"/>
      <c r="G1869" s="47"/>
      <c r="H1869" s="47"/>
      <c r="I1869" s="47"/>
      <c r="J1869" s="45" t="str">
        <f aca="false">IF($A1869="","",IF(COUNTIF(Accounts!$C$2:$C$201,$A1869)+COUNTIF('Service Principals'!$C$2:$C$201,$A1869)+COUNTIF('Managed Identities'!$C$2:$C$201,$A1869)&gt;0,"Yes","NOT IN INVENTORY"))</f>
        <v/>
      </c>
    </row>
    <row r="1870" customFormat="false" ht="15" hidden="false" customHeight="false" outlineLevel="0" collapsed="false">
      <c r="A1870" s="46"/>
      <c r="B1870" s="46"/>
      <c r="C1870" s="47"/>
      <c r="D1870" s="47"/>
      <c r="E1870" s="46"/>
      <c r="F1870" s="46"/>
      <c r="G1870" s="47"/>
      <c r="H1870" s="47"/>
      <c r="I1870" s="47"/>
      <c r="J1870" s="45" t="str">
        <f aca="false">IF($A1870="","",IF(COUNTIF(Accounts!$C$2:$C$201,$A1870)+COUNTIF('Service Principals'!$C$2:$C$201,$A1870)+COUNTIF('Managed Identities'!$C$2:$C$201,$A1870)&gt;0,"Yes","NOT IN INVENTORY"))</f>
        <v/>
      </c>
    </row>
    <row r="1871" customFormat="false" ht="15" hidden="false" customHeight="false" outlineLevel="0" collapsed="false">
      <c r="A1871" s="46"/>
      <c r="B1871" s="46"/>
      <c r="C1871" s="47"/>
      <c r="D1871" s="47"/>
      <c r="E1871" s="46"/>
      <c r="F1871" s="46"/>
      <c r="G1871" s="47"/>
      <c r="H1871" s="47"/>
      <c r="I1871" s="47"/>
      <c r="J1871" s="45" t="str">
        <f aca="false">IF($A1871="","",IF(COUNTIF(Accounts!$C$2:$C$201,$A1871)+COUNTIF('Service Principals'!$C$2:$C$201,$A1871)+COUNTIF('Managed Identities'!$C$2:$C$201,$A1871)&gt;0,"Yes","NOT IN INVENTORY"))</f>
        <v/>
      </c>
    </row>
    <row r="1872" customFormat="false" ht="15" hidden="false" customHeight="false" outlineLevel="0" collapsed="false">
      <c r="A1872" s="46"/>
      <c r="B1872" s="46"/>
      <c r="C1872" s="47"/>
      <c r="D1872" s="47"/>
      <c r="E1872" s="46"/>
      <c r="F1872" s="46"/>
      <c r="G1872" s="47"/>
      <c r="H1872" s="47"/>
      <c r="I1872" s="47"/>
      <c r="J1872" s="45" t="str">
        <f aca="false">IF($A1872="","",IF(COUNTIF(Accounts!$C$2:$C$201,$A1872)+COUNTIF('Service Principals'!$C$2:$C$201,$A1872)+COUNTIF('Managed Identities'!$C$2:$C$201,$A1872)&gt;0,"Yes","NOT IN INVENTORY"))</f>
        <v/>
      </c>
    </row>
    <row r="1873" customFormat="false" ht="15" hidden="false" customHeight="false" outlineLevel="0" collapsed="false">
      <c r="A1873" s="46"/>
      <c r="B1873" s="46"/>
      <c r="C1873" s="47"/>
      <c r="D1873" s="47"/>
      <c r="E1873" s="46"/>
      <c r="F1873" s="46"/>
      <c r="G1873" s="47"/>
      <c r="H1873" s="47"/>
      <c r="I1873" s="47"/>
      <c r="J1873" s="45" t="str">
        <f aca="false">IF($A1873="","",IF(COUNTIF(Accounts!$C$2:$C$201,$A1873)+COUNTIF('Service Principals'!$C$2:$C$201,$A1873)+COUNTIF('Managed Identities'!$C$2:$C$201,$A1873)&gt;0,"Yes","NOT IN INVENTORY"))</f>
        <v/>
      </c>
    </row>
    <row r="1874" customFormat="false" ht="15" hidden="false" customHeight="false" outlineLevel="0" collapsed="false">
      <c r="A1874" s="46"/>
      <c r="B1874" s="46"/>
      <c r="C1874" s="47"/>
      <c r="D1874" s="47"/>
      <c r="E1874" s="46"/>
      <c r="F1874" s="46"/>
      <c r="G1874" s="47"/>
      <c r="H1874" s="47"/>
      <c r="I1874" s="47"/>
      <c r="J1874" s="45" t="str">
        <f aca="false">IF($A1874="","",IF(COUNTIF(Accounts!$C$2:$C$201,$A1874)+COUNTIF('Service Principals'!$C$2:$C$201,$A1874)+COUNTIF('Managed Identities'!$C$2:$C$201,$A1874)&gt;0,"Yes","NOT IN INVENTORY"))</f>
        <v/>
      </c>
    </row>
    <row r="1875" customFormat="false" ht="15" hidden="false" customHeight="false" outlineLevel="0" collapsed="false">
      <c r="A1875" s="46"/>
      <c r="B1875" s="46"/>
      <c r="C1875" s="47"/>
      <c r="D1875" s="47"/>
      <c r="E1875" s="46"/>
      <c r="F1875" s="46"/>
      <c r="G1875" s="47"/>
      <c r="H1875" s="47"/>
      <c r="I1875" s="47"/>
      <c r="J1875" s="45" t="str">
        <f aca="false">IF($A1875="","",IF(COUNTIF(Accounts!$C$2:$C$201,$A1875)+COUNTIF('Service Principals'!$C$2:$C$201,$A1875)+COUNTIF('Managed Identities'!$C$2:$C$201,$A1875)&gt;0,"Yes","NOT IN INVENTORY"))</f>
        <v/>
      </c>
    </row>
    <row r="1876" customFormat="false" ht="15" hidden="false" customHeight="false" outlineLevel="0" collapsed="false">
      <c r="A1876" s="46"/>
      <c r="B1876" s="46"/>
      <c r="C1876" s="47"/>
      <c r="D1876" s="47"/>
      <c r="E1876" s="46"/>
      <c r="F1876" s="46"/>
      <c r="G1876" s="47"/>
      <c r="H1876" s="47"/>
      <c r="I1876" s="47"/>
      <c r="J1876" s="45" t="str">
        <f aca="false">IF($A1876="","",IF(COUNTIF(Accounts!$C$2:$C$201,$A1876)+COUNTIF('Service Principals'!$C$2:$C$201,$A1876)+COUNTIF('Managed Identities'!$C$2:$C$201,$A1876)&gt;0,"Yes","NOT IN INVENTORY"))</f>
        <v/>
      </c>
    </row>
    <row r="1877" customFormat="false" ht="15" hidden="false" customHeight="false" outlineLevel="0" collapsed="false">
      <c r="A1877" s="46"/>
      <c r="B1877" s="46"/>
      <c r="C1877" s="47"/>
      <c r="D1877" s="47"/>
      <c r="E1877" s="46"/>
      <c r="F1877" s="46"/>
      <c r="G1877" s="47"/>
      <c r="H1877" s="47"/>
      <c r="I1877" s="47"/>
      <c r="J1877" s="45" t="str">
        <f aca="false">IF($A1877="","",IF(COUNTIF(Accounts!$C$2:$C$201,$A1877)+COUNTIF('Service Principals'!$C$2:$C$201,$A1877)+COUNTIF('Managed Identities'!$C$2:$C$201,$A1877)&gt;0,"Yes","NOT IN INVENTORY"))</f>
        <v/>
      </c>
    </row>
    <row r="1878" customFormat="false" ht="15" hidden="false" customHeight="false" outlineLevel="0" collapsed="false">
      <c r="A1878" s="46"/>
      <c r="B1878" s="46"/>
      <c r="C1878" s="47"/>
      <c r="D1878" s="47"/>
      <c r="E1878" s="46"/>
      <c r="F1878" s="46"/>
      <c r="G1878" s="47"/>
      <c r="H1878" s="47"/>
      <c r="I1878" s="47"/>
      <c r="J1878" s="45" t="str">
        <f aca="false">IF($A1878="","",IF(COUNTIF(Accounts!$C$2:$C$201,$A1878)+COUNTIF('Service Principals'!$C$2:$C$201,$A1878)+COUNTIF('Managed Identities'!$C$2:$C$201,$A1878)&gt;0,"Yes","NOT IN INVENTORY"))</f>
        <v/>
      </c>
    </row>
    <row r="1879" customFormat="false" ht="15" hidden="false" customHeight="false" outlineLevel="0" collapsed="false">
      <c r="A1879" s="46"/>
      <c r="B1879" s="46"/>
      <c r="C1879" s="47"/>
      <c r="D1879" s="47"/>
      <c r="E1879" s="46"/>
      <c r="F1879" s="46"/>
      <c r="G1879" s="47"/>
      <c r="H1879" s="47"/>
      <c r="I1879" s="47"/>
      <c r="J1879" s="45" t="str">
        <f aca="false">IF($A1879="","",IF(COUNTIF(Accounts!$C$2:$C$201,$A1879)+COUNTIF('Service Principals'!$C$2:$C$201,$A1879)+COUNTIF('Managed Identities'!$C$2:$C$201,$A1879)&gt;0,"Yes","NOT IN INVENTORY"))</f>
        <v/>
      </c>
    </row>
    <row r="1880" customFormat="false" ht="15" hidden="false" customHeight="false" outlineLevel="0" collapsed="false">
      <c r="A1880" s="46"/>
      <c r="B1880" s="46"/>
      <c r="C1880" s="47"/>
      <c r="D1880" s="47"/>
      <c r="E1880" s="46"/>
      <c r="F1880" s="46"/>
      <c r="G1880" s="47"/>
      <c r="H1880" s="47"/>
      <c r="I1880" s="47"/>
      <c r="J1880" s="45" t="str">
        <f aca="false">IF($A1880="","",IF(COUNTIF(Accounts!$C$2:$C$201,$A1880)+COUNTIF('Service Principals'!$C$2:$C$201,$A1880)+COUNTIF('Managed Identities'!$C$2:$C$201,$A1880)&gt;0,"Yes","NOT IN INVENTORY"))</f>
        <v/>
      </c>
    </row>
    <row r="1881" customFormat="false" ht="15" hidden="false" customHeight="false" outlineLevel="0" collapsed="false">
      <c r="A1881" s="46"/>
      <c r="B1881" s="46"/>
      <c r="C1881" s="47"/>
      <c r="D1881" s="47"/>
      <c r="E1881" s="46"/>
      <c r="F1881" s="46"/>
      <c r="G1881" s="47"/>
      <c r="H1881" s="47"/>
      <c r="I1881" s="47"/>
      <c r="J1881" s="45" t="str">
        <f aca="false">IF($A1881="","",IF(COUNTIF(Accounts!$C$2:$C$201,$A1881)+COUNTIF('Service Principals'!$C$2:$C$201,$A1881)+COUNTIF('Managed Identities'!$C$2:$C$201,$A1881)&gt;0,"Yes","NOT IN INVENTORY"))</f>
        <v/>
      </c>
    </row>
    <row r="1882" customFormat="false" ht="15" hidden="false" customHeight="false" outlineLevel="0" collapsed="false">
      <c r="A1882" s="46"/>
      <c r="B1882" s="46"/>
      <c r="C1882" s="47"/>
      <c r="D1882" s="47"/>
      <c r="E1882" s="46"/>
      <c r="F1882" s="46"/>
      <c r="G1882" s="47"/>
      <c r="H1882" s="47"/>
      <c r="I1882" s="47"/>
      <c r="J1882" s="45" t="str">
        <f aca="false">IF($A1882="","",IF(COUNTIF(Accounts!$C$2:$C$201,$A1882)+COUNTIF('Service Principals'!$C$2:$C$201,$A1882)+COUNTIF('Managed Identities'!$C$2:$C$201,$A1882)&gt;0,"Yes","NOT IN INVENTORY"))</f>
        <v/>
      </c>
    </row>
    <row r="1883" customFormat="false" ht="15" hidden="false" customHeight="false" outlineLevel="0" collapsed="false">
      <c r="A1883" s="46"/>
      <c r="B1883" s="46"/>
      <c r="C1883" s="47"/>
      <c r="D1883" s="47"/>
      <c r="E1883" s="46"/>
      <c r="F1883" s="46"/>
      <c r="G1883" s="47"/>
      <c r="H1883" s="47"/>
      <c r="I1883" s="47"/>
      <c r="J1883" s="45" t="str">
        <f aca="false">IF($A1883="","",IF(COUNTIF(Accounts!$C$2:$C$201,$A1883)+COUNTIF('Service Principals'!$C$2:$C$201,$A1883)+COUNTIF('Managed Identities'!$C$2:$C$201,$A1883)&gt;0,"Yes","NOT IN INVENTORY"))</f>
        <v/>
      </c>
    </row>
    <row r="1884" customFormat="false" ht="15" hidden="false" customHeight="false" outlineLevel="0" collapsed="false">
      <c r="A1884" s="46"/>
      <c r="B1884" s="46"/>
      <c r="C1884" s="47"/>
      <c r="D1884" s="47"/>
      <c r="E1884" s="46"/>
      <c r="F1884" s="46"/>
      <c r="G1884" s="47"/>
      <c r="H1884" s="47"/>
      <c r="I1884" s="47"/>
      <c r="J1884" s="45" t="str">
        <f aca="false">IF($A1884="","",IF(COUNTIF(Accounts!$C$2:$C$201,$A1884)+COUNTIF('Service Principals'!$C$2:$C$201,$A1884)+COUNTIF('Managed Identities'!$C$2:$C$201,$A1884)&gt;0,"Yes","NOT IN INVENTORY"))</f>
        <v/>
      </c>
    </row>
    <row r="1885" customFormat="false" ht="15" hidden="false" customHeight="false" outlineLevel="0" collapsed="false">
      <c r="A1885" s="46"/>
      <c r="B1885" s="46"/>
      <c r="C1885" s="47"/>
      <c r="D1885" s="47"/>
      <c r="E1885" s="46"/>
      <c r="F1885" s="46"/>
      <c r="G1885" s="47"/>
      <c r="H1885" s="47"/>
      <c r="I1885" s="47"/>
      <c r="J1885" s="45" t="str">
        <f aca="false">IF($A1885="","",IF(COUNTIF(Accounts!$C$2:$C$201,$A1885)+COUNTIF('Service Principals'!$C$2:$C$201,$A1885)+COUNTIF('Managed Identities'!$C$2:$C$201,$A1885)&gt;0,"Yes","NOT IN INVENTORY"))</f>
        <v/>
      </c>
    </row>
    <row r="1886" customFormat="false" ht="15" hidden="false" customHeight="false" outlineLevel="0" collapsed="false">
      <c r="A1886" s="46"/>
      <c r="B1886" s="46"/>
      <c r="C1886" s="47"/>
      <c r="D1886" s="47"/>
      <c r="E1886" s="46"/>
      <c r="F1886" s="46"/>
      <c r="G1886" s="47"/>
      <c r="H1886" s="47"/>
      <c r="I1886" s="47"/>
      <c r="J1886" s="45" t="str">
        <f aca="false">IF($A1886="","",IF(COUNTIF(Accounts!$C$2:$C$201,$A1886)+COUNTIF('Service Principals'!$C$2:$C$201,$A1886)+COUNTIF('Managed Identities'!$C$2:$C$201,$A1886)&gt;0,"Yes","NOT IN INVENTORY"))</f>
        <v/>
      </c>
    </row>
    <row r="1887" customFormat="false" ht="15" hidden="false" customHeight="false" outlineLevel="0" collapsed="false">
      <c r="A1887" s="46"/>
      <c r="B1887" s="46"/>
      <c r="C1887" s="47"/>
      <c r="D1887" s="47"/>
      <c r="E1887" s="46"/>
      <c r="F1887" s="46"/>
      <c r="G1887" s="47"/>
      <c r="H1887" s="47"/>
      <c r="I1887" s="47"/>
      <c r="J1887" s="45" t="str">
        <f aca="false">IF($A1887="","",IF(COUNTIF(Accounts!$C$2:$C$201,$A1887)+COUNTIF('Service Principals'!$C$2:$C$201,$A1887)+COUNTIF('Managed Identities'!$C$2:$C$201,$A1887)&gt;0,"Yes","NOT IN INVENTORY"))</f>
        <v/>
      </c>
    </row>
    <row r="1888" customFormat="false" ht="15" hidden="false" customHeight="false" outlineLevel="0" collapsed="false">
      <c r="A1888" s="46"/>
      <c r="B1888" s="46"/>
      <c r="C1888" s="47"/>
      <c r="D1888" s="47"/>
      <c r="E1888" s="46"/>
      <c r="F1888" s="46"/>
      <c r="G1888" s="47"/>
      <c r="H1888" s="47"/>
      <c r="I1888" s="47"/>
      <c r="J1888" s="45" t="str">
        <f aca="false">IF($A1888="","",IF(COUNTIF(Accounts!$C$2:$C$201,$A1888)+COUNTIF('Service Principals'!$C$2:$C$201,$A1888)+COUNTIF('Managed Identities'!$C$2:$C$201,$A1888)&gt;0,"Yes","NOT IN INVENTORY"))</f>
        <v/>
      </c>
    </row>
    <row r="1889" customFormat="false" ht="15" hidden="false" customHeight="false" outlineLevel="0" collapsed="false">
      <c r="A1889" s="46"/>
      <c r="B1889" s="46"/>
      <c r="C1889" s="47"/>
      <c r="D1889" s="47"/>
      <c r="E1889" s="46"/>
      <c r="F1889" s="46"/>
      <c r="G1889" s="47"/>
      <c r="H1889" s="47"/>
      <c r="I1889" s="47"/>
      <c r="J1889" s="45" t="str">
        <f aca="false">IF($A1889="","",IF(COUNTIF(Accounts!$C$2:$C$201,$A1889)+COUNTIF('Service Principals'!$C$2:$C$201,$A1889)+COUNTIF('Managed Identities'!$C$2:$C$201,$A1889)&gt;0,"Yes","NOT IN INVENTORY"))</f>
        <v/>
      </c>
    </row>
    <row r="1890" customFormat="false" ht="15" hidden="false" customHeight="false" outlineLevel="0" collapsed="false">
      <c r="A1890" s="46"/>
      <c r="B1890" s="46"/>
      <c r="C1890" s="47"/>
      <c r="D1890" s="47"/>
      <c r="E1890" s="46"/>
      <c r="F1890" s="46"/>
      <c r="G1890" s="47"/>
      <c r="H1890" s="47"/>
      <c r="I1890" s="47"/>
      <c r="J1890" s="45" t="str">
        <f aca="false">IF($A1890="","",IF(COUNTIF(Accounts!$C$2:$C$201,$A1890)+COUNTIF('Service Principals'!$C$2:$C$201,$A1890)+COUNTIF('Managed Identities'!$C$2:$C$201,$A1890)&gt;0,"Yes","NOT IN INVENTORY"))</f>
        <v/>
      </c>
    </row>
    <row r="1891" customFormat="false" ht="15" hidden="false" customHeight="false" outlineLevel="0" collapsed="false">
      <c r="A1891" s="46"/>
      <c r="B1891" s="46"/>
      <c r="C1891" s="47"/>
      <c r="D1891" s="47"/>
      <c r="E1891" s="46"/>
      <c r="F1891" s="46"/>
      <c r="G1891" s="47"/>
      <c r="H1891" s="47"/>
      <c r="I1891" s="47"/>
      <c r="J1891" s="45" t="str">
        <f aca="false">IF($A1891="","",IF(COUNTIF(Accounts!$C$2:$C$201,$A1891)+COUNTIF('Service Principals'!$C$2:$C$201,$A1891)+COUNTIF('Managed Identities'!$C$2:$C$201,$A1891)&gt;0,"Yes","NOT IN INVENTORY"))</f>
        <v/>
      </c>
    </row>
    <row r="1892" customFormat="false" ht="15" hidden="false" customHeight="false" outlineLevel="0" collapsed="false">
      <c r="A1892" s="46"/>
      <c r="B1892" s="46"/>
      <c r="C1892" s="47"/>
      <c r="D1892" s="47"/>
      <c r="E1892" s="46"/>
      <c r="F1892" s="46"/>
      <c r="G1892" s="47"/>
      <c r="H1892" s="47"/>
      <c r="I1892" s="47"/>
      <c r="J1892" s="45" t="str">
        <f aca="false">IF($A1892="","",IF(COUNTIF(Accounts!$C$2:$C$201,$A1892)+COUNTIF('Service Principals'!$C$2:$C$201,$A1892)+COUNTIF('Managed Identities'!$C$2:$C$201,$A1892)&gt;0,"Yes","NOT IN INVENTORY"))</f>
        <v/>
      </c>
    </row>
    <row r="1893" customFormat="false" ht="15" hidden="false" customHeight="false" outlineLevel="0" collapsed="false">
      <c r="A1893" s="46"/>
      <c r="B1893" s="46"/>
      <c r="C1893" s="47"/>
      <c r="D1893" s="47"/>
      <c r="E1893" s="46"/>
      <c r="F1893" s="46"/>
      <c r="G1893" s="47"/>
      <c r="H1893" s="47"/>
      <c r="I1893" s="47"/>
      <c r="J1893" s="45" t="str">
        <f aca="false">IF($A1893="","",IF(COUNTIF(Accounts!$C$2:$C$201,$A1893)+COUNTIF('Service Principals'!$C$2:$C$201,$A1893)+COUNTIF('Managed Identities'!$C$2:$C$201,$A1893)&gt;0,"Yes","NOT IN INVENTORY"))</f>
        <v/>
      </c>
    </row>
    <row r="1894" customFormat="false" ht="15" hidden="false" customHeight="false" outlineLevel="0" collapsed="false">
      <c r="A1894" s="46"/>
      <c r="B1894" s="46"/>
      <c r="C1894" s="47"/>
      <c r="D1894" s="47"/>
      <c r="E1894" s="46"/>
      <c r="F1894" s="46"/>
      <c r="G1894" s="47"/>
      <c r="H1894" s="47"/>
      <c r="I1894" s="47"/>
      <c r="J1894" s="45" t="str">
        <f aca="false">IF($A1894="","",IF(COUNTIF(Accounts!$C$2:$C$201,$A1894)+COUNTIF('Service Principals'!$C$2:$C$201,$A1894)+COUNTIF('Managed Identities'!$C$2:$C$201,$A1894)&gt;0,"Yes","NOT IN INVENTORY"))</f>
        <v/>
      </c>
    </row>
    <row r="1895" customFormat="false" ht="15" hidden="false" customHeight="false" outlineLevel="0" collapsed="false">
      <c r="A1895" s="46"/>
      <c r="B1895" s="46"/>
      <c r="C1895" s="47"/>
      <c r="D1895" s="47"/>
      <c r="E1895" s="46"/>
      <c r="F1895" s="46"/>
      <c r="G1895" s="47"/>
      <c r="H1895" s="47"/>
      <c r="I1895" s="47"/>
      <c r="J1895" s="45" t="str">
        <f aca="false">IF($A1895="","",IF(COUNTIF(Accounts!$C$2:$C$201,$A1895)+COUNTIF('Service Principals'!$C$2:$C$201,$A1895)+COUNTIF('Managed Identities'!$C$2:$C$201,$A1895)&gt;0,"Yes","NOT IN INVENTORY"))</f>
        <v/>
      </c>
    </row>
    <row r="1896" customFormat="false" ht="15" hidden="false" customHeight="false" outlineLevel="0" collapsed="false">
      <c r="A1896" s="46"/>
      <c r="B1896" s="46"/>
      <c r="C1896" s="47"/>
      <c r="D1896" s="47"/>
      <c r="E1896" s="46"/>
      <c r="F1896" s="46"/>
      <c r="G1896" s="47"/>
      <c r="H1896" s="47"/>
      <c r="I1896" s="47"/>
      <c r="J1896" s="45" t="str">
        <f aca="false">IF($A1896="","",IF(COUNTIF(Accounts!$C$2:$C$201,$A1896)+COUNTIF('Service Principals'!$C$2:$C$201,$A1896)+COUNTIF('Managed Identities'!$C$2:$C$201,$A1896)&gt;0,"Yes","NOT IN INVENTORY"))</f>
        <v/>
      </c>
    </row>
    <row r="1897" customFormat="false" ht="15" hidden="false" customHeight="false" outlineLevel="0" collapsed="false">
      <c r="A1897" s="46"/>
      <c r="B1897" s="46"/>
      <c r="C1897" s="47"/>
      <c r="D1897" s="47"/>
      <c r="E1897" s="46"/>
      <c r="F1897" s="46"/>
      <c r="G1897" s="47"/>
      <c r="H1897" s="47"/>
      <c r="I1897" s="47"/>
      <c r="J1897" s="45" t="str">
        <f aca="false">IF($A1897="","",IF(COUNTIF(Accounts!$C$2:$C$201,$A1897)+COUNTIF('Service Principals'!$C$2:$C$201,$A1897)+COUNTIF('Managed Identities'!$C$2:$C$201,$A1897)&gt;0,"Yes","NOT IN INVENTORY"))</f>
        <v/>
      </c>
    </row>
    <row r="1898" customFormat="false" ht="15" hidden="false" customHeight="false" outlineLevel="0" collapsed="false">
      <c r="A1898" s="46"/>
      <c r="B1898" s="46"/>
      <c r="C1898" s="47"/>
      <c r="D1898" s="47"/>
      <c r="E1898" s="46"/>
      <c r="F1898" s="46"/>
      <c r="G1898" s="47"/>
      <c r="H1898" s="47"/>
      <c r="I1898" s="47"/>
      <c r="J1898" s="45" t="str">
        <f aca="false">IF($A1898="","",IF(COUNTIF(Accounts!$C$2:$C$201,$A1898)+COUNTIF('Service Principals'!$C$2:$C$201,$A1898)+COUNTIF('Managed Identities'!$C$2:$C$201,$A1898)&gt;0,"Yes","NOT IN INVENTORY"))</f>
        <v/>
      </c>
    </row>
    <row r="1899" customFormat="false" ht="15" hidden="false" customHeight="false" outlineLevel="0" collapsed="false">
      <c r="A1899" s="46"/>
      <c r="B1899" s="46"/>
      <c r="C1899" s="47"/>
      <c r="D1899" s="47"/>
      <c r="E1899" s="46"/>
      <c r="F1899" s="46"/>
      <c r="G1899" s="47"/>
      <c r="H1899" s="47"/>
      <c r="I1899" s="47"/>
      <c r="J1899" s="45" t="str">
        <f aca="false">IF($A1899="","",IF(COUNTIF(Accounts!$C$2:$C$201,$A1899)+COUNTIF('Service Principals'!$C$2:$C$201,$A1899)+COUNTIF('Managed Identities'!$C$2:$C$201,$A1899)&gt;0,"Yes","NOT IN INVENTORY"))</f>
        <v/>
      </c>
    </row>
    <row r="1900" customFormat="false" ht="15" hidden="false" customHeight="false" outlineLevel="0" collapsed="false">
      <c r="A1900" s="46"/>
      <c r="B1900" s="46"/>
      <c r="C1900" s="47"/>
      <c r="D1900" s="47"/>
      <c r="E1900" s="46"/>
      <c r="F1900" s="46"/>
      <c r="G1900" s="47"/>
      <c r="H1900" s="47"/>
      <c r="I1900" s="47"/>
      <c r="J1900" s="45" t="str">
        <f aca="false">IF($A1900="","",IF(COUNTIF(Accounts!$C$2:$C$201,$A1900)+COUNTIF('Service Principals'!$C$2:$C$201,$A1900)+COUNTIF('Managed Identities'!$C$2:$C$201,$A1900)&gt;0,"Yes","NOT IN INVENTORY"))</f>
        <v/>
      </c>
    </row>
    <row r="1901" customFormat="false" ht="15" hidden="false" customHeight="false" outlineLevel="0" collapsed="false">
      <c r="A1901" s="46"/>
      <c r="B1901" s="46"/>
      <c r="C1901" s="47"/>
      <c r="D1901" s="47"/>
      <c r="E1901" s="46"/>
      <c r="F1901" s="46"/>
      <c r="G1901" s="47"/>
      <c r="H1901" s="47"/>
      <c r="I1901" s="47"/>
      <c r="J1901" s="45" t="str">
        <f aca="false">IF($A1901="","",IF(COUNTIF(Accounts!$C$2:$C$201,$A1901)+COUNTIF('Service Principals'!$C$2:$C$201,$A1901)+COUNTIF('Managed Identities'!$C$2:$C$201,$A1901)&gt;0,"Yes","NOT IN INVENTORY"))</f>
        <v/>
      </c>
    </row>
    <row r="1902" customFormat="false" ht="15" hidden="false" customHeight="false" outlineLevel="0" collapsed="false">
      <c r="A1902" s="46"/>
      <c r="B1902" s="46"/>
      <c r="C1902" s="47"/>
      <c r="D1902" s="47"/>
      <c r="E1902" s="46"/>
      <c r="F1902" s="46"/>
      <c r="G1902" s="47"/>
      <c r="H1902" s="47"/>
      <c r="I1902" s="47"/>
      <c r="J1902" s="45" t="str">
        <f aca="false">IF($A1902="","",IF(COUNTIF(Accounts!$C$2:$C$201,$A1902)+COUNTIF('Service Principals'!$C$2:$C$201,$A1902)+COUNTIF('Managed Identities'!$C$2:$C$201,$A1902)&gt;0,"Yes","NOT IN INVENTORY"))</f>
        <v/>
      </c>
    </row>
    <row r="1903" customFormat="false" ht="15" hidden="false" customHeight="false" outlineLevel="0" collapsed="false">
      <c r="A1903" s="46"/>
      <c r="B1903" s="46"/>
      <c r="C1903" s="47"/>
      <c r="D1903" s="47"/>
      <c r="E1903" s="46"/>
      <c r="F1903" s="46"/>
      <c r="G1903" s="47"/>
      <c r="H1903" s="47"/>
      <c r="I1903" s="47"/>
      <c r="J1903" s="45" t="str">
        <f aca="false">IF($A1903="","",IF(COUNTIF(Accounts!$C$2:$C$201,$A1903)+COUNTIF('Service Principals'!$C$2:$C$201,$A1903)+COUNTIF('Managed Identities'!$C$2:$C$201,$A1903)&gt;0,"Yes","NOT IN INVENTORY"))</f>
        <v/>
      </c>
    </row>
    <row r="1904" customFormat="false" ht="15" hidden="false" customHeight="false" outlineLevel="0" collapsed="false">
      <c r="A1904" s="46"/>
      <c r="B1904" s="46"/>
      <c r="C1904" s="47"/>
      <c r="D1904" s="47"/>
      <c r="E1904" s="46"/>
      <c r="F1904" s="46"/>
      <c r="G1904" s="47"/>
      <c r="H1904" s="47"/>
      <c r="I1904" s="47"/>
      <c r="J1904" s="45" t="str">
        <f aca="false">IF($A1904="","",IF(COUNTIF(Accounts!$C$2:$C$201,$A1904)+COUNTIF('Service Principals'!$C$2:$C$201,$A1904)+COUNTIF('Managed Identities'!$C$2:$C$201,$A1904)&gt;0,"Yes","NOT IN INVENTORY"))</f>
        <v/>
      </c>
    </row>
    <row r="1905" customFormat="false" ht="15" hidden="false" customHeight="false" outlineLevel="0" collapsed="false">
      <c r="A1905" s="46"/>
      <c r="B1905" s="46"/>
      <c r="C1905" s="47"/>
      <c r="D1905" s="47"/>
      <c r="E1905" s="46"/>
      <c r="F1905" s="46"/>
      <c r="G1905" s="47"/>
      <c r="H1905" s="47"/>
      <c r="I1905" s="47"/>
      <c r="J1905" s="45" t="str">
        <f aca="false">IF($A1905="","",IF(COUNTIF(Accounts!$C$2:$C$201,$A1905)+COUNTIF('Service Principals'!$C$2:$C$201,$A1905)+COUNTIF('Managed Identities'!$C$2:$C$201,$A1905)&gt;0,"Yes","NOT IN INVENTORY"))</f>
        <v/>
      </c>
    </row>
    <row r="1906" customFormat="false" ht="15" hidden="false" customHeight="false" outlineLevel="0" collapsed="false">
      <c r="A1906" s="46"/>
      <c r="B1906" s="46"/>
      <c r="C1906" s="47"/>
      <c r="D1906" s="47"/>
      <c r="E1906" s="46"/>
      <c r="F1906" s="46"/>
      <c r="G1906" s="47"/>
      <c r="H1906" s="47"/>
      <c r="I1906" s="47"/>
      <c r="J1906" s="45" t="str">
        <f aca="false">IF($A1906="","",IF(COUNTIF(Accounts!$C$2:$C$201,$A1906)+COUNTIF('Service Principals'!$C$2:$C$201,$A1906)+COUNTIF('Managed Identities'!$C$2:$C$201,$A1906)&gt;0,"Yes","NOT IN INVENTORY"))</f>
        <v/>
      </c>
    </row>
    <row r="1907" customFormat="false" ht="15" hidden="false" customHeight="false" outlineLevel="0" collapsed="false">
      <c r="A1907" s="46"/>
      <c r="B1907" s="46"/>
      <c r="C1907" s="47"/>
      <c r="D1907" s="47"/>
      <c r="E1907" s="46"/>
      <c r="F1907" s="46"/>
      <c r="G1907" s="47"/>
      <c r="H1907" s="47"/>
      <c r="I1907" s="47"/>
      <c r="J1907" s="45" t="str">
        <f aca="false">IF($A1907="","",IF(COUNTIF(Accounts!$C$2:$C$201,$A1907)+COUNTIF('Service Principals'!$C$2:$C$201,$A1907)+COUNTIF('Managed Identities'!$C$2:$C$201,$A1907)&gt;0,"Yes","NOT IN INVENTORY"))</f>
        <v/>
      </c>
    </row>
    <row r="1908" customFormat="false" ht="15" hidden="false" customHeight="false" outlineLevel="0" collapsed="false">
      <c r="A1908" s="46"/>
      <c r="B1908" s="46"/>
      <c r="C1908" s="47"/>
      <c r="D1908" s="47"/>
      <c r="E1908" s="46"/>
      <c r="F1908" s="46"/>
      <c r="G1908" s="47"/>
      <c r="H1908" s="47"/>
      <c r="I1908" s="47"/>
      <c r="J1908" s="45" t="str">
        <f aca="false">IF($A1908="","",IF(COUNTIF(Accounts!$C$2:$C$201,$A1908)+COUNTIF('Service Principals'!$C$2:$C$201,$A1908)+COUNTIF('Managed Identities'!$C$2:$C$201,$A1908)&gt;0,"Yes","NOT IN INVENTORY"))</f>
        <v/>
      </c>
    </row>
    <row r="1909" customFormat="false" ht="15" hidden="false" customHeight="false" outlineLevel="0" collapsed="false">
      <c r="A1909" s="46"/>
      <c r="B1909" s="46"/>
      <c r="C1909" s="47"/>
      <c r="D1909" s="47"/>
      <c r="E1909" s="46"/>
      <c r="F1909" s="46"/>
      <c r="G1909" s="47"/>
      <c r="H1909" s="47"/>
      <c r="I1909" s="47"/>
      <c r="J1909" s="45" t="str">
        <f aca="false">IF($A1909="","",IF(COUNTIF(Accounts!$C$2:$C$201,$A1909)+COUNTIF('Service Principals'!$C$2:$C$201,$A1909)+COUNTIF('Managed Identities'!$C$2:$C$201,$A1909)&gt;0,"Yes","NOT IN INVENTORY"))</f>
        <v/>
      </c>
    </row>
    <row r="1910" customFormat="false" ht="15" hidden="false" customHeight="false" outlineLevel="0" collapsed="false">
      <c r="A1910" s="46"/>
      <c r="B1910" s="46"/>
      <c r="C1910" s="47"/>
      <c r="D1910" s="47"/>
      <c r="E1910" s="46"/>
      <c r="F1910" s="46"/>
      <c r="G1910" s="47"/>
      <c r="H1910" s="47"/>
      <c r="I1910" s="47"/>
      <c r="J1910" s="45" t="str">
        <f aca="false">IF($A1910="","",IF(COUNTIF(Accounts!$C$2:$C$201,$A1910)+COUNTIF('Service Principals'!$C$2:$C$201,$A1910)+COUNTIF('Managed Identities'!$C$2:$C$201,$A1910)&gt;0,"Yes","NOT IN INVENTORY"))</f>
        <v/>
      </c>
    </row>
    <row r="1911" customFormat="false" ht="15" hidden="false" customHeight="false" outlineLevel="0" collapsed="false">
      <c r="A1911" s="46"/>
      <c r="B1911" s="46"/>
      <c r="C1911" s="47"/>
      <c r="D1911" s="47"/>
      <c r="E1911" s="46"/>
      <c r="F1911" s="46"/>
      <c r="G1911" s="47"/>
      <c r="H1911" s="47"/>
      <c r="I1911" s="47"/>
      <c r="J1911" s="45" t="str">
        <f aca="false">IF($A1911="","",IF(COUNTIF(Accounts!$C$2:$C$201,$A1911)+COUNTIF('Service Principals'!$C$2:$C$201,$A1911)+COUNTIF('Managed Identities'!$C$2:$C$201,$A1911)&gt;0,"Yes","NOT IN INVENTORY"))</f>
        <v/>
      </c>
    </row>
    <row r="1912" customFormat="false" ht="15" hidden="false" customHeight="false" outlineLevel="0" collapsed="false">
      <c r="A1912" s="46"/>
      <c r="B1912" s="46"/>
      <c r="C1912" s="47"/>
      <c r="D1912" s="47"/>
      <c r="E1912" s="46"/>
      <c r="F1912" s="46"/>
      <c r="G1912" s="47"/>
      <c r="H1912" s="47"/>
      <c r="I1912" s="47"/>
      <c r="J1912" s="45" t="str">
        <f aca="false">IF($A1912="","",IF(COUNTIF(Accounts!$C$2:$C$201,$A1912)+COUNTIF('Service Principals'!$C$2:$C$201,$A1912)+COUNTIF('Managed Identities'!$C$2:$C$201,$A1912)&gt;0,"Yes","NOT IN INVENTORY"))</f>
        <v/>
      </c>
    </row>
    <row r="1913" customFormat="false" ht="15" hidden="false" customHeight="false" outlineLevel="0" collapsed="false">
      <c r="A1913" s="46"/>
      <c r="B1913" s="46"/>
      <c r="C1913" s="47"/>
      <c r="D1913" s="47"/>
      <c r="E1913" s="46"/>
      <c r="F1913" s="46"/>
      <c r="G1913" s="47"/>
      <c r="H1913" s="47"/>
      <c r="I1913" s="47"/>
      <c r="J1913" s="45" t="str">
        <f aca="false">IF($A1913="","",IF(COUNTIF(Accounts!$C$2:$C$201,$A1913)+COUNTIF('Service Principals'!$C$2:$C$201,$A1913)+COUNTIF('Managed Identities'!$C$2:$C$201,$A1913)&gt;0,"Yes","NOT IN INVENTORY"))</f>
        <v/>
      </c>
    </row>
    <row r="1914" customFormat="false" ht="15" hidden="false" customHeight="false" outlineLevel="0" collapsed="false">
      <c r="A1914" s="46"/>
      <c r="B1914" s="46"/>
      <c r="C1914" s="47"/>
      <c r="D1914" s="47"/>
      <c r="E1914" s="46"/>
      <c r="F1914" s="46"/>
      <c r="G1914" s="47"/>
      <c r="H1914" s="47"/>
      <c r="I1914" s="47"/>
      <c r="J1914" s="45" t="str">
        <f aca="false">IF($A1914="","",IF(COUNTIF(Accounts!$C$2:$C$201,$A1914)+COUNTIF('Service Principals'!$C$2:$C$201,$A1914)+COUNTIF('Managed Identities'!$C$2:$C$201,$A1914)&gt;0,"Yes","NOT IN INVENTORY"))</f>
        <v/>
      </c>
    </row>
    <row r="1915" customFormat="false" ht="15" hidden="false" customHeight="false" outlineLevel="0" collapsed="false">
      <c r="A1915" s="46"/>
      <c r="B1915" s="46"/>
      <c r="C1915" s="47"/>
      <c r="D1915" s="47"/>
      <c r="E1915" s="46"/>
      <c r="F1915" s="46"/>
      <c r="G1915" s="47"/>
      <c r="H1915" s="47"/>
      <c r="I1915" s="47"/>
      <c r="J1915" s="45" t="str">
        <f aca="false">IF($A1915="","",IF(COUNTIF(Accounts!$C$2:$C$201,$A1915)+COUNTIF('Service Principals'!$C$2:$C$201,$A1915)+COUNTIF('Managed Identities'!$C$2:$C$201,$A1915)&gt;0,"Yes","NOT IN INVENTORY"))</f>
        <v/>
      </c>
    </row>
    <row r="1916" customFormat="false" ht="15" hidden="false" customHeight="false" outlineLevel="0" collapsed="false">
      <c r="A1916" s="46"/>
      <c r="B1916" s="46"/>
      <c r="C1916" s="47"/>
      <c r="D1916" s="47"/>
      <c r="E1916" s="46"/>
      <c r="F1916" s="46"/>
      <c r="G1916" s="47"/>
      <c r="H1916" s="47"/>
      <c r="I1916" s="47"/>
      <c r="J1916" s="45" t="str">
        <f aca="false">IF($A1916="","",IF(COUNTIF(Accounts!$C$2:$C$201,$A1916)+COUNTIF('Service Principals'!$C$2:$C$201,$A1916)+COUNTIF('Managed Identities'!$C$2:$C$201,$A1916)&gt;0,"Yes","NOT IN INVENTORY"))</f>
        <v/>
      </c>
    </row>
    <row r="1917" customFormat="false" ht="15" hidden="false" customHeight="false" outlineLevel="0" collapsed="false">
      <c r="A1917" s="46"/>
      <c r="B1917" s="46"/>
      <c r="C1917" s="47"/>
      <c r="D1917" s="47"/>
      <c r="E1917" s="46"/>
      <c r="F1917" s="46"/>
      <c r="G1917" s="47"/>
      <c r="H1917" s="47"/>
      <c r="I1917" s="47"/>
      <c r="J1917" s="45" t="str">
        <f aca="false">IF($A1917="","",IF(COUNTIF(Accounts!$C$2:$C$201,$A1917)+COUNTIF('Service Principals'!$C$2:$C$201,$A1917)+COUNTIF('Managed Identities'!$C$2:$C$201,$A1917)&gt;0,"Yes","NOT IN INVENTORY"))</f>
        <v/>
      </c>
    </row>
    <row r="1918" customFormat="false" ht="15" hidden="false" customHeight="false" outlineLevel="0" collapsed="false">
      <c r="A1918" s="46"/>
      <c r="B1918" s="46"/>
      <c r="C1918" s="47"/>
      <c r="D1918" s="47"/>
      <c r="E1918" s="46"/>
      <c r="F1918" s="46"/>
      <c r="G1918" s="47"/>
      <c r="H1918" s="47"/>
      <c r="I1918" s="47"/>
      <c r="J1918" s="45" t="str">
        <f aca="false">IF($A1918="","",IF(COUNTIF(Accounts!$C$2:$C$201,$A1918)+COUNTIF('Service Principals'!$C$2:$C$201,$A1918)+COUNTIF('Managed Identities'!$C$2:$C$201,$A1918)&gt;0,"Yes","NOT IN INVENTORY"))</f>
        <v/>
      </c>
    </row>
    <row r="1919" customFormat="false" ht="15" hidden="false" customHeight="false" outlineLevel="0" collapsed="false">
      <c r="A1919" s="46"/>
      <c r="B1919" s="46"/>
      <c r="C1919" s="47"/>
      <c r="D1919" s="47"/>
      <c r="E1919" s="46"/>
      <c r="F1919" s="46"/>
      <c r="G1919" s="47"/>
      <c r="H1919" s="47"/>
      <c r="I1919" s="47"/>
      <c r="J1919" s="45" t="str">
        <f aca="false">IF($A1919="","",IF(COUNTIF(Accounts!$C$2:$C$201,$A1919)+COUNTIF('Service Principals'!$C$2:$C$201,$A1919)+COUNTIF('Managed Identities'!$C$2:$C$201,$A1919)&gt;0,"Yes","NOT IN INVENTORY"))</f>
        <v/>
      </c>
    </row>
    <row r="1920" customFormat="false" ht="15" hidden="false" customHeight="false" outlineLevel="0" collapsed="false">
      <c r="A1920" s="46"/>
      <c r="B1920" s="46"/>
      <c r="C1920" s="47"/>
      <c r="D1920" s="47"/>
      <c r="E1920" s="46"/>
      <c r="F1920" s="46"/>
      <c r="G1920" s="47"/>
      <c r="H1920" s="47"/>
      <c r="I1920" s="47"/>
      <c r="J1920" s="45" t="str">
        <f aca="false">IF($A1920="","",IF(COUNTIF(Accounts!$C$2:$C$201,$A1920)+COUNTIF('Service Principals'!$C$2:$C$201,$A1920)+COUNTIF('Managed Identities'!$C$2:$C$201,$A1920)&gt;0,"Yes","NOT IN INVENTORY"))</f>
        <v/>
      </c>
    </row>
    <row r="1921" customFormat="false" ht="15" hidden="false" customHeight="false" outlineLevel="0" collapsed="false">
      <c r="A1921" s="46"/>
      <c r="B1921" s="46"/>
      <c r="C1921" s="47"/>
      <c r="D1921" s="47"/>
      <c r="E1921" s="46"/>
      <c r="F1921" s="46"/>
      <c r="G1921" s="47"/>
      <c r="H1921" s="47"/>
      <c r="I1921" s="47"/>
      <c r="J1921" s="45" t="str">
        <f aca="false">IF($A1921="","",IF(COUNTIF(Accounts!$C$2:$C$201,$A1921)+COUNTIF('Service Principals'!$C$2:$C$201,$A1921)+COUNTIF('Managed Identities'!$C$2:$C$201,$A1921)&gt;0,"Yes","NOT IN INVENTORY"))</f>
        <v/>
      </c>
    </row>
    <row r="1922" customFormat="false" ht="15" hidden="false" customHeight="false" outlineLevel="0" collapsed="false">
      <c r="A1922" s="46"/>
      <c r="B1922" s="46"/>
      <c r="C1922" s="47"/>
      <c r="D1922" s="47"/>
      <c r="E1922" s="46"/>
      <c r="F1922" s="46"/>
      <c r="G1922" s="47"/>
      <c r="H1922" s="47"/>
      <c r="I1922" s="47"/>
      <c r="J1922" s="45" t="str">
        <f aca="false">IF($A1922="","",IF(COUNTIF(Accounts!$C$2:$C$201,$A1922)+COUNTIF('Service Principals'!$C$2:$C$201,$A1922)+COUNTIF('Managed Identities'!$C$2:$C$201,$A1922)&gt;0,"Yes","NOT IN INVENTORY"))</f>
        <v/>
      </c>
    </row>
    <row r="1923" customFormat="false" ht="15" hidden="false" customHeight="false" outlineLevel="0" collapsed="false">
      <c r="A1923" s="46"/>
      <c r="B1923" s="46"/>
      <c r="C1923" s="47"/>
      <c r="D1923" s="47"/>
      <c r="E1923" s="46"/>
      <c r="F1923" s="46"/>
      <c r="G1923" s="47"/>
      <c r="H1923" s="47"/>
      <c r="I1923" s="47"/>
      <c r="J1923" s="45" t="str">
        <f aca="false">IF($A1923="","",IF(COUNTIF(Accounts!$C$2:$C$201,$A1923)+COUNTIF('Service Principals'!$C$2:$C$201,$A1923)+COUNTIF('Managed Identities'!$C$2:$C$201,$A1923)&gt;0,"Yes","NOT IN INVENTORY"))</f>
        <v/>
      </c>
    </row>
    <row r="1924" customFormat="false" ht="15" hidden="false" customHeight="false" outlineLevel="0" collapsed="false">
      <c r="A1924" s="46"/>
      <c r="B1924" s="46"/>
      <c r="C1924" s="47"/>
      <c r="D1924" s="47"/>
      <c r="E1924" s="46"/>
      <c r="F1924" s="46"/>
      <c r="G1924" s="47"/>
      <c r="H1924" s="47"/>
      <c r="I1924" s="47"/>
      <c r="J1924" s="45" t="str">
        <f aca="false">IF($A1924="","",IF(COUNTIF(Accounts!$C$2:$C$201,$A1924)+COUNTIF('Service Principals'!$C$2:$C$201,$A1924)+COUNTIF('Managed Identities'!$C$2:$C$201,$A1924)&gt;0,"Yes","NOT IN INVENTORY"))</f>
        <v/>
      </c>
    </row>
    <row r="1925" customFormat="false" ht="15" hidden="false" customHeight="false" outlineLevel="0" collapsed="false">
      <c r="A1925" s="46"/>
      <c r="B1925" s="46"/>
      <c r="C1925" s="47"/>
      <c r="D1925" s="47"/>
      <c r="E1925" s="46"/>
      <c r="F1925" s="46"/>
      <c r="G1925" s="47"/>
      <c r="H1925" s="47"/>
      <c r="I1925" s="47"/>
      <c r="J1925" s="45" t="str">
        <f aca="false">IF($A1925="","",IF(COUNTIF(Accounts!$C$2:$C$201,$A1925)+COUNTIF('Service Principals'!$C$2:$C$201,$A1925)+COUNTIF('Managed Identities'!$C$2:$C$201,$A1925)&gt;0,"Yes","NOT IN INVENTORY"))</f>
        <v/>
      </c>
    </row>
    <row r="1926" customFormat="false" ht="15" hidden="false" customHeight="false" outlineLevel="0" collapsed="false">
      <c r="A1926" s="46"/>
      <c r="B1926" s="46"/>
      <c r="C1926" s="47"/>
      <c r="D1926" s="47"/>
      <c r="E1926" s="46"/>
      <c r="F1926" s="46"/>
      <c r="G1926" s="47"/>
      <c r="H1926" s="47"/>
      <c r="I1926" s="47"/>
      <c r="J1926" s="45" t="str">
        <f aca="false">IF($A1926="","",IF(COUNTIF(Accounts!$C$2:$C$201,$A1926)+COUNTIF('Service Principals'!$C$2:$C$201,$A1926)+COUNTIF('Managed Identities'!$C$2:$C$201,$A1926)&gt;0,"Yes","NOT IN INVENTORY"))</f>
        <v/>
      </c>
    </row>
    <row r="1927" customFormat="false" ht="15" hidden="false" customHeight="false" outlineLevel="0" collapsed="false">
      <c r="A1927" s="46"/>
      <c r="B1927" s="46"/>
      <c r="C1927" s="47"/>
      <c r="D1927" s="47"/>
      <c r="E1927" s="46"/>
      <c r="F1927" s="46"/>
      <c r="G1927" s="47"/>
      <c r="H1927" s="47"/>
      <c r="I1927" s="47"/>
      <c r="J1927" s="45" t="str">
        <f aca="false">IF($A1927="","",IF(COUNTIF(Accounts!$C$2:$C$201,$A1927)+COUNTIF('Service Principals'!$C$2:$C$201,$A1927)+COUNTIF('Managed Identities'!$C$2:$C$201,$A1927)&gt;0,"Yes","NOT IN INVENTORY"))</f>
        <v/>
      </c>
    </row>
    <row r="1928" customFormat="false" ht="15" hidden="false" customHeight="false" outlineLevel="0" collapsed="false">
      <c r="A1928" s="46"/>
      <c r="B1928" s="46"/>
      <c r="C1928" s="47"/>
      <c r="D1928" s="47"/>
      <c r="E1928" s="46"/>
      <c r="F1928" s="46"/>
      <c r="G1928" s="47"/>
      <c r="H1928" s="47"/>
      <c r="I1928" s="47"/>
      <c r="J1928" s="45" t="str">
        <f aca="false">IF($A1928="","",IF(COUNTIF(Accounts!$C$2:$C$201,$A1928)+COUNTIF('Service Principals'!$C$2:$C$201,$A1928)+COUNTIF('Managed Identities'!$C$2:$C$201,$A1928)&gt;0,"Yes","NOT IN INVENTORY"))</f>
        <v/>
      </c>
    </row>
    <row r="1929" customFormat="false" ht="15" hidden="false" customHeight="false" outlineLevel="0" collapsed="false">
      <c r="A1929" s="46"/>
      <c r="B1929" s="46"/>
      <c r="C1929" s="47"/>
      <c r="D1929" s="47"/>
      <c r="E1929" s="46"/>
      <c r="F1929" s="46"/>
      <c r="G1929" s="47"/>
      <c r="H1929" s="47"/>
      <c r="I1929" s="47"/>
      <c r="J1929" s="45" t="str">
        <f aca="false">IF($A1929="","",IF(COUNTIF(Accounts!$C$2:$C$201,$A1929)+COUNTIF('Service Principals'!$C$2:$C$201,$A1929)+COUNTIF('Managed Identities'!$C$2:$C$201,$A1929)&gt;0,"Yes","NOT IN INVENTORY"))</f>
        <v/>
      </c>
    </row>
    <row r="1930" customFormat="false" ht="15" hidden="false" customHeight="false" outlineLevel="0" collapsed="false">
      <c r="A1930" s="46"/>
      <c r="B1930" s="46"/>
      <c r="C1930" s="47"/>
      <c r="D1930" s="47"/>
      <c r="E1930" s="46"/>
      <c r="F1930" s="46"/>
      <c r="G1930" s="47"/>
      <c r="H1930" s="47"/>
      <c r="I1930" s="47"/>
      <c r="J1930" s="45" t="str">
        <f aca="false">IF($A1930="","",IF(COUNTIF(Accounts!$C$2:$C$201,$A1930)+COUNTIF('Service Principals'!$C$2:$C$201,$A1930)+COUNTIF('Managed Identities'!$C$2:$C$201,$A1930)&gt;0,"Yes","NOT IN INVENTORY"))</f>
        <v/>
      </c>
    </row>
    <row r="1931" customFormat="false" ht="15" hidden="false" customHeight="false" outlineLevel="0" collapsed="false">
      <c r="A1931" s="46"/>
      <c r="B1931" s="46"/>
      <c r="C1931" s="47"/>
      <c r="D1931" s="47"/>
      <c r="E1931" s="46"/>
      <c r="F1931" s="46"/>
      <c r="G1931" s="47"/>
      <c r="H1931" s="47"/>
      <c r="I1931" s="47"/>
      <c r="J1931" s="45" t="str">
        <f aca="false">IF($A1931="","",IF(COUNTIF(Accounts!$C$2:$C$201,$A1931)+COUNTIF('Service Principals'!$C$2:$C$201,$A1931)+COUNTIF('Managed Identities'!$C$2:$C$201,$A1931)&gt;0,"Yes","NOT IN INVENTORY"))</f>
        <v/>
      </c>
    </row>
    <row r="1932" customFormat="false" ht="15" hidden="false" customHeight="false" outlineLevel="0" collapsed="false">
      <c r="A1932" s="46"/>
      <c r="B1932" s="46"/>
      <c r="C1932" s="47"/>
      <c r="D1932" s="47"/>
      <c r="E1932" s="46"/>
      <c r="F1932" s="46"/>
      <c r="G1932" s="47"/>
      <c r="H1932" s="47"/>
      <c r="I1932" s="47"/>
      <c r="J1932" s="45" t="str">
        <f aca="false">IF($A1932="","",IF(COUNTIF(Accounts!$C$2:$C$201,$A1932)+COUNTIF('Service Principals'!$C$2:$C$201,$A1932)+COUNTIF('Managed Identities'!$C$2:$C$201,$A1932)&gt;0,"Yes","NOT IN INVENTORY"))</f>
        <v/>
      </c>
    </row>
    <row r="1933" customFormat="false" ht="15" hidden="false" customHeight="false" outlineLevel="0" collapsed="false">
      <c r="A1933" s="46"/>
      <c r="B1933" s="46"/>
      <c r="C1933" s="47"/>
      <c r="D1933" s="47"/>
      <c r="E1933" s="46"/>
      <c r="F1933" s="46"/>
      <c r="G1933" s="47"/>
      <c r="H1933" s="47"/>
      <c r="I1933" s="47"/>
      <c r="J1933" s="45" t="str">
        <f aca="false">IF($A1933="","",IF(COUNTIF(Accounts!$C$2:$C$201,$A1933)+COUNTIF('Service Principals'!$C$2:$C$201,$A1933)+COUNTIF('Managed Identities'!$C$2:$C$201,$A1933)&gt;0,"Yes","NOT IN INVENTORY"))</f>
        <v/>
      </c>
    </row>
    <row r="1934" customFormat="false" ht="15" hidden="false" customHeight="false" outlineLevel="0" collapsed="false">
      <c r="A1934" s="46"/>
      <c r="B1934" s="46"/>
      <c r="C1934" s="47"/>
      <c r="D1934" s="47"/>
      <c r="E1934" s="46"/>
      <c r="F1934" s="46"/>
      <c r="G1934" s="47"/>
      <c r="H1934" s="47"/>
      <c r="I1934" s="47"/>
      <c r="J1934" s="45" t="str">
        <f aca="false">IF($A1934="","",IF(COUNTIF(Accounts!$C$2:$C$201,$A1934)+COUNTIF('Service Principals'!$C$2:$C$201,$A1934)+COUNTIF('Managed Identities'!$C$2:$C$201,$A1934)&gt;0,"Yes","NOT IN INVENTORY"))</f>
        <v/>
      </c>
    </row>
    <row r="1935" customFormat="false" ht="15" hidden="false" customHeight="false" outlineLevel="0" collapsed="false">
      <c r="A1935" s="46"/>
      <c r="B1935" s="46"/>
      <c r="C1935" s="47"/>
      <c r="D1935" s="47"/>
      <c r="E1935" s="46"/>
      <c r="F1935" s="46"/>
      <c r="G1935" s="47"/>
      <c r="H1935" s="47"/>
      <c r="I1935" s="47"/>
      <c r="J1935" s="45" t="str">
        <f aca="false">IF($A1935="","",IF(COUNTIF(Accounts!$C$2:$C$201,$A1935)+COUNTIF('Service Principals'!$C$2:$C$201,$A1935)+COUNTIF('Managed Identities'!$C$2:$C$201,$A1935)&gt;0,"Yes","NOT IN INVENTORY"))</f>
        <v/>
      </c>
    </row>
    <row r="1936" customFormat="false" ht="15" hidden="false" customHeight="false" outlineLevel="0" collapsed="false">
      <c r="A1936" s="46"/>
      <c r="B1936" s="46"/>
      <c r="C1936" s="47"/>
      <c r="D1936" s="47"/>
      <c r="E1936" s="46"/>
      <c r="F1936" s="46"/>
      <c r="G1936" s="47"/>
      <c r="H1936" s="47"/>
      <c r="I1936" s="47"/>
      <c r="J1936" s="45" t="str">
        <f aca="false">IF($A1936="","",IF(COUNTIF(Accounts!$C$2:$C$201,$A1936)+COUNTIF('Service Principals'!$C$2:$C$201,$A1936)+COUNTIF('Managed Identities'!$C$2:$C$201,$A1936)&gt;0,"Yes","NOT IN INVENTORY"))</f>
        <v/>
      </c>
    </row>
    <row r="1937" customFormat="false" ht="15" hidden="false" customHeight="false" outlineLevel="0" collapsed="false">
      <c r="A1937" s="46"/>
      <c r="B1937" s="46"/>
      <c r="C1937" s="47"/>
      <c r="D1937" s="47"/>
      <c r="E1937" s="46"/>
      <c r="F1937" s="46"/>
      <c r="G1937" s="47"/>
      <c r="H1937" s="47"/>
      <c r="I1937" s="47"/>
      <c r="J1937" s="45" t="str">
        <f aca="false">IF($A1937="","",IF(COUNTIF(Accounts!$C$2:$C$201,$A1937)+COUNTIF('Service Principals'!$C$2:$C$201,$A1937)+COUNTIF('Managed Identities'!$C$2:$C$201,$A1937)&gt;0,"Yes","NOT IN INVENTORY"))</f>
        <v/>
      </c>
    </row>
    <row r="1938" customFormat="false" ht="15" hidden="false" customHeight="false" outlineLevel="0" collapsed="false">
      <c r="A1938" s="46"/>
      <c r="B1938" s="46"/>
      <c r="C1938" s="47"/>
      <c r="D1938" s="47"/>
      <c r="E1938" s="46"/>
      <c r="F1938" s="46"/>
      <c r="G1938" s="47"/>
      <c r="H1938" s="47"/>
      <c r="I1938" s="47"/>
      <c r="J1938" s="45" t="str">
        <f aca="false">IF($A1938="","",IF(COUNTIF(Accounts!$C$2:$C$201,$A1938)+COUNTIF('Service Principals'!$C$2:$C$201,$A1938)+COUNTIF('Managed Identities'!$C$2:$C$201,$A1938)&gt;0,"Yes","NOT IN INVENTORY"))</f>
        <v/>
      </c>
    </row>
    <row r="1939" customFormat="false" ht="15" hidden="false" customHeight="false" outlineLevel="0" collapsed="false">
      <c r="A1939" s="46"/>
      <c r="B1939" s="46"/>
      <c r="C1939" s="47"/>
      <c r="D1939" s="47"/>
      <c r="E1939" s="46"/>
      <c r="F1939" s="46"/>
      <c r="G1939" s="47"/>
      <c r="H1939" s="47"/>
      <c r="I1939" s="47"/>
      <c r="J1939" s="45" t="str">
        <f aca="false">IF($A1939="","",IF(COUNTIF(Accounts!$C$2:$C$201,$A1939)+COUNTIF('Service Principals'!$C$2:$C$201,$A1939)+COUNTIF('Managed Identities'!$C$2:$C$201,$A1939)&gt;0,"Yes","NOT IN INVENTORY"))</f>
        <v/>
      </c>
    </row>
    <row r="1940" customFormat="false" ht="15" hidden="false" customHeight="false" outlineLevel="0" collapsed="false">
      <c r="A1940" s="46"/>
      <c r="B1940" s="46"/>
      <c r="C1940" s="47"/>
      <c r="D1940" s="47"/>
      <c r="E1940" s="46"/>
      <c r="F1940" s="46"/>
      <c r="G1940" s="47"/>
      <c r="H1940" s="47"/>
      <c r="I1940" s="47"/>
      <c r="J1940" s="45" t="str">
        <f aca="false">IF($A1940="","",IF(COUNTIF(Accounts!$C$2:$C$201,$A1940)+COUNTIF('Service Principals'!$C$2:$C$201,$A1940)+COUNTIF('Managed Identities'!$C$2:$C$201,$A1940)&gt;0,"Yes","NOT IN INVENTORY"))</f>
        <v/>
      </c>
    </row>
    <row r="1941" customFormat="false" ht="15" hidden="false" customHeight="false" outlineLevel="0" collapsed="false">
      <c r="A1941" s="46"/>
      <c r="B1941" s="46"/>
      <c r="C1941" s="47"/>
      <c r="D1941" s="47"/>
      <c r="E1941" s="46"/>
      <c r="F1941" s="46"/>
      <c r="G1941" s="47"/>
      <c r="H1941" s="47"/>
      <c r="I1941" s="47"/>
      <c r="J1941" s="45" t="str">
        <f aca="false">IF($A1941="","",IF(COUNTIF(Accounts!$C$2:$C$201,$A1941)+COUNTIF('Service Principals'!$C$2:$C$201,$A1941)+COUNTIF('Managed Identities'!$C$2:$C$201,$A1941)&gt;0,"Yes","NOT IN INVENTORY"))</f>
        <v/>
      </c>
    </row>
    <row r="1942" customFormat="false" ht="15" hidden="false" customHeight="false" outlineLevel="0" collapsed="false">
      <c r="A1942" s="46"/>
      <c r="B1942" s="46"/>
      <c r="C1942" s="47"/>
      <c r="D1942" s="47"/>
      <c r="E1942" s="46"/>
      <c r="F1942" s="46"/>
      <c r="G1942" s="47"/>
      <c r="H1942" s="47"/>
      <c r="I1942" s="47"/>
      <c r="J1942" s="45" t="str">
        <f aca="false">IF($A1942="","",IF(COUNTIF(Accounts!$C$2:$C$201,$A1942)+COUNTIF('Service Principals'!$C$2:$C$201,$A1942)+COUNTIF('Managed Identities'!$C$2:$C$201,$A1942)&gt;0,"Yes","NOT IN INVENTORY"))</f>
        <v/>
      </c>
    </row>
    <row r="1943" customFormat="false" ht="15" hidden="false" customHeight="false" outlineLevel="0" collapsed="false">
      <c r="A1943" s="46"/>
      <c r="B1943" s="46"/>
      <c r="C1943" s="47"/>
      <c r="D1943" s="47"/>
      <c r="E1943" s="46"/>
      <c r="F1943" s="46"/>
      <c r="G1943" s="47"/>
      <c r="H1943" s="47"/>
      <c r="I1943" s="47"/>
      <c r="J1943" s="45" t="str">
        <f aca="false">IF($A1943="","",IF(COUNTIF(Accounts!$C$2:$C$201,$A1943)+COUNTIF('Service Principals'!$C$2:$C$201,$A1943)+COUNTIF('Managed Identities'!$C$2:$C$201,$A1943)&gt;0,"Yes","NOT IN INVENTORY"))</f>
        <v/>
      </c>
    </row>
    <row r="1944" customFormat="false" ht="15" hidden="false" customHeight="false" outlineLevel="0" collapsed="false">
      <c r="A1944" s="46"/>
      <c r="B1944" s="46"/>
      <c r="C1944" s="47"/>
      <c r="D1944" s="47"/>
      <c r="E1944" s="46"/>
      <c r="F1944" s="46"/>
      <c r="G1944" s="47"/>
      <c r="H1944" s="47"/>
      <c r="I1944" s="47"/>
      <c r="J1944" s="45" t="str">
        <f aca="false">IF($A1944="","",IF(COUNTIF(Accounts!$C$2:$C$201,$A1944)+COUNTIF('Service Principals'!$C$2:$C$201,$A1944)+COUNTIF('Managed Identities'!$C$2:$C$201,$A1944)&gt;0,"Yes","NOT IN INVENTORY"))</f>
        <v/>
      </c>
    </row>
    <row r="1945" customFormat="false" ht="15" hidden="false" customHeight="false" outlineLevel="0" collapsed="false">
      <c r="A1945" s="46"/>
      <c r="B1945" s="46"/>
      <c r="C1945" s="47"/>
      <c r="D1945" s="47"/>
      <c r="E1945" s="46"/>
      <c r="F1945" s="46"/>
      <c r="G1945" s="47"/>
      <c r="H1945" s="47"/>
      <c r="I1945" s="47"/>
      <c r="J1945" s="45" t="str">
        <f aca="false">IF($A1945="","",IF(COUNTIF(Accounts!$C$2:$C$201,$A1945)+COUNTIF('Service Principals'!$C$2:$C$201,$A1945)+COUNTIF('Managed Identities'!$C$2:$C$201,$A1945)&gt;0,"Yes","NOT IN INVENTORY"))</f>
        <v/>
      </c>
    </row>
    <row r="1946" customFormat="false" ht="15" hidden="false" customHeight="false" outlineLevel="0" collapsed="false">
      <c r="A1946" s="46"/>
      <c r="B1946" s="46"/>
      <c r="C1946" s="47"/>
      <c r="D1946" s="47"/>
      <c r="E1946" s="46"/>
      <c r="F1946" s="46"/>
      <c r="G1946" s="47"/>
      <c r="H1946" s="47"/>
      <c r="I1946" s="47"/>
      <c r="J1946" s="45" t="str">
        <f aca="false">IF($A1946="","",IF(COUNTIF(Accounts!$C$2:$C$201,$A1946)+COUNTIF('Service Principals'!$C$2:$C$201,$A1946)+COUNTIF('Managed Identities'!$C$2:$C$201,$A1946)&gt;0,"Yes","NOT IN INVENTORY"))</f>
        <v/>
      </c>
    </row>
    <row r="1947" customFormat="false" ht="15" hidden="false" customHeight="false" outlineLevel="0" collapsed="false">
      <c r="A1947" s="46"/>
      <c r="B1947" s="46"/>
      <c r="C1947" s="47"/>
      <c r="D1947" s="47"/>
      <c r="E1947" s="46"/>
      <c r="F1947" s="46"/>
      <c r="G1947" s="47"/>
      <c r="H1947" s="47"/>
      <c r="I1947" s="47"/>
      <c r="J1947" s="45" t="str">
        <f aca="false">IF($A1947="","",IF(COUNTIF(Accounts!$C$2:$C$201,$A1947)+COUNTIF('Service Principals'!$C$2:$C$201,$A1947)+COUNTIF('Managed Identities'!$C$2:$C$201,$A1947)&gt;0,"Yes","NOT IN INVENTORY"))</f>
        <v/>
      </c>
    </row>
    <row r="1948" customFormat="false" ht="15" hidden="false" customHeight="false" outlineLevel="0" collapsed="false">
      <c r="A1948" s="46"/>
      <c r="B1948" s="46"/>
      <c r="C1948" s="47"/>
      <c r="D1948" s="47"/>
      <c r="E1948" s="46"/>
      <c r="F1948" s="46"/>
      <c r="G1948" s="47"/>
      <c r="H1948" s="47"/>
      <c r="I1948" s="47"/>
      <c r="J1948" s="45" t="str">
        <f aca="false">IF($A1948="","",IF(COUNTIF(Accounts!$C$2:$C$201,$A1948)+COUNTIF('Service Principals'!$C$2:$C$201,$A1948)+COUNTIF('Managed Identities'!$C$2:$C$201,$A1948)&gt;0,"Yes","NOT IN INVENTORY"))</f>
        <v/>
      </c>
    </row>
    <row r="1949" customFormat="false" ht="15" hidden="false" customHeight="false" outlineLevel="0" collapsed="false">
      <c r="A1949" s="46"/>
      <c r="B1949" s="46"/>
      <c r="C1949" s="47"/>
      <c r="D1949" s="47"/>
      <c r="E1949" s="46"/>
      <c r="F1949" s="46"/>
      <c r="G1949" s="47"/>
      <c r="H1949" s="47"/>
      <c r="I1949" s="47"/>
      <c r="J1949" s="45" t="str">
        <f aca="false">IF($A1949="","",IF(COUNTIF(Accounts!$C$2:$C$201,$A1949)+COUNTIF('Service Principals'!$C$2:$C$201,$A1949)+COUNTIF('Managed Identities'!$C$2:$C$201,$A1949)&gt;0,"Yes","NOT IN INVENTORY"))</f>
        <v/>
      </c>
    </row>
    <row r="1950" customFormat="false" ht="15" hidden="false" customHeight="false" outlineLevel="0" collapsed="false">
      <c r="A1950" s="46"/>
      <c r="B1950" s="46"/>
      <c r="C1950" s="47"/>
      <c r="D1950" s="47"/>
      <c r="E1950" s="46"/>
      <c r="F1950" s="46"/>
      <c r="G1950" s="47"/>
      <c r="H1950" s="47"/>
      <c r="I1950" s="47"/>
      <c r="J1950" s="45" t="str">
        <f aca="false">IF($A1950="","",IF(COUNTIF(Accounts!$C$2:$C$201,$A1950)+COUNTIF('Service Principals'!$C$2:$C$201,$A1950)+COUNTIF('Managed Identities'!$C$2:$C$201,$A1950)&gt;0,"Yes","NOT IN INVENTORY"))</f>
        <v/>
      </c>
    </row>
    <row r="1951" customFormat="false" ht="15" hidden="false" customHeight="false" outlineLevel="0" collapsed="false">
      <c r="A1951" s="46"/>
      <c r="B1951" s="46"/>
      <c r="C1951" s="47"/>
      <c r="D1951" s="47"/>
      <c r="E1951" s="46"/>
      <c r="F1951" s="46"/>
      <c r="G1951" s="47"/>
      <c r="H1951" s="47"/>
      <c r="I1951" s="47"/>
      <c r="J1951" s="45" t="str">
        <f aca="false">IF($A1951="","",IF(COUNTIF(Accounts!$C$2:$C$201,$A1951)+COUNTIF('Service Principals'!$C$2:$C$201,$A1951)+COUNTIF('Managed Identities'!$C$2:$C$201,$A1951)&gt;0,"Yes","NOT IN INVENTORY"))</f>
        <v/>
      </c>
    </row>
    <row r="1952" customFormat="false" ht="15" hidden="false" customHeight="false" outlineLevel="0" collapsed="false">
      <c r="A1952" s="46"/>
      <c r="B1952" s="46"/>
      <c r="C1952" s="47"/>
      <c r="D1952" s="47"/>
      <c r="E1952" s="46"/>
      <c r="F1952" s="46"/>
      <c r="G1952" s="47"/>
      <c r="H1952" s="47"/>
      <c r="I1952" s="47"/>
      <c r="J1952" s="45" t="str">
        <f aca="false">IF($A1952="","",IF(COUNTIF(Accounts!$C$2:$C$201,$A1952)+COUNTIF('Service Principals'!$C$2:$C$201,$A1952)+COUNTIF('Managed Identities'!$C$2:$C$201,$A1952)&gt;0,"Yes","NOT IN INVENTORY"))</f>
        <v/>
      </c>
    </row>
    <row r="1953" customFormat="false" ht="15" hidden="false" customHeight="false" outlineLevel="0" collapsed="false">
      <c r="A1953" s="46"/>
      <c r="B1953" s="46"/>
      <c r="C1953" s="47"/>
      <c r="D1953" s="47"/>
      <c r="E1953" s="46"/>
      <c r="F1953" s="46"/>
      <c r="G1953" s="47"/>
      <c r="H1953" s="47"/>
      <c r="I1953" s="47"/>
      <c r="J1953" s="45" t="str">
        <f aca="false">IF($A1953="","",IF(COUNTIF(Accounts!$C$2:$C$201,$A1953)+COUNTIF('Service Principals'!$C$2:$C$201,$A1953)+COUNTIF('Managed Identities'!$C$2:$C$201,$A1953)&gt;0,"Yes","NOT IN INVENTORY"))</f>
        <v/>
      </c>
    </row>
    <row r="1954" customFormat="false" ht="15" hidden="false" customHeight="false" outlineLevel="0" collapsed="false">
      <c r="A1954" s="46"/>
      <c r="B1954" s="46"/>
      <c r="C1954" s="47"/>
      <c r="D1954" s="47"/>
      <c r="E1954" s="46"/>
      <c r="F1954" s="46"/>
      <c r="G1954" s="47"/>
      <c r="H1954" s="47"/>
      <c r="I1954" s="47"/>
      <c r="J1954" s="45" t="str">
        <f aca="false">IF($A1954="","",IF(COUNTIF(Accounts!$C$2:$C$201,$A1954)+COUNTIF('Service Principals'!$C$2:$C$201,$A1954)+COUNTIF('Managed Identities'!$C$2:$C$201,$A1954)&gt;0,"Yes","NOT IN INVENTORY"))</f>
        <v/>
      </c>
    </row>
    <row r="1955" customFormat="false" ht="15" hidden="false" customHeight="false" outlineLevel="0" collapsed="false">
      <c r="A1955" s="46"/>
      <c r="B1955" s="46"/>
      <c r="C1955" s="47"/>
      <c r="D1955" s="47"/>
      <c r="E1955" s="46"/>
      <c r="F1955" s="46"/>
      <c r="G1955" s="47"/>
      <c r="H1955" s="47"/>
      <c r="I1955" s="47"/>
      <c r="J1955" s="45" t="str">
        <f aca="false">IF($A1955="","",IF(COUNTIF(Accounts!$C$2:$C$201,$A1955)+COUNTIF('Service Principals'!$C$2:$C$201,$A1955)+COUNTIF('Managed Identities'!$C$2:$C$201,$A1955)&gt;0,"Yes","NOT IN INVENTORY"))</f>
        <v/>
      </c>
    </row>
    <row r="1956" customFormat="false" ht="15" hidden="false" customHeight="false" outlineLevel="0" collapsed="false">
      <c r="A1956" s="46"/>
      <c r="B1956" s="46"/>
      <c r="C1956" s="47"/>
      <c r="D1956" s="47"/>
      <c r="E1956" s="46"/>
      <c r="F1956" s="46"/>
      <c r="G1956" s="47"/>
      <c r="H1956" s="47"/>
      <c r="I1956" s="47"/>
      <c r="J1956" s="45" t="str">
        <f aca="false">IF($A1956="","",IF(COUNTIF(Accounts!$C$2:$C$201,$A1956)+COUNTIF('Service Principals'!$C$2:$C$201,$A1956)+COUNTIF('Managed Identities'!$C$2:$C$201,$A1956)&gt;0,"Yes","NOT IN INVENTORY"))</f>
        <v/>
      </c>
    </row>
    <row r="1957" customFormat="false" ht="15" hidden="false" customHeight="false" outlineLevel="0" collapsed="false">
      <c r="A1957" s="46"/>
      <c r="B1957" s="46"/>
      <c r="C1957" s="47"/>
      <c r="D1957" s="47"/>
      <c r="E1957" s="46"/>
      <c r="F1957" s="46"/>
      <c r="G1957" s="47"/>
      <c r="H1957" s="47"/>
      <c r="I1957" s="47"/>
      <c r="J1957" s="45" t="str">
        <f aca="false">IF($A1957="","",IF(COUNTIF(Accounts!$C$2:$C$201,$A1957)+COUNTIF('Service Principals'!$C$2:$C$201,$A1957)+COUNTIF('Managed Identities'!$C$2:$C$201,$A1957)&gt;0,"Yes","NOT IN INVENTORY"))</f>
        <v/>
      </c>
    </row>
    <row r="1958" customFormat="false" ht="15" hidden="false" customHeight="false" outlineLevel="0" collapsed="false">
      <c r="A1958" s="46"/>
      <c r="B1958" s="46"/>
      <c r="C1958" s="47"/>
      <c r="D1958" s="47"/>
      <c r="E1958" s="46"/>
      <c r="F1958" s="46"/>
      <c r="G1958" s="47"/>
      <c r="H1958" s="47"/>
      <c r="I1958" s="47"/>
      <c r="J1958" s="45" t="str">
        <f aca="false">IF($A1958="","",IF(COUNTIF(Accounts!$C$2:$C$201,$A1958)+COUNTIF('Service Principals'!$C$2:$C$201,$A1958)+COUNTIF('Managed Identities'!$C$2:$C$201,$A1958)&gt;0,"Yes","NOT IN INVENTORY"))</f>
        <v/>
      </c>
    </row>
    <row r="1959" customFormat="false" ht="15" hidden="false" customHeight="false" outlineLevel="0" collapsed="false">
      <c r="A1959" s="46"/>
      <c r="B1959" s="46"/>
      <c r="C1959" s="47"/>
      <c r="D1959" s="47"/>
      <c r="E1959" s="46"/>
      <c r="F1959" s="46"/>
      <c r="G1959" s="47"/>
      <c r="H1959" s="47"/>
      <c r="I1959" s="47"/>
      <c r="J1959" s="45" t="str">
        <f aca="false">IF($A1959="","",IF(COUNTIF(Accounts!$C$2:$C$201,$A1959)+COUNTIF('Service Principals'!$C$2:$C$201,$A1959)+COUNTIF('Managed Identities'!$C$2:$C$201,$A1959)&gt;0,"Yes","NOT IN INVENTORY"))</f>
        <v/>
      </c>
    </row>
    <row r="1960" customFormat="false" ht="15" hidden="false" customHeight="false" outlineLevel="0" collapsed="false">
      <c r="A1960" s="46"/>
      <c r="B1960" s="46"/>
      <c r="C1960" s="47"/>
      <c r="D1960" s="47"/>
      <c r="E1960" s="46"/>
      <c r="F1960" s="46"/>
      <c r="G1960" s="47"/>
      <c r="H1960" s="47"/>
      <c r="I1960" s="47"/>
      <c r="J1960" s="45" t="str">
        <f aca="false">IF($A1960="","",IF(COUNTIF(Accounts!$C$2:$C$201,$A1960)+COUNTIF('Service Principals'!$C$2:$C$201,$A1960)+COUNTIF('Managed Identities'!$C$2:$C$201,$A1960)&gt;0,"Yes","NOT IN INVENTORY"))</f>
        <v/>
      </c>
    </row>
    <row r="1961" customFormat="false" ht="15" hidden="false" customHeight="false" outlineLevel="0" collapsed="false">
      <c r="A1961" s="46"/>
      <c r="B1961" s="46"/>
      <c r="C1961" s="47"/>
      <c r="D1961" s="47"/>
      <c r="E1961" s="46"/>
      <c r="F1961" s="46"/>
      <c r="G1961" s="47"/>
      <c r="H1961" s="47"/>
      <c r="I1961" s="47"/>
      <c r="J1961" s="45" t="str">
        <f aca="false">IF($A1961="","",IF(COUNTIF(Accounts!$C$2:$C$201,$A1961)+COUNTIF('Service Principals'!$C$2:$C$201,$A1961)+COUNTIF('Managed Identities'!$C$2:$C$201,$A1961)&gt;0,"Yes","NOT IN INVENTORY"))</f>
        <v/>
      </c>
    </row>
    <row r="1962" customFormat="false" ht="15" hidden="false" customHeight="false" outlineLevel="0" collapsed="false">
      <c r="A1962" s="46"/>
      <c r="B1962" s="46"/>
      <c r="C1962" s="47"/>
      <c r="D1962" s="47"/>
      <c r="E1962" s="46"/>
      <c r="F1962" s="46"/>
      <c r="G1962" s="47"/>
      <c r="H1962" s="47"/>
      <c r="I1962" s="47"/>
      <c r="J1962" s="45" t="str">
        <f aca="false">IF($A1962="","",IF(COUNTIF(Accounts!$C$2:$C$201,$A1962)+COUNTIF('Service Principals'!$C$2:$C$201,$A1962)+COUNTIF('Managed Identities'!$C$2:$C$201,$A1962)&gt;0,"Yes","NOT IN INVENTORY"))</f>
        <v/>
      </c>
    </row>
    <row r="1963" customFormat="false" ht="15" hidden="false" customHeight="false" outlineLevel="0" collapsed="false">
      <c r="A1963" s="46"/>
      <c r="B1963" s="46"/>
      <c r="C1963" s="47"/>
      <c r="D1963" s="47"/>
      <c r="E1963" s="46"/>
      <c r="F1963" s="46"/>
      <c r="G1963" s="47"/>
      <c r="H1963" s="47"/>
      <c r="I1963" s="47"/>
      <c r="J1963" s="45" t="str">
        <f aca="false">IF($A1963="","",IF(COUNTIF(Accounts!$C$2:$C$201,$A1963)+COUNTIF('Service Principals'!$C$2:$C$201,$A1963)+COUNTIF('Managed Identities'!$C$2:$C$201,$A1963)&gt;0,"Yes","NOT IN INVENTORY"))</f>
        <v/>
      </c>
    </row>
    <row r="1964" customFormat="false" ht="15" hidden="false" customHeight="false" outlineLevel="0" collapsed="false">
      <c r="A1964" s="46"/>
      <c r="B1964" s="46"/>
      <c r="C1964" s="47"/>
      <c r="D1964" s="47"/>
      <c r="E1964" s="46"/>
      <c r="F1964" s="46"/>
      <c r="G1964" s="47"/>
      <c r="H1964" s="47"/>
      <c r="I1964" s="47"/>
      <c r="J1964" s="45" t="str">
        <f aca="false">IF($A1964="","",IF(COUNTIF(Accounts!$C$2:$C$201,$A1964)+COUNTIF('Service Principals'!$C$2:$C$201,$A1964)+COUNTIF('Managed Identities'!$C$2:$C$201,$A1964)&gt;0,"Yes","NOT IN INVENTORY"))</f>
        <v/>
      </c>
    </row>
    <row r="1965" customFormat="false" ht="15" hidden="false" customHeight="false" outlineLevel="0" collapsed="false">
      <c r="A1965" s="46"/>
      <c r="B1965" s="46"/>
      <c r="C1965" s="47"/>
      <c r="D1965" s="47"/>
      <c r="E1965" s="46"/>
      <c r="F1965" s="46"/>
      <c r="G1965" s="47"/>
      <c r="H1965" s="47"/>
      <c r="I1965" s="47"/>
      <c r="J1965" s="45" t="str">
        <f aca="false">IF($A1965="","",IF(COUNTIF(Accounts!$C$2:$C$201,$A1965)+COUNTIF('Service Principals'!$C$2:$C$201,$A1965)+COUNTIF('Managed Identities'!$C$2:$C$201,$A1965)&gt;0,"Yes","NOT IN INVENTORY"))</f>
        <v/>
      </c>
    </row>
    <row r="1966" customFormat="false" ht="15" hidden="false" customHeight="false" outlineLevel="0" collapsed="false">
      <c r="A1966" s="46"/>
      <c r="B1966" s="46"/>
      <c r="C1966" s="47"/>
      <c r="D1966" s="47"/>
      <c r="E1966" s="46"/>
      <c r="F1966" s="46"/>
      <c r="G1966" s="47"/>
      <c r="H1966" s="47"/>
      <c r="I1966" s="47"/>
      <c r="J1966" s="45" t="str">
        <f aca="false">IF($A1966="","",IF(COUNTIF(Accounts!$C$2:$C$201,$A1966)+COUNTIF('Service Principals'!$C$2:$C$201,$A1966)+COUNTIF('Managed Identities'!$C$2:$C$201,$A1966)&gt;0,"Yes","NOT IN INVENTORY"))</f>
        <v/>
      </c>
    </row>
    <row r="1967" customFormat="false" ht="15" hidden="false" customHeight="false" outlineLevel="0" collapsed="false">
      <c r="A1967" s="46"/>
      <c r="B1967" s="46"/>
      <c r="C1967" s="47"/>
      <c r="D1967" s="47"/>
      <c r="E1967" s="46"/>
      <c r="F1967" s="46"/>
      <c r="G1967" s="47"/>
      <c r="H1967" s="47"/>
      <c r="I1967" s="47"/>
      <c r="J1967" s="45" t="str">
        <f aca="false">IF($A1967="","",IF(COUNTIF(Accounts!$C$2:$C$201,$A1967)+COUNTIF('Service Principals'!$C$2:$C$201,$A1967)+COUNTIF('Managed Identities'!$C$2:$C$201,$A1967)&gt;0,"Yes","NOT IN INVENTORY"))</f>
        <v/>
      </c>
    </row>
    <row r="1968" customFormat="false" ht="15" hidden="false" customHeight="false" outlineLevel="0" collapsed="false">
      <c r="A1968" s="46"/>
      <c r="B1968" s="46"/>
      <c r="C1968" s="47"/>
      <c r="D1968" s="47"/>
      <c r="E1968" s="46"/>
      <c r="F1968" s="46"/>
      <c r="G1968" s="47"/>
      <c r="H1968" s="47"/>
      <c r="I1968" s="47"/>
      <c r="J1968" s="45" t="str">
        <f aca="false">IF($A1968="","",IF(COUNTIF(Accounts!$C$2:$C$201,$A1968)+COUNTIF('Service Principals'!$C$2:$C$201,$A1968)+COUNTIF('Managed Identities'!$C$2:$C$201,$A1968)&gt;0,"Yes","NOT IN INVENTORY"))</f>
        <v/>
      </c>
    </row>
    <row r="1969" customFormat="false" ht="15" hidden="false" customHeight="false" outlineLevel="0" collapsed="false">
      <c r="A1969" s="46"/>
      <c r="B1969" s="46"/>
      <c r="C1969" s="47"/>
      <c r="D1969" s="47"/>
      <c r="E1969" s="46"/>
      <c r="F1969" s="46"/>
      <c r="G1969" s="47"/>
      <c r="H1969" s="47"/>
      <c r="I1969" s="47"/>
      <c r="J1969" s="45" t="str">
        <f aca="false">IF($A1969="","",IF(COUNTIF(Accounts!$C$2:$C$201,$A1969)+COUNTIF('Service Principals'!$C$2:$C$201,$A1969)+COUNTIF('Managed Identities'!$C$2:$C$201,$A1969)&gt;0,"Yes","NOT IN INVENTORY"))</f>
        <v/>
      </c>
    </row>
    <row r="1970" customFormat="false" ht="15" hidden="false" customHeight="false" outlineLevel="0" collapsed="false">
      <c r="A1970" s="46"/>
      <c r="B1970" s="46"/>
      <c r="C1970" s="47"/>
      <c r="D1970" s="47"/>
      <c r="E1970" s="46"/>
      <c r="F1970" s="46"/>
      <c r="G1970" s="47"/>
      <c r="H1970" s="47"/>
      <c r="I1970" s="47"/>
      <c r="J1970" s="45" t="str">
        <f aca="false">IF($A1970="","",IF(COUNTIF(Accounts!$C$2:$C$201,$A1970)+COUNTIF('Service Principals'!$C$2:$C$201,$A1970)+COUNTIF('Managed Identities'!$C$2:$C$201,$A1970)&gt;0,"Yes","NOT IN INVENTORY"))</f>
        <v/>
      </c>
    </row>
    <row r="1971" customFormat="false" ht="15" hidden="false" customHeight="false" outlineLevel="0" collapsed="false">
      <c r="A1971" s="46"/>
      <c r="B1971" s="46"/>
      <c r="C1971" s="47"/>
      <c r="D1971" s="47"/>
      <c r="E1971" s="46"/>
      <c r="F1971" s="46"/>
      <c r="G1971" s="47"/>
      <c r="H1971" s="47"/>
      <c r="I1971" s="47"/>
      <c r="J1971" s="45" t="str">
        <f aca="false">IF($A1971="","",IF(COUNTIF(Accounts!$C$2:$C$201,$A1971)+COUNTIF('Service Principals'!$C$2:$C$201,$A1971)+COUNTIF('Managed Identities'!$C$2:$C$201,$A1971)&gt;0,"Yes","NOT IN INVENTORY"))</f>
        <v/>
      </c>
    </row>
    <row r="1972" customFormat="false" ht="15" hidden="false" customHeight="false" outlineLevel="0" collapsed="false">
      <c r="A1972" s="46"/>
      <c r="B1972" s="46"/>
      <c r="C1972" s="47"/>
      <c r="D1972" s="47"/>
      <c r="E1972" s="46"/>
      <c r="F1972" s="46"/>
      <c r="G1972" s="47"/>
      <c r="H1972" s="47"/>
      <c r="I1972" s="47"/>
      <c r="J1972" s="45" t="str">
        <f aca="false">IF($A1972="","",IF(COUNTIF(Accounts!$C$2:$C$201,$A1972)+COUNTIF('Service Principals'!$C$2:$C$201,$A1972)+COUNTIF('Managed Identities'!$C$2:$C$201,$A1972)&gt;0,"Yes","NOT IN INVENTORY"))</f>
        <v/>
      </c>
    </row>
    <row r="1973" customFormat="false" ht="15" hidden="false" customHeight="false" outlineLevel="0" collapsed="false">
      <c r="A1973" s="46"/>
      <c r="B1973" s="46"/>
      <c r="C1973" s="47"/>
      <c r="D1973" s="47"/>
      <c r="E1973" s="46"/>
      <c r="F1973" s="46"/>
      <c r="G1973" s="47"/>
      <c r="H1973" s="47"/>
      <c r="I1973" s="47"/>
      <c r="J1973" s="45" t="str">
        <f aca="false">IF($A1973="","",IF(COUNTIF(Accounts!$C$2:$C$201,$A1973)+COUNTIF('Service Principals'!$C$2:$C$201,$A1973)+COUNTIF('Managed Identities'!$C$2:$C$201,$A1973)&gt;0,"Yes","NOT IN INVENTORY"))</f>
        <v/>
      </c>
    </row>
    <row r="1974" customFormat="false" ht="15" hidden="false" customHeight="false" outlineLevel="0" collapsed="false">
      <c r="A1974" s="46"/>
      <c r="B1974" s="46"/>
      <c r="C1974" s="47"/>
      <c r="D1974" s="47"/>
      <c r="E1974" s="46"/>
      <c r="F1974" s="46"/>
      <c r="G1974" s="47"/>
      <c r="H1974" s="47"/>
      <c r="I1974" s="47"/>
      <c r="J1974" s="45" t="str">
        <f aca="false">IF($A1974="","",IF(COUNTIF(Accounts!$C$2:$C$201,$A1974)+COUNTIF('Service Principals'!$C$2:$C$201,$A1974)+COUNTIF('Managed Identities'!$C$2:$C$201,$A1974)&gt;0,"Yes","NOT IN INVENTORY"))</f>
        <v/>
      </c>
    </row>
    <row r="1975" customFormat="false" ht="15" hidden="false" customHeight="false" outlineLevel="0" collapsed="false">
      <c r="A1975" s="46"/>
      <c r="B1975" s="46"/>
      <c r="C1975" s="47"/>
      <c r="D1975" s="47"/>
      <c r="E1975" s="46"/>
      <c r="F1975" s="46"/>
      <c r="G1975" s="47"/>
      <c r="H1975" s="47"/>
      <c r="I1975" s="47"/>
      <c r="J1975" s="45" t="str">
        <f aca="false">IF($A1975="","",IF(COUNTIF(Accounts!$C$2:$C$201,$A1975)+COUNTIF('Service Principals'!$C$2:$C$201,$A1975)+COUNTIF('Managed Identities'!$C$2:$C$201,$A1975)&gt;0,"Yes","NOT IN INVENTORY"))</f>
        <v/>
      </c>
    </row>
    <row r="1976" customFormat="false" ht="15" hidden="false" customHeight="false" outlineLevel="0" collapsed="false">
      <c r="A1976" s="46"/>
      <c r="B1976" s="46"/>
      <c r="C1976" s="47"/>
      <c r="D1976" s="47"/>
      <c r="E1976" s="46"/>
      <c r="F1976" s="46"/>
      <c r="G1976" s="47"/>
      <c r="H1976" s="47"/>
      <c r="I1976" s="47"/>
      <c r="J1976" s="45" t="str">
        <f aca="false">IF($A1976="","",IF(COUNTIF(Accounts!$C$2:$C$201,$A1976)+COUNTIF('Service Principals'!$C$2:$C$201,$A1976)+COUNTIF('Managed Identities'!$C$2:$C$201,$A1976)&gt;0,"Yes","NOT IN INVENTORY"))</f>
        <v/>
      </c>
    </row>
    <row r="1977" customFormat="false" ht="15" hidden="false" customHeight="false" outlineLevel="0" collapsed="false">
      <c r="A1977" s="46"/>
      <c r="B1977" s="46"/>
      <c r="C1977" s="47"/>
      <c r="D1977" s="47"/>
      <c r="E1977" s="46"/>
      <c r="F1977" s="46"/>
      <c r="G1977" s="47"/>
      <c r="H1977" s="47"/>
      <c r="I1977" s="47"/>
      <c r="J1977" s="45" t="str">
        <f aca="false">IF($A1977="","",IF(COUNTIF(Accounts!$C$2:$C$201,$A1977)+COUNTIF('Service Principals'!$C$2:$C$201,$A1977)+COUNTIF('Managed Identities'!$C$2:$C$201,$A1977)&gt;0,"Yes","NOT IN INVENTORY"))</f>
        <v/>
      </c>
    </row>
    <row r="1978" customFormat="false" ht="15" hidden="false" customHeight="false" outlineLevel="0" collapsed="false">
      <c r="A1978" s="46"/>
      <c r="B1978" s="46"/>
      <c r="C1978" s="47"/>
      <c r="D1978" s="47"/>
      <c r="E1978" s="46"/>
      <c r="F1978" s="46"/>
      <c r="G1978" s="47"/>
      <c r="H1978" s="47"/>
      <c r="I1978" s="47"/>
      <c r="J1978" s="45" t="str">
        <f aca="false">IF($A1978="","",IF(COUNTIF(Accounts!$C$2:$C$201,$A1978)+COUNTIF('Service Principals'!$C$2:$C$201,$A1978)+COUNTIF('Managed Identities'!$C$2:$C$201,$A1978)&gt;0,"Yes","NOT IN INVENTORY"))</f>
        <v/>
      </c>
    </row>
    <row r="1979" customFormat="false" ht="15" hidden="false" customHeight="false" outlineLevel="0" collapsed="false">
      <c r="A1979" s="46"/>
      <c r="B1979" s="46"/>
      <c r="C1979" s="47"/>
      <c r="D1979" s="47"/>
      <c r="E1979" s="46"/>
      <c r="F1979" s="46"/>
      <c r="G1979" s="47"/>
      <c r="H1979" s="47"/>
      <c r="I1979" s="47"/>
      <c r="J1979" s="45" t="str">
        <f aca="false">IF($A1979="","",IF(COUNTIF(Accounts!$C$2:$C$201,$A1979)+COUNTIF('Service Principals'!$C$2:$C$201,$A1979)+COUNTIF('Managed Identities'!$C$2:$C$201,$A1979)&gt;0,"Yes","NOT IN INVENTORY"))</f>
        <v/>
      </c>
    </row>
    <row r="1980" customFormat="false" ht="15" hidden="false" customHeight="false" outlineLevel="0" collapsed="false">
      <c r="A1980" s="46"/>
      <c r="B1980" s="46"/>
      <c r="C1980" s="47"/>
      <c r="D1980" s="47"/>
      <c r="E1980" s="46"/>
      <c r="F1980" s="46"/>
      <c r="G1980" s="47"/>
      <c r="H1980" s="47"/>
      <c r="I1980" s="47"/>
      <c r="J1980" s="45" t="str">
        <f aca="false">IF($A1980="","",IF(COUNTIF(Accounts!$C$2:$C$201,$A1980)+COUNTIF('Service Principals'!$C$2:$C$201,$A1980)+COUNTIF('Managed Identities'!$C$2:$C$201,$A1980)&gt;0,"Yes","NOT IN INVENTORY"))</f>
        <v/>
      </c>
    </row>
    <row r="1981" customFormat="false" ht="15" hidden="false" customHeight="false" outlineLevel="0" collapsed="false">
      <c r="A1981" s="46"/>
      <c r="B1981" s="46"/>
      <c r="C1981" s="47"/>
      <c r="D1981" s="47"/>
      <c r="E1981" s="46"/>
      <c r="F1981" s="46"/>
      <c r="G1981" s="47"/>
      <c r="H1981" s="47"/>
      <c r="I1981" s="47"/>
      <c r="J1981" s="45" t="str">
        <f aca="false">IF($A1981="","",IF(COUNTIF(Accounts!$C$2:$C$201,$A1981)+COUNTIF('Service Principals'!$C$2:$C$201,$A1981)+COUNTIF('Managed Identities'!$C$2:$C$201,$A1981)&gt;0,"Yes","NOT IN INVENTORY"))</f>
        <v/>
      </c>
    </row>
    <row r="1982" customFormat="false" ht="15" hidden="false" customHeight="false" outlineLevel="0" collapsed="false">
      <c r="A1982" s="46"/>
      <c r="B1982" s="46"/>
      <c r="C1982" s="47"/>
      <c r="D1982" s="47"/>
      <c r="E1982" s="46"/>
      <c r="F1982" s="46"/>
      <c r="G1982" s="47"/>
      <c r="H1982" s="47"/>
      <c r="I1982" s="47"/>
      <c r="J1982" s="45" t="str">
        <f aca="false">IF($A1982="","",IF(COUNTIF(Accounts!$C$2:$C$201,$A1982)+COUNTIF('Service Principals'!$C$2:$C$201,$A1982)+COUNTIF('Managed Identities'!$C$2:$C$201,$A1982)&gt;0,"Yes","NOT IN INVENTORY"))</f>
        <v/>
      </c>
    </row>
    <row r="1983" customFormat="false" ht="15" hidden="false" customHeight="false" outlineLevel="0" collapsed="false">
      <c r="A1983" s="46"/>
      <c r="B1983" s="46"/>
      <c r="C1983" s="47"/>
      <c r="D1983" s="47"/>
      <c r="E1983" s="46"/>
      <c r="F1983" s="46"/>
      <c r="G1983" s="47"/>
      <c r="H1983" s="47"/>
      <c r="I1983" s="47"/>
      <c r="J1983" s="45" t="str">
        <f aca="false">IF($A1983="","",IF(COUNTIF(Accounts!$C$2:$C$201,$A1983)+COUNTIF('Service Principals'!$C$2:$C$201,$A1983)+COUNTIF('Managed Identities'!$C$2:$C$201,$A1983)&gt;0,"Yes","NOT IN INVENTORY"))</f>
        <v/>
      </c>
    </row>
    <row r="1984" customFormat="false" ht="15" hidden="false" customHeight="false" outlineLevel="0" collapsed="false">
      <c r="A1984" s="46"/>
      <c r="B1984" s="46"/>
      <c r="C1984" s="47"/>
      <c r="D1984" s="47"/>
      <c r="E1984" s="46"/>
      <c r="F1984" s="46"/>
      <c r="G1984" s="47"/>
      <c r="H1984" s="47"/>
      <c r="I1984" s="47"/>
      <c r="J1984" s="45" t="str">
        <f aca="false">IF($A1984="","",IF(COUNTIF(Accounts!$C$2:$C$201,$A1984)+COUNTIF('Service Principals'!$C$2:$C$201,$A1984)+COUNTIF('Managed Identities'!$C$2:$C$201,$A1984)&gt;0,"Yes","NOT IN INVENTORY"))</f>
        <v/>
      </c>
    </row>
    <row r="1985" customFormat="false" ht="15" hidden="false" customHeight="false" outlineLevel="0" collapsed="false">
      <c r="A1985" s="46"/>
      <c r="B1985" s="46"/>
      <c r="C1985" s="47"/>
      <c r="D1985" s="47"/>
      <c r="E1985" s="46"/>
      <c r="F1985" s="46"/>
      <c r="G1985" s="47"/>
      <c r="H1985" s="47"/>
      <c r="I1985" s="47"/>
      <c r="J1985" s="45" t="str">
        <f aca="false">IF($A1985="","",IF(COUNTIF(Accounts!$C$2:$C$201,$A1985)+COUNTIF('Service Principals'!$C$2:$C$201,$A1985)+COUNTIF('Managed Identities'!$C$2:$C$201,$A1985)&gt;0,"Yes","NOT IN INVENTORY"))</f>
        <v/>
      </c>
    </row>
    <row r="1986" customFormat="false" ht="15" hidden="false" customHeight="false" outlineLevel="0" collapsed="false">
      <c r="A1986" s="46"/>
      <c r="B1986" s="46"/>
      <c r="C1986" s="47"/>
      <c r="D1986" s="47"/>
      <c r="E1986" s="46"/>
      <c r="F1986" s="46"/>
      <c r="G1986" s="47"/>
      <c r="H1986" s="47"/>
      <c r="I1986" s="47"/>
      <c r="J1986" s="45" t="str">
        <f aca="false">IF($A1986="","",IF(COUNTIF(Accounts!$C$2:$C$201,$A1986)+COUNTIF('Service Principals'!$C$2:$C$201,$A1986)+COUNTIF('Managed Identities'!$C$2:$C$201,$A1986)&gt;0,"Yes","NOT IN INVENTORY"))</f>
        <v/>
      </c>
    </row>
    <row r="1987" customFormat="false" ht="15" hidden="false" customHeight="false" outlineLevel="0" collapsed="false">
      <c r="A1987" s="46"/>
      <c r="B1987" s="46"/>
      <c r="C1987" s="47"/>
      <c r="D1987" s="47"/>
      <c r="E1987" s="46"/>
      <c r="F1987" s="46"/>
      <c r="G1987" s="47"/>
      <c r="H1987" s="47"/>
      <c r="I1987" s="47"/>
      <c r="J1987" s="45" t="str">
        <f aca="false">IF($A1987="","",IF(COUNTIF(Accounts!$C$2:$C$201,$A1987)+COUNTIF('Service Principals'!$C$2:$C$201,$A1987)+COUNTIF('Managed Identities'!$C$2:$C$201,$A1987)&gt;0,"Yes","NOT IN INVENTORY"))</f>
        <v/>
      </c>
    </row>
    <row r="1988" customFormat="false" ht="15" hidden="false" customHeight="false" outlineLevel="0" collapsed="false">
      <c r="A1988" s="46"/>
      <c r="B1988" s="46"/>
      <c r="C1988" s="47"/>
      <c r="D1988" s="47"/>
      <c r="E1988" s="46"/>
      <c r="F1988" s="46"/>
      <c r="G1988" s="47"/>
      <c r="H1988" s="47"/>
      <c r="I1988" s="47"/>
      <c r="J1988" s="45" t="str">
        <f aca="false">IF($A1988="","",IF(COUNTIF(Accounts!$C$2:$C$201,$A1988)+COUNTIF('Service Principals'!$C$2:$C$201,$A1988)+COUNTIF('Managed Identities'!$C$2:$C$201,$A1988)&gt;0,"Yes","NOT IN INVENTORY"))</f>
        <v/>
      </c>
    </row>
    <row r="1989" customFormat="false" ht="15" hidden="false" customHeight="false" outlineLevel="0" collapsed="false">
      <c r="A1989" s="46"/>
      <c r="B1989" s="46"/>
      <c r="C1989" s="47"/>
      <c r="D1989" s="47"/>
      <c r="E1989" s="46"/>
      <c r="F1989" s="46"/>
      <c r="G1989" s="47"/>
      <c r="H1989" s="47"/>
      <c r="I1989" s="47"/>
      <c r="J1989" s="45" t="str">
        <f aca="false">IF($A1989="","",IF(COUNTIF(Accounts!$C$2:$C$201,$A1989)+COUNTIF('Service Principals'!$C$2:$C$201,$A1989)+COUNTIF('Managed Identities'!$C$2:$C$201,$A1989)&gt;0,"Yes","NOT IN INVENTORY"))</f>
        <v/>
      </c>
    </row>
    <row r="1990" customFormat="false" ht="15" hidden="false" customHeight="false" outlineLevel="0" collapsed="false">
      <c r="A1990" s="46"/>
      <c r="B1990" s="46"/>
      <c r="C1990" s="47"/>
      <c r="D1990" s="47"/>
      <c r="E1990" s="46"/>
      <c r="F1990" s="46"/>
      <c r="G1990" s="47"/>
      <c r="H1990" s="47"/>
      <c r="I1990" s="47"/>
      <c r="J1990" s="45" t="str">
        <f aca="false">IF($A1990="","",IF(COUNTIF(Accounts!$C$2:$C$201,$A1990)+COUNTIF('Service Principals'!$C$2:$C$201,$A1990)+COUNTIF('Managed Identities'!$C$2:$C$201,$A1990)&gt;0,"Yes","NOT IN INVENTORY"))</f>
        <v/>
      </c>
    </row>
    <row r="1991" customFormat="false" ht="15" hidden="false" customHeight="false" outlineLevel="0" collapsed="false">
      <c r="A1991" s="46"/>
      <c r="B1991" s="46"/>
      <c r="C1991" s="47"/>
      <c r="D1991" s="47"/>
      <c r="E1991" s="46"/>
      <c r="F1991" s="46"/>
      <c r="G1991" s="47"/>
      <c r="H1991" s="47"/>
      <c r="I1991" s="47"/>
      <c r="J1991" s="45" t="str">
        <f aca="false">IF($A1991="","",IF(COUNTIF(Accounts!$C$2:$C$201,$A1991)+COUNTIF('Service Principals'!$C$2:$C$201,$A1991)+COUNTIF('Managed Identities'!$C$2:$C$201,$A1991)&gt;0,"Yes","NOT IN INVENTORY"))</f>
        <v/>
      </c>
    </row>
    <row r="1992" customFormat="false" ht="15" hidden="false" customHeight="false" outlineLevel="0" collapsed="false">
      <c r="A1992" s="46"/>
      <c r="B1992" s="46"/>
      <c r="C1992" s="47"/>
      <c r="D1992" s="47"/>
      <c r="E1992" s="46"/>
      <c r="F1992" s="46"/>
      <c r="G1992" s="47"/>
      <c r="H1992" s="47"/>
      <c r="I1992" s="47"/>
      <c r="J1992" s="45" t="str">
        <f aca="false">IF($A1992="","",IF(COUNTIF(Accounts!$C$2:$C$201,$A1992)+COUNTIF('Service Principals'!$C$2:$C$201,$A1992)+COUNTIF('Managed Identities'!$C$2:$C$201,$A1992)&gt;0,"Yes","NOT IN INVENTORY"))</f>
        <v/>
      </c>
    </row>
    <row r="1993" customFormat="false" ht="15" hidden="false" customHeight="false" outlineLevel="0" collapsed="false">
      <c r="A1993" s="46"/>
      <c r="B1993" s="46"/>
      <c r="C1993" s="47"/>
      <c r="D1993" s="47"/>
      <c r="E1993" s="46"/>
      <c r="F1993" s="46"/>
      <c r="G1993" s="47"/>
      <c r="H1993" s="47"/>
      <c r="I1993" s="47"/>
      <c r="J1993" s="45" t="str">
        <f aca="false">IF($A1993="","",IF(COUNTIF(Accounts!$C$2:$C$201,$A1993)+COUNTIF('Service Principals'!$C$2:$C$201,$A1993)+COUNTIF('Managed Identities'!$C$2:$C$201,$A1993)&gt;0,"Yes","NOT IN INVENTORY"))</f>
        <v/>
      </c>
    </row>
    <row r="1994" customFormat="false" ht="15" hidden="false" customHeight="false" outlineLevel="0" collapsed="false">
      <c r="A1994" s="46"/>
      <c r="B1994" s="46"/>
      <c r="C1994" s="47"/>
      <c r="D1994" s="47"/>
      <c r="E1994" s="46"/>
      <c r="F1994" s="46"/>
      <c r="G1994" s="47"/>
      <c r="H1994" s="47"/>
      <c r="I1994" s="47"/>
      <c r="J1994" s="45" t="str">
        <f aca="false">IF($A1994="","",IF(COUNTIF(Accounts!$C$2:$C$201,$A1994)+COUNTIF('Service Principals'!$C$2:$C$201,$A1994)+COUNTIF('Managed Identities'!$C$2:$C$201,$A1994)&gt;0,"Yes","NOT IN INVENTORY"))</f>
        <v/>
      </c>
    </row>
    <row r="1995" customFormat="false" ht="15" hidden="false" customHeight="false" outlineLevel="0" collapsed="false">
      <c r="A1995" s="46"/>
      <c r="B1995" s="46"/>
      <c r="C1995" s="47"/>
      <c r="D1995" s="47"/>
      <c r="E1995" s="46"/>
      <c r="F1995" s="46"/>
      <c r="G1995" s="47"/>
      <c r="H1995" s="47"/>
      <c r="I1995" s="47"/>
      <c r="J1995" s="45" t="str">
        <f aca="false">IF($A1995="","",IF(COUNTIF(Accounts!$C$2:$C$201,$A1995)+COUNTIF('Service Principals'!$C$2:$C$201,$A1995)+COUNTIF('Managed Identities'!$C$2:$C$201,$A1995)&gt;0,"Yes","NOT IN INVENTORY"))</f>
        <v/>
      </c>
    </row>
    <row r="1996" customFormat="false" ht="15" hidden="false" customHeight="false" outlineLevel="0" collapsed="false">
      <c r="A1996" s="46"/>
      <c r="B1996" s="46"/>
      <c r="C1996" s="47"/>
      <c r="D1996" s="47"/>
      <c r="E1996" s="46"/>
      <c r="F1996" s="46"/>
      <c r="G1996" s="47"/>
      <c r="H1996" s="47"/>
      <c r="I1996" s="47"/>
      <c r="J1996" s="45" t="str">
        <f aca="false">IF($A1996="","",IF(COUNTIF(Accounts!$C$2:$C$201,$A1996)+COUNTIF('Service Principals'!$C$2:$C$201,$A1996)+COUNTIF('Managed Identities'!$C$2:$C$201,$A1996)&gt;0,"Yes","NOT IN INVENTORY"))</f>
        <v/>
      </c>
    </row>
    <row r="1997" customFormat="false" ht="15" hidden="false" customHeight="false" outlineLevel="0" collapsed="false">
      <c r="A1997" s="46"/>
      <c r="B1997" s="46"/>
      <c r="C1997" s="47"/>
      <c r="D1997" s="47"/>
      <c r="E1997" s="46"/>
      <c r="F1997" s="46"/>
      <c r="G1997" s="47"/>
      <c r="H1997" s="47"/>
      <c r="I1997" s="47"/>
      <c r="J1997" s="45" t="str">
        <f aca="false">IF($A1997="","",IF(COUNTIF(Accounts!$C$2:$C$201,$A1997)+COUNTIF('Service Principals'!$C$2:$C$201,$A1997)+COUNTIF('Managed Identities'!$C$2:$C$201,$A1997)&gt;0,"Yes","NOT IN INVENTORY"))</f>
        <v/>
      </c>
    </row>
    <row r="1998" customFormat="false" ht="15" hidden="false" customHeight="false" outlineLevel="0" collapsed="false">
      <c r="A1998" s="46"/>
      <c r="B1998" s="46"/>
      <c r="C1998" s="47"/>
      <c r="D1998" s="47"/>
      <c r="E1998" s="46"/>
      <c r="F1998" s="46"/>
      <c r="G1998" s="47"/>
      <c r="H1998" s="47"/>
      <c r="I1998" s="47"/>
      <c r="J1998" s="45" t="str">
        <f aca="false">IF($A1998="","",IF(COUNTIF(Accounts!$C$2:$C$201,$A1998)+COUNTIF('Service Principals'!$C$2:$C$201,$A1998)+COUNTIF('Managed Identities'!$C$2:$C$201,$A1998)&gt;0,"Yes","NOT IN INVENTORY"))</f>
        <v/>
      </c>
    </row>
    <row r="1999" customFormat="false" ht="15" hidden="false" customHeight="false" outlineLevel="0" collapsed="false">
      <c r="A1999" s="46"/>
      <c r="B1999" s="46"/>
      <c r="C1999" s="47"/>
      <c r="D1999" s="47"/>
      <c r="E1999" s="46"/>
      <c r="F1999" s="46"/>
      <c r="G1999" s="47"/>
      <c r="H1999" s="47"/>
      <c r="I1999" s="47"/>
      <c r="J1999" s="45" t="str">
        <f aca="false">IF($A1999="","",IF(COUNTIF(Accounts!$C$2:$C$201,$A1999)+COUNTIF('Service Principals'!$C$2:$C$201,$A1999)+COUNTIF('Managed Identities'!$C$2:$C$201,$A1999)&gt;0,"Yes","NOT IN INVENTORY"))</f>
        <v/>
      </c>
    </row>
    <row r="2000" customFormat="false" ht="15" hidden="false" customHeight="false" outlineLevel="0" collapsed="false">
      <c r="A2000" s="46"/>
      <c r="B2000" s="46"/>
      <c r="C2000" s="47"/>
      <c r="D2000" s="47"/>
      <c r="E2000" s="46"/>
      <c r="F2000" s="46"/>
      <c r="G2000" s="47"/>
      <c r="H2000" s="47"/>
      <c r="I2000" s="47"/>
      <c r="J2000" s="45" t="str">
        <f aca="false">IF($A2000="","",IF(COUNTIF(Accounts!$C$2:$C$201,$A2000)+COUNTIF('Service Principals'!$C$2:$C$201,$A2000)+COUNTIF('Managed Identities'!$C$2:$C$201,$A2000)&gt;0,"Yes","NOT IN INVENTORY"))</f>
        <v/>
      </c>
    </row>
    <row r="2001" customFormat="false" ht="15" hidden="false" customHeight="false" outlineLevel="0" collapsed="false">
      <c r="A2001" s="46"/>
      <c r="B2001" s="46"/>
      <c r="C2001" s="47"/>
      <c r="D2001" s="47"/>
      <c r="E2001" s="46"/>
      <c r="F2001" s="46"/>
      <c r="G2001" s="47"/>
      <c r="H2001" s="47"/>
      <c r="I2001" s="47"/>
      <c r="J2001" s="45" t="str">
        <f aca="false">IF($A2001="","",IF(COUNTIF(Accounts!$C$2:$C$201,$A2001)+COUNTIF('Service Principals'!$C$2:$C$201,$A2001)+COUNTIF('Managed Identities'!$C$2:$C$201,$A2001)&gt;0,"Yes","NOT IN INVENTORY"))</f>
        <v/>
      </c>
    </row>
  </sheetData>
  <autoFilter ref="A1:J2001"/>
  <conditionalFormatting sqref="J2:J2001">
    <cfRule type="expression" priority="2" aboveAverage="0" equalAverage="0" bottom="0" percent="0" rank="0" text="" dxfId="14">
      <formula>J2="NOT IN INVENTORY"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6F"/>
    <pageSetUpPr fitToPage="false"/>
  </sheetPr>
  <dimension ref="A1:P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28"/>
    <col collapsed="false" customWidth="true" hidden="false" outlineLevel="0" max="4" min="4" style="0" width="40"/>
    <col collapsed="false" customWidth="true" hidden="false" outlineLevel="0" max="5" min="5" style="0" width="20"/>
    <col collapsed="false" customWidth="true" hidden="false" outlineLevel="0" max="7" min="6" style="0" width="14"/>
    <col collapsed="false" customWidth="true" hidden="false" outlineLevel="0" max="8" min="8" style="0" width="40"/>
    <col collapsed="false" customWidth="true" hidden="false" outlineLevel="0" max="9" min="9" style="0" width="26"/>
    <col collapsed="false" customWidth="true" hidden="false" outlineLevel="0" max="10" min="10" style="0" width="22"/>
    <col collapsed="false" customWidth="true" hidden="false" outlineLevel="0" max="11" min="11" style="0" width="26"/>
    <col collapsed="false" customWidth="true" hidden="false" outlineLevel="0" max="12" min="12" style="0" width="15"/>
    <col collapsed="false" customWidth="true" hidden="false" outlineLevel="0" max="13" min="13" style="0" width="22"/>
    <col collapsed="false" customWidth="true" hidden="false" outlineLevel="0" max="14" min="14" style="0" width="16"/>
    <col collapsed="false" customWidth="true" hidden="false" outlineLevel="0" max="15" min="15" style="0" width="14"/>
    <col collapsed="false" customWidth="true" hidden="false" outlineLevel="0" max="16" min="16" style="0" width="18"/>
  </cols>
  <sheetData>
    <row r="1" customFormat="false" ht="43.5" hidden="false" customHeight="true" outlineLevel="0" collapsed="false">
      <c r="A1" s="26" t="s">
        <v>327</v>
      </c>
      <c r="B1" s="26" t="s">
        <v>328</v>
      </c>
      <c r="C1" s="26" t="s">
        <v>311</v>
      </c>
      <c r="D1" s="26" t="s">
        <v>329</v>
      </c>
      <c r="E1" s="26" t="s">
        <v>330</v>
      </c>
      <c r="F1" s="26" t="s">
        <v>331</v>
      </c>
      <c r="G1" s="26" t="s">
        <v>332</v>
      </c>
      <c r="H1" s="26" t="s">
        <v>333</v>
      </c>
      <c r="I1" s="26" t="s">
        <v>334</v>
      </c>
      <c r="J1" s="26" t="s">
        <v>335</v>
      </c>
      <c r="K1" s="26" t="s">
        <v>291</v>
      </c>
      <c r="L1" s="26" t="s">
        <v>336</v>
      </c>
      <c r="M1" s="26" t="s">
        <v>337</v>
      </c>
      <c r="N1" s="26" t="s">
        <v>338</v>
      </c>
      <c r="O1" s="26" t="s">
        <v>318</v>
      </c>
      <c r="P1" s="24" t="s">
        <v>319</v>
      </c>
    </row>
    <row r="2" customFormat="false" ht="23.85" hidden="false" customHeight="false" outlineLevel="0" collapsed="false">
      <c r="A2" s="43" t="s">
        <v>268</v>
      </c>
      <c r="B2" s="44" t="s">
        <v>339</v>
      </c>
      <c r="C2" s="44" t="s">
        <v>266</v>
      </c>
      <c r="D2" s="43" t="s">
        <v>340</v>
      </c>
      <c r="E2" s="44" t="s">
        <v>341</v>
      </c>
      <c r="F2" s="44" t="s">
        <v>300</v>
      </c>
      <c r="G2" s="44" t="n">
        <v>1</v>
      </c>
      <c r="H2" s="43"/>
      <c r="I2" s="44"/>
      <c r="J2" s="44"/>
      <c r="K2" s="44" t="s">
        <v>342</v>
      </c>
      <c r="L2" s="44"/>
      <c r="M2" s="44"/>
      <c r="N2" s="44"/>
      <c r="O2" s="44" t="s">
        <v>324</v>
      </c>
      <c r="P2" s="45" t="str">
        <f aca="false">IF($A2="","",IF(COUNTIF(Accounts!$C$2:$C$201,$A2)+COUNTIF('Service Principals'!$C$2:$C$201,$A2)+COUNTIF('Managed Identities'!$C$2:$C$201,$A2)&gt;0,"Yes","NOT IN INVENTORY"))</f>
        <v>Yes</v>
      </c>
    </row>
    <row r="3" customFormat="false" ht="46.25" hidden="false" customHeight="false" outlineLevel="0" collapsed="false">
      <c r="A3" s="43" t="s">
        <v>297</v>
      </c>
      <c r="B3" s="44" t="s">
        <v>325</v>
      </c>
      <c r="C3" s="44" t="s">
        <v>295</v>
      </c>
      <c r="D3" s="43" t="s">
        <v>343</v>
      </c>
      <c r="E3" s="44" t="s">
        <v>344</v>
      </c>
      <c r="F3" s="44" t="s">
        <v>300</v>
      </c>
      <c r="G3" s="44" t="n">
        <v>2</v>
      </c>
      <c r="H3" s="43" t="s">
        <v>345</v>
      </c>
      <c r="I3" s="44" t="s">
        <v>346</v>
      </c>
      <c r="J3" s="44" t="s">
        <v>347</v>
      </c>
      <c r="K3" s="44" t="s">
        <v>348</v>
      </c>
      <c r="L3" s="44" t="s">
        <v>349</v>
      </c>
      <c r="M3" s="44" t="s">
        <v>305</v>
      </c>
      <c r="N3" s="44" t="s">
        <v>308</v>
      </c>
      <c r="O3" s="44" t="s">
        <v>324</v>
      </c>
      <c r="P3" s="45" t="str">
        <f aca="false">IF($A3="","",IF(COUNTIF(Accounts!$C$2:$C$201,$A3)+COUNTIF('Service Principals'!$C$2:$C$201,$A3)+COUNTIF('Managed Identities'!$C$2:$C$201,$A3)&gt;0,"Yes","NOT IN INVENTORY"))</f>
        <v>Yes</v>
      </c>
    </row>
    <row r="4" customFormat="false" ht="15" hidden="false" customHeight="false" outlineLevel="0" collapsed="false">
      <c r="A4" s="46"/>
      <c r="B4" s="47"/>
      <c r="C4" s="47"/>
      <c r="D4" s="46"/>
      <c r="E4" s="47"/>
      <c r="F4" s="47"/>
      <c r="G4" s="47"/>
      <c r="H4" s="46"/>
      <c r="I4" s="47"/>
      <c r="J4" s="47"/>
      <c r="K4" s="47"/>
      <c r="L4" s="47"/>
      <c r="M4" s="47"/>
      <c r="N4" s="47"/>
      <c r="O4" s="47"/>
      <c r="P4" s="45" t="str">
        <f aca="false">IF($A4="","",IF(COUNTIF(Accounts!$C$2:$C$201,$A4)+COUNTIF('Service Principals'!$C$2:$C$201,$A4)+COUNTIF('Managed Identities'!$C$2:$C$201,$A4)&gt;0,"Yes","NOT IN INVENTORY"))</f>
        <v/>
      </c>
    </row>
    <row r="5" customFormat="false" ht="15" hidden="false" customHeight="false" outlineLevel="0" collapsed="false">
      <c r="A5" s="46"/>
      <c r="B5" s="47"/>
      <c r="C5" s="47"/>
      <c r="D5" s="46"/>
      <c r="E5" s="47"/>
      <c r="F5" s="47"/>
      <c r="G5" s="47"/>
      <c r="H5" s="46"/>
      <c r="I5" s="47"/>
      <c r="J5" s="47"/>
      <c r="K5" s="47"/>
      <c r="L5" s="47"/>
      <c r="M5" s="47"/>
      <c r="N5" s="47"/>
      <c r="O5" s="47"/>
      <c r="P5" s="45" t="str">
        <f aca="false">IF($A5="","",IF(COUNTIF(Accounts!$C$2:$C$201,$A5)+COUNTIF('Service Principals'!$C$2:$C$201,$A5)+COUNTIF('Managed Identities'!$C$2:$C$201,$A5)&gt;0,"Yes","NOT IN INVENTORY"))</f>
        <v/>
      </c>
    </row>
    <row r="6" customFormat="false" ht="15" hidden="false" customHeight="false" outlineLevel="0" collapsed="false">
      <c r="A6" s="46"/>
      <c r="B6" s="47"/>
      <c r="C6" s="47"/>
      <c r="D6" s="46"/>
      <c r="E6" s="47"/>
      <c r="F6" s="47"/>
      <c r="G6" s="47"/>
      <c r="H6" s="46"/>
      <c r="I6" s="47"/>
      <c r="J6" s="47"/>
      <c r="K6" s="47"/>
      <c r="L6" s="47"/>
      <c r="M6" s="47"/>
      <c r="N6" s="47"/>
      <c r="O6" s="47"/>
      <c r="P6" s="45" t="str">
        <f aca="false">IF($A6="","",IF(COUNTIF(Accounts!$C$2:$C$201,$A6)+COUNTIF('Service Principals'!$C$2:$C$201,$A6)+COUNTIF('Managed Identities'!$C$2:$C$201,$A6)&gt;0,"Yes","NOT IN INVENTORY"))</f>
        <v/>
      </c>
    </row>
    <row r="7" customFormat="false" ht="15" hidden="false" customHeight="false" outlineLevel="0" collapsed="false">
      <c r="A7" s="46"/>
      <c r="B7" s="47"/>
      <c r="C7" s="47"/>
      <c r="D7" s="46"/>
      <c r="E7" s="47"/>
      <c r="F7" s="47"/>
      <c r="G7" s="47"/>
      <c r="H7" s="46"/>
      <c r="I7" s="47"/>
      <c r="J7" s="47"/>
      <c r="K7" s="47"/>
      <c r="L7" s="47"/>
      <c r="M7" s="47"/>
      <c r="N7" s="47"/>
      <c r="O7" s="47"/>
      <c r="P7" s="45" t="str">
        <f aca="false">IF($A7="","",IF(COUNTIF(Accounts!$C$2:$C$201,$A7)+COUNTIF('Service Principals'!$C$2:$C$201,$A7)+COUNTIF('Managed Identities'!$C$2:$C$201,$A7)&gt;0,"Yes","NOT IN INVENTORY"))</f>
        <v/>
      </c>
    </row>
    <row r="8" customFormat="false" ht="15" hidden="false" customHeight="false" outlineLevel="0" collapsed="false">
      <c r="A8" s="46"/>
      <c r="B8" s="47"/>
      <c r="C8" s="47"/>
      <c r="D8" s="46"/>
      <c r="E8" s="47"/>
      <c r="F8" s="47"/>
      <c r="G8" s="47"/>
      <c r="H8" s="46"/>
      <c r="I8" s="47"/>
      <c r="J8" s="47"/>
      <c r="K8" s="47"/>
      <c r="L8" s="47"/>
      <c r="M8" s="47"/>
      <c r="N8" s="47"/>
      <c r="O8" s="47"/>
      <c r="P8" s="45" t="str">
        <f aca="false">IF($A8="","",IF(COUNTIF(Accounts!$C$2:$C$201,$A8)+COUNTIF('Service Principals'!$C$2:$C$201,$A8)+COUNTIF('Managed Identities'!$C$2:$C$201,$A8)&gt;0,"Yes","NOT IN INVENTORY"))</f>
        <v/>
      </c>
    </row>
    <row r="9" customFormat="false" ht="15" hidden="false" customHeight="false" outlineLevel="0" collapsed="false">
      <c r="A9" s="46"/>
      <c r="B9" s="47"/>
      <c r="C9" s="47"/>
      <c r="D9" s="46"/>
      <c r="E9" s="47"/>
      <c r="F9" s="47"/>
      <c r="G9" s="47"/>
      <c r="H9" s="46"/>
      <c r="I9" s="47"/>
      <c r="J9" s="47"/>
      <c r="K9" s="47"/>
      <c r="L9" s="47"/>
      <c r="M9" s="47"/>
      <c r="N9" s="47"/>
      <c r="O9" s="47"/>
      <c r="P9" s="45" t="str">
        <f aca="false">IF($A9="","",IF(COUNTIF(Accounts!$C$2:$C$201,$A9)+COUNTIF('Service Principals'!$C$2:$C$201,$A9)+COUNTIF('Managed Identities'!$C$2:$C$201,$A9)&gt;0,"Yes","NOT IN INVENTORY"))</f>
        <v/>
      </c>
    </row>
    <row r="10" customFormat="false" ht="15" hidden="false" customHeight="false" outlineLevel="0" collapsed="false">
      <c r="A10" s="46"/>
      <c r="B10" s="47"/>
      <c r="C10" s="47"/>
      <c r="D10" s="46"/>
      <c r="E10" s="47"/>
      <c r="F10" s="47"/>
      <c r="G10" s="47"/>
      <c r="H10" s="46"/>
      <c r="I10" s="47"/>
      <c r="J10" s="47"/>
      <c r="K10" s="47"/>
      <c r="L10" s="47"/>
      <c r="M10" s="47"/>
      <c r="N10" s="47"/>
      <c r="O10" s="47"/>
      <c r="P10" s="45" t="str">
        <f aca="false">IF($A10="","",IF(COUNTIF(Accounts!$C$2:$C$201,$A10)+COUNTIF('Service Principals'!$C$2:$C$201,$A10)+COUNTIF('Managed Identities'!$C$2:$C$201,$A10)&gt;0,"Yes","NOT IN INVENTORY"))</f>
        <v/>
      </c>
    </row>
    <row r="11" customFormat="false" ht="15" hidden="false" customHeight="false" outlineLevel="0" collapsed="false">
      <c r="A11" s="46"/>
      <c r="B11" s="47"/>
      <c r="C11" s="47"/>
      <c r="D11" s="46"/>
      <c r="E11" s="47"/>
      <c r="F11" s="47"/>
      <c r="G11" s="47"/>
      <c r="H11" s="46"/>
      <c r="I11" s="47"/>
      <c r="J11" s="47"/>
      <c r="K11" s="47"/>
      <c r="L11" s="47"/>
      <c r="M11" s="47"/>
      <c r="N11" s="47"/>
      <c r="O11" s="47"/>
      <c r="P11" s="45" t="str">
        <f aca="false">IF($A11="","",IF(COUNTIF(Accounts!$C$2:$C$201,$A11)+COUNTIF('Service Principals'!$C$2:$C$201,$A11)+COUNTIF('Managed Identities'!$C$2:$C$201,$A11)&gt;0,"Yes","NOT IN INVENTORY"))</f>
        <v/>
      </c>
    </row>
    <row r="12" customFormat="false" ht="15" hidden="false" customHeight="false" outlineLevel="0" collapsed="false">
      <c r="A12" s="46"/>
      <c r="B12" s="47"/>
      <c r="C12" s="47"/>
      <c r="D12" s="46"/>
      <c r="E12" s="47"/>
      <c r="F12" s="47"/>
      <c r="G12" s="47"/>
      <c r="H12" s="46"/>
      <c r="I12" s="47"/>
      <c r="J12" s="47"/>
      <c r="K12" s="47"/>
      <c r="L12" s="47"/>
      <c r="M12" s="47"/>
      <c r="N12" s="47"/>
      <c r="O12" s="47"/>
      <c r="P12" s="45" t="str">
        <f aca="false">IF($A12="","",IF(COUNTIF(Accounts!$C$2:$C$201,$A12)+COUNTIF('Service Principals'!$C$2:$C$201,$A12)+COUNTIF('Managed Identities'!$C$2:$C$201,$A12)&gt;0,"Yes","NOT IN INVENTORY"))</f>
        <v/>
      </c>
    </row>
    <row r="13" customFormat="false" ht="15" hidden="false" customHeight="false" outlineLevel="0" collapsed="false">
      <c r="A13" s="46"/>
      <c r="B13" s="47"/>
      <c r="C13" s="47"/>
      <c r="D13" s="46"/>
      <c r="E13" s="47"/>
      <c r="F13" s="47"/>
      <c r="G13" s="47"/>
      <c r="H13" s="46"/>
      <c r="I13" s="47"/>
      <c r="J13" s="47"/>
      <c r="K13" s="47"/>
      <c r="L13" s="47"/>
      <c r="M13" s="47"/>
      <c r="N13" s="47"/>
      <c r="O13" s="47"/>
      <c r="P13" s="45" t="str">
        <f aca="false">IF($A13="","",IF(COUNTIF(Accounts!$C$2:$C$201,$A13)+COUNTIF('Service Principals'!$C$2:$C$201,$A13)+COUNTIF('Managed Identities'!$C$2:$C$201,$A13)&gt;0,"Yes","NOT IN INVENTORY"))</f>
        <v/>
      </c>
    </row>
    <row r="14" customFormat="false" ht="15" hidden="false" customHeight="false" outlineLevel="0" collapsed="false">
      <c r="A14" s="46"/>
      <c r="B14" s="47"/>
      <c r="C14" s="47"/>
      <c r="D14" s="46"/>
      <c r="E14" s="47"/>
      <c r="F14" s="47"/>
      <c r="G14" s="47"/>
      <c r="H14" s="46"/>
      <c r="I14" s="47"/>
      <c r="J14" s="47"/>
      <c r="K14" s="47"/>
      <c r="L14" s="47"/>
      <c r="M14" s="47"/>
      <c r="N14" s="47"/>
      <c r="O14" s="47"/>
      <c r="P14" s="45" t="str">
        <f aca="false">IF($A14="","",IF(COUNTIF(Accounts!$C$2:$C$201,$A14)+COUNTIF('Service Principals'!$C$2:$C$201,$A14)+COUNTIF('Managed Identities'!$C$2:$C$201,$A14)&gt;0,"Yes","NOT IN INVENTORY"))</f>
        <v/>
      </c>
    </row>
    <row r="15" customFormat="false" ht="15" hidden="false" customHeight="false" outlineLevel="0" collapsed="false">
      <c r="A15" s="46"/>
      <c r="B15" s="47"/>
      <c r="C15" s="47"/>
      <c r="D15" s="46"/>
      <c r="E15" s="47"/>
      <c r="F15" s="47"/>
      <c r="G15" s="47"/>
      <c r="H15" s="46"/>
      <c r="I15" s="47"/>
      <c r="J15" s="47"/>
      <c r="K15" s="47"/>
      <c r="L15" s="47"/>
      <c r="M15" s="47"/>
      <c r="N15" s="47"/>
      <c r="O15" s="47"/>
      <c r="P15" s="45" t="str">
        <f aca="false">IF($A15="","",IF(COUNTIF(Accounts!$C$2:$C$201,$A15)+COUNTIF('Service Principals'!$C$2:$C$201,$A15)+COUNTIF('Managed Identities'!$C$2:$C$201,$A15)&gt;0,"Yes","NOT IN INVENTORY"))</f>
        <v/>
      </c>
    </row>
    <row r="16" customFormat="false" ht="15" hidden="false" customHeight="false" outlineLevel="0" collapsed="false">
      <c r="A16" s="46"/>
      <c r="B16" s="47"/>
      <c r="C16" s="47"/>
      <c r="D16" s="46"/>
      <c r="E16" s="47"/>
      <c r="F16" s="47"/>
      <c r="G16" s="47"/>
      <c r="H16" s="46"/>
      <c r="I16" s="47"/>
      <c r="J16" s="47"/>
      <c r="K16" s="47"/>
      <c r="L16" s="47"/>
      <c r="M16" s="47"/>
      <c r="N16" s="47"/>
      <c r="O16" s="47"/>
      <c r="P16" s="45" t="str">
        <f aca="false">IF($A16="","",IF(COUNTIF(Accounts!$C$2:$C$201,$A16)+COUNTIF('Service Principals'!$C$2:$C$201,$A16)+COUNTIF('Managed Identities'!$C$2:$C$201,$A16)&gt;0,"Yes","NOT IN INVENTORY"))</f>
        <v/>
      </c>
    </row>
    <row r="17" customFormat="false" ht="15" hidden="false" customHeight="false" outlineLevel="0" collapsed="false">
      <c r="A17" s="46"/>
      <c r="B17" s="47"/>
      <c r="C17" s="47"/>
      <c r="D17" s="46"/>
      <c r="E17" s="47"/>
      <c r="F17" s="47"/>
      <c r="G17" s="47"/>
      <c r="H17" s="46"/>
      <c r="I17" s="47"/>
      <c r="J17" s="47"/>
      <c r="K17" s="47"/>
      <c r="L17" s="47"/>
      <c r="M17" s="47"/>
      <c r="N17" s="47"/>
      <c r="O17" s="47"/>
      <c r="P17" s="45" t="str">
        <f aca="false">IF($A17="","",IF(COUNTIF(Accounts!$C$2:$C$201,$A17)+COUNTIF('Service Principals'!$C$2:$C$201,$A17)+COUNTIF('Managed Identities'!$C$2:$C$201,$A17)&gt;0,"Yes","NOT IN INVENTORY"))</f>
        <v/>
      </c>
    </row>
    <row r="18" customFormat="false" ht="15" hidden="false" customHeight="false" outlineLevel="0" collapsed="false">
      <c r="A18" s="46"/>
      <c r="B18" s="47"/>
      <c r="C18" s="47"/>
      <c r="D18" s="46"/>
      <c r="E18" s="47"/>
      <c r="F18" s="47"/>
      <c r="G18" s="47"/>
      <c r="H18" s="46"/>
      <c r="I18" s="47"/>
      <c r="J18" s="47"/>
      <c r="K18" s="47"/>
      <c r="L18" s="47"/>
      <c r="M18" s="47"/>
      <c r="N18" s="47"/>
      <c r="O18" s="47"/>
      <c r="P18" s="45" t="str">
        <f aca="false">IF($A18="","",IF(COUNTIF(Accounts!$C$2:$C$201,$A18)+COUNTIF('Service Principals'!$C$2:$C$201,$A18)+COUNTIF('Managed Identities'!$C$2:$C$201,$A18)&gt;0,"Yes","NOT IN INVENTORY"))</f>
        <v/>
      </c>
    </row>
    <row r="19" customFormat="false" ht="15" hidden="false" customHeight="false" outlineLevel="0" collapsed="false">
      <c r="A19" s="46"/>
      <c r="B19" s="47"/>
      <c r="C19" s="47"/>
      <c r="D19" s="46"/>
      <c r="E19" s="47"/>
      <c r="F19" s="47"/>
      <c r="G19" s="47"/>
      <c r="H19" s="46"/>
      <c r="I19" s="47"/>
      <c r="J19" s="47"/>
      <c r="K19" s="47"/>
      <c r="L19" s="47"/>
      <c r="M19" s="47"/>
      <c r="N19" s="47"/>
      <c r="O19" s="47"/>
      <c r="P19" s="45" t="str">
        <f aca="false">IF($A19="","",IF(COUNTIF(Accounts!$C$2:$C$201,$A19)+COUNTIF('Service Principals'!$C$2:$C$201,$A19)+COUNTIF('Managed Identities'!$C$2:$C$201,$A19)&gt;0,"Yes","NOT IN INVENTORY"))</f>
        <v/>
      </c>
    </row>
    <row r="20" customFormat="false" ht="15" hidden="false" customHeight="false" outlineLevel="0" collapsed="false">
      <c r="A20" s="46"/>
      <c r="B20" s="47"/>
      <c r="C20" s="47"/>
      <c r="D20" s="46"/>
      <c r="E20" s="47"/>
      <c r="F20" s="47"/>
      <c r="G20" s="47"/>
      <c r="H20" s="46"/>
      <c r="I20" s="47"/>
      <c r="J20" s="47"/>
      <c r="K20" s="47"/>
      <c r="L20" s="47"/>
      <c r="M20" s="47"/>
      <c r="N20" s="47"/>
      <c r="O20" s="47"/>
      <c r="P20" s="45" t="str">
        <f aca="false">IF($A20="","",IF(COUNTIF(Accounts!$C$2:$C$201,$A20)+COUNTIF('Service Principals'!$C$2:$C$201,$A20)+COUNTIF('Managed Identities'!$C$2:$C$201,$A20)&gt;0,"Yes","NOT IN INVENTORY"))</f>
        <v/>
      </c>
    </row>
    <row r="21" customFormat="false" ht="15" hidden="false" customHeight="false" outlineLevel="0" collapsed="false">
      <c r="A21" s="46"/>
      <c r="B21" s="47"/>
      <c r="C21" s="47"/>
      <c r="D21" s="46"/>
      <c r="E21" s="47"/>
      <c r="F21" s="47"/>
      <c r="G21" s="47"/>
      <c r="H21" s="46"/>
      <c r="I21" s="47"/>
      <c r="J21" s="47"/>
      <c r="K21" s="47"/>
      <c r="L21" s="47"/>
      <c r="M21" s="47"/>
      <c r="N21" s="47"/>
      <c r="O21" s="47"/>
      <c r="P21" s="45" t="str">
        <f aca="false">IF($A21="","",IF(COUNTIF(Accounts!$C$2:$C$201,$A21)+COUNTIF('Service Principals'!$C$2:$C$201,$A21)+COUNTIF('Managed Identities'!$C$2:$C$201,$A21)&gt;0,"Yes","NOT IN INVENTORY"))</f>
        <v/>
      </c>
    </row>
    <row r="22" customFormat="false" ht="15" hidden="false" customHeight="false" outlineLevel="0" collapsed="false">
      <c r="A22" s="46"/>
      <c r="B22" s="47"/>
      <c r="C22" s="47"/>
      <c r="D22" s="46"/>
      <c r="E22" s="47"/>
      <c r="F22" s="47"/>
      <c r="G22" s="47"/>
      <c r="H22" s="46"/>
      <c r="I22" s="47"/>
      <c r="J22" s="47"/>
      <c r="K22" s="47"/>
      <c r="L22" s="47"/>
      <c r="M22" s="47"/>
      <c r="N22" s="47"/>
      <c r="O22" s="47"/>
      <c r="P22" s="45" t="str">
        <f aca="false">IF($A22="","",IF(COUNTIF(Accounts!$C$2:$C$201,$A22)+COUNTIF('Service Principals'!$C$2:$C$201,$A22)+COUNTIF('Managed Identities'!$C$2:$C$201,$A22)&gt;0,"Yes","NOT IN INVENTORY"))</f>
        <v/>
      </c>
    </row>
    <row r="23" customFormat="false" ht="15" hidden="false" customHeight="false" outlineLevel="0" collapsed="false">
      <c r="A23" s="46"/>
      <c r="B23" s="47"/>
      <c r="C23" s="47"/>
      <c r="D23" s="46"/>
      <c r="E23" s="47"/>
      <c r="F23" s="47"/>
      <c r="G23" s="47"/>
      <c r="H23" s="46"/>
      <c r="I23" s="47"/>
      <c r="J23" s="47"/>
      <c r="K23" s="47"/>
      <c r="L23" s="47"/>
      <c r="M23" s="47"/>
      <c r="N23" s="47"/>
      <c r="O23" s="47"/>
      <c r="P23" s="45" t="str">
        <f aca="false">IF($A23="","",IF(COUNTIF(Accounts!$C$2:$C$201,$A23)+COUNTIF('Service Principals'!$C$2:$C$201,$A23)+COUNTIF('Managed Identities'!$C$2:$C$201,$A23)&gt;0,"Yes","NOT IN INVENTORY"))</f>
        <v/>
      </c>
    </row>
    <row r="24" customFormat="false" ht="15" hidden="false" customHeight="false" outlineLevel="0" collapsed="false">
      <c r="A24" s="46"/>
      <c r="B24" s="47"/>
      <c r="C24" s="47"/>
      <c r="D24" s="46"/>
      <c r="E24" s="47"/>
      <c r="F24" s="47"/>
      <c r="G24" s="47"/>
      <c r="H24" s="46"/>
      <c r="I24" s="47"/>
      <c r="J24" s="47"/>
      <c r="K24" s="47"/>
      <c r="L24" s="47"/>
      <c r="M24" s="47"/>
      <c r="N24" s="47"/>
      <c r="O24" s="47"/>
      <c r="P24" s="45" t="str">
        <f aca="false">IF($A24="","",IF(COUNTIF(Accounts!$C$2:$C$201,$A24)+COUNTIF('Service Principals'!$C$2:$C$201,$A24)+COUNTIF('Managed Identities'!$C$2:$C$201,$A24)&gt;0,"Yes","NOT IN INVENTORY"))</f>
        <v/>
      </c>
    </row>
    <row r="25" customFormat="false" ht="15" hidden="false" customHeight="false" outlineLevel="0" collapsed="false">
      <c r="A25" s="46"/>
      <c r="B25" s="47"/>
      <c r="C25" s="47"/>
      <c r="D25" s="46"/>
      <c r="E25" s="47"/>
      <c r="F25" s="47"/>
      <c r="G25" s="47"/>
      <c r="H25" s="46"/>
      <c r="I25" s="47"/>
      <c r="J25" s="47"/>
      <c r="K25" s="47"/>
      <c r="L25" s="47"/>
      <c r="M25" s="47"/>
      <c r="N25" s="47"/>
      <c r="O25" s="47"/>
      <c r="P25" s="45" t="str">
        <f aca="false">IF($A25="","",IF(COUNTIF(Accounts!$C$2:$C$201,$A25)+COUNTIF('Service Principals'!$C$2:$C$201,$A25)+COUNTIF('Managed Identities'!$C$2:$C$201,$A25)&gt;0,"Yes","NOT IN INVENTORY"))</f>
        <v/>
      </c>
    </row>
    <row r="26" customFormat="false" ht="15" hidden="false" customHeight="false" outlineLevel="0" collapsed="false">
      <c r="A26" s="46"/>
      <c r="B26" s="47"/>
      <c r="C26" s="47"/>
      <c r="D26" s="46"/>
      <c r="E26" s="47"/>
      <c r="F26" s="47"/>
      <c r="G26" s="47"/>
      <c r="H26" s="46"/>
      <c r="I26" s="47"/>
      <c r="J26" s="47"/>
      <c r="K26" s="47"/>
      <c r="L26" s="47"/>
      <c r="M26" s="47"/>
      <c r="N26" s="47"/>
      <c r="O26" s="47"/>
      <c r="P26" s="45" t="str">
        <f aca="false">IF($A26="","",IF(COUNTIF(Accounts!$C$2:$C$201,$A26)+COUNTIF('Service Principals'!$C$2:$C$201,$A26)+COUNTIF('Managed Identities'!$C$2:$C$201,$A26)&gt;0,"Yes","NOT IN INVENTORY"))</f>
        <v/>
      </c>
    </row>
    <row r="27" customFormat="false" ht="15" hidden="false" customHeight="false" outlineLevel="0" collapsed="false">
      <c r="A27" s="46"/>
      <c r="B27" s="47"/>
      <c r="C27" s="47"/>
      <c r="D27" s="46"/>
      <c r="E27" s="47"/>
      <c r="F27" s="47"/>
      <c r="G27" s="47"/>
      <c r="H27" s="46"/>
      <c r="I27" s="47"/>
      <c r="J27" s="47"/>
      <c r="K27" s="47"/>
      <c r="L27" s="47"/>
      <c r="M27" s="47"/>
      <c r="N27" s="47"/>
      <c r="O27" s="47"/>
      <c r="P27" s="45" t="str">
        <f aca="false">IF($A27="","",IF(COUNTIF(Accounts!$C$2:$C$201,$A27)+COUNTIF('Service Principals'!$C$2:$C$201,$A27)+COUNTIF('Managed Identities'!$C$2:$C$201,$A27)&gt;0,"Yes","NOT IN INVENTORY"))</f>
        <v/>
      </c>
    </row>
    <row r="28" customFormat="false" ht="15" hidden="false" customHeight="false" outlineLevel="0" collapsed="false">
      <c r="A28" s="46"/>
      <c r="B28" s="47"/>
      <c r="C28" s="47"/>
      <c r="D28" s="46"/>
      <c r="E28" s="47"/>
      <c r="F28" s="47"/>
      <c r="G28" s="47"/>
      <c r="H28" s="46"/>
      <c r="I28" s="47"/>
      <c r="J28" s="47"/>
      <c r="K28" s="47"/>
      <c r="L28" s="47"/>
      <c r="M28" s="47"/>
      <c r="N28" s="47"/>
      <c r="O28" s="47"/>
      <c r="P28" s="45" t="str">
        <f aca="false">IF($A28="","",IF(COUNTIF(Accounts!$C$2:$C$201,$A28)+COUNTIF('Service Principals'!$C$2:$C$201,$A28)+COUNTIF('Managed Identities'!$C$2:$C$201,$A28)&gt;0,"Yes","NOT IN INVENTORY"))</f>
        <v/>
      </c>
    </row>
    <row r="29" customFormat="false" ht="15" hidden="false" customHeight="false" outlineLevel="0" collapsed="false">
      <c r="A29" s="46"/>
      <c r="B29" s="47"/>
      <c r="C29" s="47"/>
      <c r="D29" s="46"/>
      <c r="E29" s="47"/>
      <c r="F29" s="47"/>
      <c r="G29" s="47"/>
      <c r="H29" s="46"/>
      <c r="I29" s="47"/>
      <c r="J29" s="47"/>
      <c r="K29" s="47"/>
      <c r="L29" s="47"/>
      <c r="M29" s="47"/>
      <c r="N29" s="47"/>
      <c r="O29" s="47"/>
      <c r="P29" s="45" t="str">
        <f aca="false">IF($A29="","",IF(COUNTIF(Accounts!$C$2:$C$201,$A29)+COUNTIF('Service Principals'!$C$2:$C$201,$A29)+COUNTIF('Managed Identities'!$C$2:$C$201,$A29)&gt;0,"Yes","NOT IN INVENTORY"))</f>
        <v/>
      </c>
    </row>
    <row r="30" customFormat="false" ht="15" hidden="false" customHeight="false" outlineLevel="0" collapsed="false">
      <c r="A30" s="46"/>
      <c r="B30" s="47"/>
      <c r="C30" s="47"/>
      <c r="D30" s="46"/>
      <c r="E30" s="47"/>
      <c r="F30" s="47"/>
      <c r="G30" s="47"/>
      <c r="H30" s="46"/>
      <c r="I30" s="47"/>
      <c r="J30" s="47"/>
      <c r="K30" s="47"/>
      <c r="L30" s="47"/>
      <c r="M30" s="47"/>
      <c r="N30" s="47"/>
      <c r="O30" s="47"/>
      <c r="P30" s="45" t="str">
        <f aca="false">IF($A30="","",IF(COUNTIF(Accounts!$C$2:$C$201,$A30)+COUNTIF('Service Principals'!$C$2:$C$201,$A30)+COUNTIF('Managed Identities'!$C$2:$C$201,$A30)&gt;0,"Yes","NOT IN INVENTORY"))</f>
        <v/>
      </c>
    </row>
    <row r="31" customFormat="false" ht="15" hidden="false" customHeight="false" outlineLevel="0" collapsed="false">
      <c r="A31" s="46"/>
      <c r="B31" s="47"/>
      <c r="C31" s="47"/>
      <c r="D31" s="46"/>
      <c r="E31" s="47"/>
      <c r="F31" s="47"/>
      <c r="G31" s="47"/>
      <c r="H31" s="46"/>
      <c r="I31" s="47"/>
      <c r="J31" s="47"/>
      <c r="K31" s="47"/>
      <c r="L31" s="47"/>
      <c r="M31" s="47"/>
      <c r="N31" s="47"/>
      <c r="O31" s="47"/>
      <c r="P31" s="45" t="str">
        <f aca="false">IF($A31="","",IF(COUNTIF(Accounts!$C$2:$C$201,$A31)+COUNTIF('Service Principals'!$C$2:$C$201,$A31)+COUNTIF('Managed Identities'!$C$2:$C$201,$A31)&gt;0,"Yes","NOT IN INVENTORY"))</f>
        <v/>
      </c>
    </row>
    <row r="32" customFormat="false" ht="15" hidden="false" customHeight="false" outlineLevel="0" collapsed="false">
      <c r="A32" s="46"/>
      <c r="B32" s="47"/>
      <c r="C32" s="47"/>
      <c r="D32" s="46"/>
      <c r="E32" s="47"/>
      <c r="F32" s="47"/>
      <c r="G32" s="47"/>
      <c r="H32" s="46"/>
      <c r="I32" s="47"/>
      <c r="J32" s="47"/>
      <c r="K32" s="47"/>
      <c r="L32" s="47"/>
      <c r="M32" s="47"/>
      <c r="N32" s="47"/>
      <c r="O32" s="47"/>
      <c r="P32" s="45" t="str">
        <f aca="false">IF($A32="","",IF(COUNTIF(Accounts!$C$2:$C$201,$A32)+COUNTIF('Service Principals'!$C$2:$C$201,$A32)+COUNTIF('Managed Identities'!$C$2:$C$201,$A32)&gt;0,"Yes","NOT IN INVENTORY"))</f>
        <v/>
      </c>
    </row>
    <row r="33" customFormat="false" ht="15" hidden="false" customHeight="false" outlineLevel="0" collapsed="false">
      <c r="A33" s="46"/>
      <c r="B33" s="47"/>
      <c r="C33" s="47"/>
      <c r="D33" s="46"/>
      <c r="E33" s="47"/>
      <c r="F33" s="47"/>
      <c r="G33" s="47"/>
      <c r="H33" s="46"/>
      <c r="I33" s="47"/>
      <c r="J33" s="47"/>
      <c r="K33" s="47"/>
      <c r="L33" s="47"/>
      <c r="M33" s="47"/>
      <c r="N33" s="47"/>
      <c r="O33" s="47"/>
      <c r="P33" s="45" t="str">
        <f aca="false">IF($A33="","",IF(COUNTIF(Accounts!$C$2:$C$201,$A33)+COUNTIF('Service Principals'!$C$2:$C$201,$A33)+COUNTIF('Managed Identities'!$C$2:$C$201,$A33)&gt;0,"Yes","NOT IN INVENTORY"))</f>
        <v/>
      </c>
    </row>
    <row r="34" customFormat="false" ht="15" hidden="false" customHeight="false" outlineLevel="0" collapsed="false">
      <c r="A34" s="46"/>
      <c r="B34" s="47"/>
      <c r="C34" s="47"/>
      <c r="D34" s="46"/>
      <c r="E34" s="47"/>
      <c r="F34" s="47"/>
      <c r="G34" s="47"/>
      <c r="H34" s="46"/>
      <c r="I34" s="47"/>
      <c r="J34" s="47"/>
      <c r="K34" s="47"/>
      <c r="L34" s="47"/>
      <c r="M34" s="47"/>
      <c r="N34" s="47"/>
      <c r="O34" s="47"/>
      <c r="P34" s="45" t="str">
        <f aca="false">IF($A34="","",IF(COUNTIF(Accounts!$C$2:$C$201,$A34)+COUNTIF('Service Principals'!$C$2:$C$201,$A34)+COUNTIF('Managed Identities'!$C$2:$C$201,$A34)&gt;0,"Yes","NOT IN INVENTORY"))</f>
        <v/>
      </c>
    </row>
    <row r="35" customFormat="false" ht="15" hidden="false" customHeight="false" outlineLevel="0" collapsed="false">
      <c r="A35" s="46"/>
      <c r="B35" s="47"/>
      <c r="C35" s="47"/>
      <c r="D35" s="46"/>
      <c r="E35" s="47"/>
      <c r="F35" s="47"/>
      <c r="G35" s="47"/>
      <c r="H35" s="46"/>
      <c r="I35" s="47"/>
      <c r="J35" s="47"/>
      <c r="K35" s="47"/>
      <c r="L35" s="47"/>
      <c r="M35" s="47"/>
      <c r="N35" s="47"/>
      <c r="O35" s="47"/>
      <c r="P35" s="45" t="str">
        <f aca="false">IF($A35="","",IF(COUNTIF(Accounts!$C$2:$C$201,$A35)+COUNTIF('Service Principals'!$C$2:$C$201,$A35)+COUNTIF('Managed Identities'!$C$2:$C$201,$A35)&gt;0,"Yes","NOT IN INVENTORY"))</f>
        <v/>
      </c>
    </row>
    <row r="36" customFormat="false" ht="15" hidden="false" customHeight="false" outlineLevel="0" collapsed="false">
      <c r="A36" s="46"/>
      <c r="B36" s="47"/>
      <c r="C36" s="47"/>
      <c r="D36" s="46"/>
      <c r="E36" s="47"/>
      <c r="F36" s="47"/>
      <c r="G36" s="47"/>
      <c r="H36" s="46"/>
      <c r="I36" s="47"/>
      <c r="J36" s="47"/>
      <c r="K36" s="47"/>
      <c r="L36" s="47"/>
      <c r="M36" s="47"/>
      <c r="N36" s="47"/>
      <c r="O36" s="47"/>
      <c r="P36" s="45" t="str">
        <f aca="false">IF($A36="","",IF(COUNTIF(Accounts!$C$2:$C$201,$A36)+COUNTIF('Service Principals'!$C$2:$C$201,$A36)+COUNTIF('Managed Identities'!$C$2:$C$201,$A36)&gt;0,"Yes","NOT IN INVENTORY"))</f>
        <v/>
      </c>
    </row>
    <row r="37" customFormat="false" ht="15" hidden="false" customHeight="false" outlineLevel="0" collapsed="false">
      <c r="A37" s="46"/>
      <c r="B37" s="47"/>
      <c r="C37" s="47"/>
      <c r="D37" s="46"/>
      <c r="E37" s="47"/>
      <c r="F37" s="47"/>
      <c r="G37" s="47"/>
      <c r="H37" s="46"/>
      <c r="I37" s="47"/>
      <c r="J37" s="47"/>
      <c r="K37" s="47"/>
      <c r="L37" s="47"/>
      <c r="M37" s="47"/>
      <c r="N37" s="47"/>
      <c r="O37" s="47"/>
      <c r="P37" s="45" t="str">
        <f aca="false">IF($A37="","",IF(COUNTIF(Accounts!$C$2:$C$201,$A37)+COUNTIF('Service Principals'!$C$2:$C$201,$A37)+COUNTIF('Managed Identities'!$C$2:$C$201,$A37)&gt;0,"Yes","NOT IN INVENTORY"))</f>
        <v/>
      </c>
    </row>
    <row r="38" customFormat="false" ht="15" hidden="false" customHeight="false" outlineLevel="0" collapsed="false">
      <c r="A38" s="46"/>
      <c r="B38" s="47"/>
      <c r="C38" s="47"/>
      <c r="D38" s="46"/>
      <c r="E38" s="47"/>
      <c r="F38" s="47"/>
      <c r="G38" s="47"/>
      <c r="H38" s="46"/>
      <c r="I38" s="47"/>
      <c r="J38" s="47"/>
      <c r="K38" s="47"/>
      <c r="L38" s="47"/>
      <c r="M38" s="47"/>
      <c r="N38" s="47"/>
      <c r="O38" s="47"/>
      <c r="P38" s="45" t="str">
        <f aca="false">IF($A38="","",IF(COUNTIF(Accounts!$C$2:$C$201,$A38)+COUNTIF('Service Principals'!$C$2:$C$201,$A38)+COUNTIF('Managed Identities'!$C$2:$C$201,$A38)&gt;0,"Yes","NOT IN INVENTORY"))</f>
        <v/>
      </c>
    </row>
    <row r="39" customFormat="false" ht="15" hidden="false" customHeight="false" outlineLevel="0" collapsed="false">
      <c r="A39" s="46"/>
      <c r="B39" s="47"/>
      <c r="C39" s="47"/>
      <c r="D39" s="46"/>
      <c r="E39" s="47"/>
      <c r="F39" s="47"/>
      <c r="G39" s="47"/>
      <c r="H39" s="46"/>
      <c r="I39" s="47"/>
      <c r="J39" s="47"/>
      <c r="K39" s="47"/>
      <c r="L39" s="47"/>
      <c r="M39" s="47"/>
      <c r="N39" s="47"/>
      <c r="O39" s="47"/>
      <c r="P39" s="45" t="str">
        <f aca="false">IF($A39="","",IF(COUNTIF(Accounts!$C$2:$C$201,$A39)+COUNTIF('Service Principals'!$C$2:$C$201,$A39)+COUNTIF('Managed Identities'!$C$2:$C$201,$A39)&gt;0,"Yes","NOT IN INVENTORY"))</f>
        <v/>
      </c>
    </row>
    <row r="40" customFormat="false" ht="15" hidden="false" customHeight="false" outlineLevel="0" collapsed="false">
      <c r="A40" s="46"/>
      <c r="B40" s="47"/>
      <c r="C40" s="47"/>
      <c r="D40" s="46"/>
      <c r="E40" s="47"/>
      <c r="F40" s="47"/>
      <c r="G40" s="47"/>
      <c r="H40" s="46"/>
      <c r="I40" s="47"/>
      <c r="J40" s="47"/>
      <c r="K40" s="47"/>
      <c r="L40" s="47"/>
      <c r="M40" s="47"/>
      <c r="N40" s="47"/>
      <c r="O40" s="47"/>
      <c r="P40" s="45" t="str">
        <f aca="false">IF($A40="","",IF(COUNTIF(Accounts!$C$2:$C$201,$A40)+COUNTIF('Service Principals'!$C$2:$C$201,$A40)+COUNTIF('Managed Identities'!$C$2:$C$201,$A40)&gt;0,"Yes","NOT IN INVENTORY"))</f>
        <v/>
      </c>
    </row>
    <row r="41" customFormat="false" ht="15" hidden="false" customHeight="false" outlineLevel="0" collapsed="false">
      <c r="A41" s="46"/>
      <c r="B41" s="47"/>
      <c r="C41" s="47"/>
      <c r="D41" s="46"/>
      <c r="E41" s="47"/>
      <c r="F41" s="47"/>
      <c r="G41" s="47"/>
      <c r="H41" s="46"/>
      <c r="I41" s="47"/>
      <c r="J41" s="47"/>
      <c r="K41" s="47"/>
      <c r="L41" s="47"/>
      <c r="M41" s="47"/>
      <c r="N41" s="47"/>
      <c r="O41" s="47"/>
      <c r="P41" s="45" t="str">
        <f aca="false">IF($A41="","",IF(COUNTIF(Accounts!$C$2:$C$201,$A41)+COUNTIF('Service Principals'!$C$2:$C$201,$A41)+COUNTIF('Managed Identities'!$C$2:$C$201,$A41)&gt;0,"Yes","NOT IN INVENTORY"))</f>
        <v/>
      </c>
    </row>
    <row r="42" customFormat="false" ht="15" hidden="false" customHeight="false" outlineLevel="0" collapsed="false">
      <c r="A42" s="46"/>
      <c r="B42" s="47"/>
      <c r="C42" s="47"/>
      <c r="D42" s="46"/>
      <c r="E42" s="47"/>
      <c r="F42" s="47"/>
      <c r="G42" s="47"/>
      <c r="H42" s="46"/>
      <c r="I42" s="47"/>
      <c r="J42" s="47"/>
      <c r="K42" s="47"/>
      <c r="L42" s="47"/>
      <c r="M42" s="47"/>
      <c r="N42" s="47"/>
      <c r="O42" s="47"/>
      <c r="P42" s="45" t="str">
        <f aca="false">IF($A42="","",IF(COUNTIF(Accounts!$C$2:$C$201,$A42)+COUNTIF('Service Principals'!$C$2:$C$201,$A42)+COUNTIF('Managed Identities'!$C$2:$C$201,$A42)&gt;0,"Yes","NOT IN INVENTORY"))</f>
        <v/>
      </c>
    </row>
    <row r="43" customFormat="false" ht="15" hidden="false" customHeight="false" outlineLevel="0" collapsed="false">
      <c r="A43" s="46"/>
      <c r="B43" s="47"/>
      <c r="C43" s="47"/>
      <c r="D43" s="46"/>
      <c r="E43" s="47"/>
      <c r="F43" s="47"/>
      <c r="G43" s="47"/>
      <c r="H43" s="46"/>
      <c r="I43" s="47"/>
      <c r="J43" s="47"/>
      <c r="K43" s="47"/>
      <c r="L43" s="47"/>
      <c r="M43" s="47"/>
      <c r="N43" s="47"/>
      <c r="O43" s="47"/>
      <c r="P43" s="45" t="str">
        <f aca="false">IF($A43="","",IF(COUNTIF(Accounts!$C$2:$C$201,$A43)+COUNTIF('Service Principals'!$C$2:$C$201,$A43)+COUNTIF('Managed Identities'!$C$2:$C$201,$A43)&gt;0,"Yes","NOT IN INVENTORY"))</f>
        <v/>
      </c>
    </row>
    <row r="44" customFormat="false" ht="15" hidden="false" customHeight="false" outlineLevel="0" collapsed="false">
      <c r="A44" s="46"/>
      <c r="B44" s="47"/>
      <c r="C44" s="47"/>
      <c r="D44" s="46"/>
      <c r="E44" s="47"/>
      <c r="F44" s="47"/>
      <c r="G44" s="47"/>
      <c r="H44" s="46"/>
      <c r="I44" s="47"/>
      <c r="J44" s="47"/>
      <c r="K44" s="47"/>
      <c r="L44" s="47"/>
      <c r="M44" s="47"/>
      <c r="N44" s="47"/>
      <c r="O44" s="47"/>
      <c r="P44" s="45" t="str">
        <f aca="false">IF($A44="","",IF(COUNTIF(Accounts!$C$2:$C$201,$A44)+COUNTIF('Service Principals'!$C$2:$C$201,$A44)+COUNTIF('Managed Identities'!$C$2:$C$201,$A44)&gt;0,"Yes","NOT IN INVENTORY"))</f>
        <v/>
      </c>
    </row>
    <row r="45" customFormat="false" ht="15" hidden="false" customHeight="false" outlineLevel="0" collapsed="false">
      <c r="A45" s="46"/>
      <c r="B45" s="47"/>
      <c r="C45" s="47"/>
      <c r="D45" s="46"/>
      <c r="E45" s="47"/>
      <c r="F45" s="47"/>
      <c r="G45" s="47"/>
      <c r="H45" s="46"/>
      <c r="I45" s="47"/>
      <c r="J45" s="47"/>
      <c r="K45" s="47"/>
      <c r="L45" s="47"/>
      <c r="M45" s="47"/>
      <c r="N45" s="47"/>
      <c r="O45" s="47"/>
      <c r="P45" s="45" t="str">
        <f aca="false">IF($A45="","",IF(COUNTIF(Accounts!$C$2:$C$201,$A45)+COUNTIF('Service Principals'!$C$2:$C$201,$A45)+COUNTIF('Managed Identities'!$C$2:$C$201,$A45)&gt;0,"Yes","NOT IN INVENTORY"))</f>
        <v/>
      </c>
    </row>
    <row r="46" customFormat="false" ht="15" hidden="false" customHeight="false" outlineLevel="0" collapsed="false">
      <c r="A46" s="46"/>
      <c r="B46" s="47"/>
      <c r="C46" s="47"/>
      <c r="D46" s="46"/>
      <c r="E46" s="47"/>
      <c r="F46" s="47"/>
      <c r="G46" s="47"/>
      <c r="H46" s="46"/>
      <c r="I46" s="47"/>
      <c r="J46" s="47"/>
      <c r="K46" s="47"/>
      <c r="L46" s="47"/>
      <c r="M46" s="47"/>
      <c r="N46" s="47"/>
      <c r="O46" s="47"/>
      <c r="P46" s="45" t="str">
        <f aca="false">IF($A46="","",IF(COUNTIF(Accounts!$C$2:$C$201,$A46)+COUNTIF('Service Principals'!$C$2:$C$201,$A46)+COUNTIF('Managed Identities'!$C$2:$C$201,$A46)&gt;0,"Yes","NOT IN INVENTORY"))</f>
        <v/>
      </c>
    </row>
    <row r="47" customFormat="false" ht="15" hidden="false" customHeight="false" outlineLevel="0" collapsed="false">
      <c r="A47" s="46"/>
      <c r="B47" s="47"/>
      <c r="C47" s="47"/>
      <c r="D47" s="46"/>
      <c r="E47" s="47"/>
      <c r="F47" s="47"/>
      <c r="G47" s="47"/>
      <c r="H47" s="46"/>
      <c r="I47" s="47"/>
      <c r="J47" s="47"/>
      <c r="K47" s="47"/>
      <c r="L47" s="47"/>
      <c r="M47" s="47"/>
      <c r="N47" s="47"/>
      <c r="O47" s="47"/>
      <c r="P47" s="45" t="str">
        <f aca="false">IF($A47="","",IF(COUNTIF(Accounts!$C$2:$C$201,$A47)+COUNTIF('Service Principals'!$C$2:$C$201,$A47)+COUNTIF('Managed Identities'!$C$2:$C$201,$A47)&gt;0,"Yes","NOT IN INVENTORY"))</f>
        <v/>
      </c>
    </row>
    <row r="48" customFormat="false" ht="15" hidden="false" customHeight="false" outlineLevel="0" collapsed="false">
      <c r="A48" s="46"/>
      <c r="B48" s="47"/>
      <c r="C48" s="47"/>
      <c r="D48" s="46"/>
      <c r="E48" s="47"/>
      <c r="F48" s="47"/>
      <c r="G48" s="47"/>
      <c r="H48" s="46"/>
      <c r="I48" s="47"/>
      <c r="J48" s="47"/>
      <c r="K48" s="47"/>
      <c r="L48" s="47"/>
      <c r="M48" s="47"/>
      <c r="N48" s="47"/>
      <c r="O48" s="47"/>
      <c r="P48" s="45" t="str">
        <f aca="false">IF($A48="","",IF(COUNTIF(Accounts!$C$2:$C$201,$A48)+COUNTIF('Service Principals'!$C$2:$C$201,$A48)+COUNTIF('Managed Identities'!$C$2:$C$201,$A48)&gt;0,"Yes","NOT IN INVENTORY"))</f>
        <v/>
      </c>
    </row>
    <row r="49" customFormat="false" ht="15" hidden="false" customHeight="false" outlineLevel="0" collapsed="false">
      <c r="A49" s="46"/>
      <c r="B49" s="47"/>
      <c r="C49" s="47"/>
      <c r="D49" s="46"/>
      <c r="E49" s="47"/>
      <c r="F49" s="47"/>
      <c r="G49" s="47"/>
      <c r="H49" s="46"/>
      <c r="I49" s="47"/>
      <c r="J49" s="47"/>
      <c r="K49" s="47"/>
      <c r="L49" s="47"/>
      <c r="M49" s="47"/>
      <c r="N49" s="47"/>
      <c r="O49" s="47"/>
      <c r="P49" s="45" t="str">
        <f aca="false">IF($A49="","",IF(COUNTIF(Accounts!$C$2:$C$201,$A49)+COUNTIF('Service Principals'!$C$2:$C$201,$A49)+COUNTIF('Managed Identities'!$C$2:$C$201,$A49)&gt;0,"Yes","NOT IN INVENTORY"))</f>
        <v/>
      </c>
    </row>
    <row r="50" customFormat="false" ht="15" hidden="false" customHeight="false" outlineLevel="0" collapsed="false">
      <c r="A50" s="46"/>
      <c r="B50" s="47"/>
      <c r="C50" s="47"/>
      <c r="D50" s="46"/>
      <c r="E50" s="47"/>
      <c r="F50" s="47"/>
      <c r="G50" s="47"/>
      <c r="H50" s="46"/>
      <c r="I50" s="47"/>
      <c r="J50" s="47"/>
      <c r="K50" s="47"/>
      <c r="L50" s="47"/>
      <c r="M50" s="47"/>
      <c r="N50" s="47"/>
      <c r="O50" s="47"/>
      <c r="P50" s="45" t="str">
        <f aca="false">IF($A50="","",IF(COUNTIF(Accounts!$C$2:$C$201,$A50)+COUNTIF('Service Principals'!$C$2:$C$201,$A50)+COUNTIF('Managed Identities'!$C$2:$C$201,$A50)&gt;0,"Yes","NOT IN INVENTORY"))</f>
        <v/>
      </c>
    </row>
    <row r="51" customFormat="false" ht="15" hidden="false" customHeight="false" outlineLevel="0" collapsed="false">
      <c r="A51" s="46"/>
      <c r="B51" s="47"/>
      <c r="C51" s="47"/>
      <c r="D51" s="46"/>
      <c r="E51" s="47"/>
      <c r="F51" s="47"/>
      <c r="G51" s="47"/>
      <c r="H51" s="46"/>
      <c r="I51" s="47"/>
      <c r="J51" s="47"/>
      <c r="K51" s="47"/>
      <c r="L51" s="47"/>
      <c r="M51" s="47"/>
      <c r="N51" s="47"/>
      <c r="O51" s="47"/>
      <c r="P51" s="45" t="str">
        <f aca="false">IF($A51="","",IF(COUNTIF(Accounts!$C$2:$C$201,$A51)+COUNTIF('Service Principals'!$C$2:$C$201,$A51)+COUNTIF('Managed Identities'!$C$2:$C$201,$A51)&gt;0,"Yes","NOT IN INVENTORY"))</f>
        <v/>
      </c>
    </row>
    <row r="52" customFormat="false" ht="15" hidden="false" customHeight="false" outlineLevel="0" collapsed="false">
      <c r="A52" s="46"/>
      <c r="B52" s="47"/>
      <c r="C52" s="47"/>
      <c r="D52" s="46"/>
      <c r="E52" s="47"/>
      <c r="F52" s="47"/>
      <c r="G52" s="47"/>
      <c r="H52" s="46"/>
      <c r="I52" s="47"/>
      <c r="J52" s="47"/>
      <c r="K52" s="47"/>
      <c r="L52" s="47"/>
      <c r="M52" s="47"/>
      <c r="N52" s="47"/>
      <c r="O52" s="47"/>
      <c r="P52" s="45" t="str">
        <f aca="false">IF($A52="","",IF(COUNTIF(Accounts!$C$2:$C$201,$A52)+COUNTIF('Service Principals'!$C$2:$C$201,$A52)+COUNTIF('Managed Identities'!$C$2:$C$201,$A52)&gt;0,"Yes","NOT IN INVENTORY"))</f>
        <v/>
      </c>
    </row>
    <row r="53" customFormat="false" ht="15" hidden="false" customHeight="false" outlineLevel="0" collapsed="false">
      <c r="A53" s="46"/>
      <c r="B53" s="47"/>
      <c r="C53" s="47"/>
      <c r="D53" s="46"/>
      <c r="E53" s="47"/>
      <c r="F53" s="47"/>
      <c r="G53" s="47"/>
      <c r="H53" s="46"/>
      <c r="I53" s="47"/>
      <c r="J53" s="47"/>
      <c r="K53" s="47"/>
      <c r="L53" s="47"/>
      <c r="M53" s="47"/>
      <c r="N53" s="47"/>
      <c r="O53" s="47"/>
      <c r="P53" s="45" t="str">
        <f aca="false">IF($A53="","",IF(COUNTIF(Accounts!$C$2:$C$201,$A53)+COUNTIF('Service Principals'!$C$2:$C$201,$A53)+COUNTIF('Managed Identities'!$C$2:$C$201,$A53)&gt;0,"Yes","NOT IN INVENTORY"))</f>
        <v/>
      </c>
    </row>
    <row r="54" customFormat="false" ht="15" hidden="false" customHeight="false" outlineLevel="0" collapsed="false">
      <c r="A54" s="46"/>
      <c r="B54" s="47"/>
      <c r="C54" s="47"/>
      <c r="D54" s="46"/>
      <c r="E54" s="47"/>
      <c r="F54" s="47"/>
      <c r="G54" s="47"/>
      <c r="H54" s="46"/>
      <c r="I54" s="47"/>
      <c r="J54" s="47"/>
      <c r="K54" s="47"/>
      <c r="L54" s="47"/>
      <c r="M54" s="47"/>
      <c r="N54" s="47"/>
      <c r="O54" s="47"/>
      <c r="P54" s="45" t="str">
        <f aca="false">IF($A54="","",IF(COUNTIF(Accounts!$C$2:$C$201,$A54)+COUNTIF('Service Principals'!$C$2:$C$201,$A54)+COUNTIF('Managed Identities'!$C$2:$C$201,$A54)&gt;0,"Yes","NOT IN INVENTORY"))</f>
        <v/>
      </c>
    </row>
    <row r="55" customFormat="false" ht="15" hidden="false" customHeight="false" outlineLevel="0" collapsed="false">
      <c r="A55" s="46"/>
      <c r="B55" s="47"/>
      <c r="C55" s="47"/>
      <c r="D55" s="46"/>
      <c r="E55" s="47"/>
      <c r="F55" s="47"/>
      <c r="G55" s="47"/>
      <c r="H55" s="46"/>
      <c r="I55" s="47"/>
      <c r="J55" s="47"/>
      <c r="K55" s="47"/>
      <c r="L55" s="47"/>
      <c r="M55" s="47"/>
      <c r="N55" s="47"/>
      <c r="O55" s="47"/>
      <c r="P55" s="45" t="str">
        <f aca="false">IF($A55="","",IF(COUNTIF(Accounts!$C$2:$C$201,$A55)+COUNTIF('Service Principals'!$C$2:$C$201,$A55)+COUNTIF('Managed Identities'!$C$2:$C$201,$A55)&gt;0,"Yes","NOT IN INVENTORY"))</f>
        <v/>
      </c>
    </row>
    <row r="56" customFormat="false" ht="15" hidden="false" customHeight="false" outlineLevel="0" collapsed="false">
      <c r="A56" s="46"/>
      <c r="B56" s="47"/>
      <c r="C56" s="47"/>
      <c r="D56" s="46"/>
      <c r="E56" s="47"/>
      <c r="F56" s="47"/>
      <c r="G56" s="47"/>
      <c r="H56" s="46"/>
      <c r="I56" s="47"/>
      <c r="J56" s="47"/>
      <c r="K56" s="47"/>
      <c r="L56" s="47"/>
      <c r="M56" s="47"/>
      <c r="N56" s="47"/>
      <c r="O56" s="47"/>
      <c r="P56" s="45" t="str">
        <f aca="false">IF($A56="","",IF(COUNTIF(Accounts!$C$2:$C$201,$A56)+COUNTIF('Service Principals'!$C$2:$C$201,$A56)+COUNTIF('Managed Identities'!$C$2:$C$201,$A56)&gt;0,"Yes","NOT IN INVENTORY"))</f>
        <v/>
      </c>
    </row>
    <row r="57" customFormat="false" ht="15" hidden="false" customHeight="false" outlineLevel="0" collapsed="false">
      <c r="A57" s="46"/>
      <c r="B57" s="47"/>
      <c r="C57" s="47"/>
      <c r="D57" s="46"/>
      <c r="E57" s="47"/>
      <c r="F57" s="47"/>
      <c r="G57" s="47"/>
      <c r="H57" s="46"/>
      <c r="I57" s="47"/>
      <c r="J57" s="47"/>
      <c r="K57" s="47"/>
      <c r="L57" s="47"/>
      <c r="M57" s="47"/>
      <c r="N57" s="47"/>
      <c r="O57" s="47"/>
      <c r="P57" s="45" t="str">
        <f aca="false">IF($A57="","",IF(COUNTIF(Accounts!$C$2:$C$201,$A57)+COUNTIF('Service Principals'!$C$2:$C$201,$A57)+COUNTIF('Managed Identities'!$C$2:$C$201,$A57)&gt;0,"Yes","NOT IN INVENTORY"))</f>
        <v/>
      </c>
    </row>
    <row r="58" customFormat="false" ht="15" hidden="false" customHeight="false" outlineLevel="0" collapsed="false">
      <c r="A58" s="46"/>
      <c r="B58" s="47"/>
      <c r="C58" s="47"/>
      <c r="D58" s="46"/>
      <c r="E58" s="47"/>
      <c r="F58" s="47"/>
      <c r="G58" s="47"/>
      <c r="H58" s="46"/>
      <c r="I58" s="47"/>
      <c r="J58" s="47"/>
      <c r="K58" s="47"/>
      <c r="L58" s="47"/>
      <c r="M58" s="47"/>
      <c r="N58" s="47"/>
      <c r="O58" s="47"/>
      <c r="P58" s="45" t="str">
        <f aca="false">IF($A58="","",IF(COUNTIF(Accounts!$C$2:$C$201,$A58)+COUNTIF('Service Principals'!$C$2:$C$201,$A58)+COUNTIF('Managed Identities'!$C$2:$C$201,$A58)&gt;0,"Yes","NOT IN INVENTORY"))</f>
        <v/>
      </c>
    </row>
    <row r="59" customFormat="false" ht="15" hidden="false" customHeight="false" outlineLevel="0" collapsed="false">
      <c r="A59" s="46"/>
      <c r="B59" s="47"/>
      <c r="C59" s="47"/>
      <c r="D59" s="46"/>
      <c r="E59" s="47"/>
      <c r="F59" s="47"/>
      <c r="G59" s="47"/>
      <c r="H59" s="46"/>
      <c r="I59" s="47"/>
      <c r="J59" s="47"/>
      <c r="K59" s="47"/>
      <c r="L59" s="47"/>
      <c r="M59" s="47"/>
      <c r="N59" s="47"/>
      <c r="O59" s="47"/>
      <c r="P59" s="45" t="str">
        <f aca="false">IF($A59="","",IF(COUNTIF(Accounts!$C$2:$C$201,$A59)+COUNTIF('Service Principals'!$C$2:$C$201,$A59)+COUNTIF('Managed Identities'!$C$2:$C$201,$A59)&gt;0,"Yes","NOT IN INVENTORY"))</f>
        <v/>
      </c>
    </row>
    <row r="60" customFormat="false" ht="15" hidden="false" customHeight="false" outlineLevel="0" collapsed="false">
      <c r="A60" s="46"/>
      <c r="B60" s="47"/>
      <c r="C60" s="47"/>
      <c r="D60" s="46"/>
      <c r="E60" s="47"/>
      <c r="F60" s="47"/>
      <c r="G60" s="47"/>
      <c r="H60" s="46"/>
      <c r="I60" s="47"/>
      <c r="J60" s="47"/>
      <c r="K60" s="47"/>
      <c r="L60" s="47"/>
      <c r="M60" s="47"/>
      <c r="N60" s="47"/>
      <c r="O60" s="47"/>
      <c r="P60" s="45" t="str">
        <f aca="false">IF($A60="","",IF(COUNTIF(Accounts!$C$2:$C$201,$A60)+COUNTIF('Service Principals'!$C$2:$C$201,$A60)+COUNTIF('Managed Identities'!$C$2:$C$201,$A60)&gt;0,"Yes","NOT IN INVENTORY"))</f>
        <v/>
      </c>
    </row>
    <row r="61" customFormat="false" ht="15" hidden="false" customHeight="false" outlineLevel="0" collapsed="false">
      <c r="A61" s="46"/>
      <c r="B61" s="47"/>
      <c r="C61" s="47"/>
      <c r="D61" s="46"/>
      <c r="E61" s="47"/>
      <c r="F61" s="47"/>
      <c r="G61" s="47"/>
      <c r="H61" s="46"/>
      <c r="I61" s="47"/>
      <c r="J61" s="47"/>
      <c r="K61" s="47"/>
      <c r="L61" s="47"/>
      <c r="M61" s="47"/>
      <c r="N61" s="47"/>
      <c r="O61" s="47"/>
      <c r="P61" s="45" t="str">
        <f aca="false">IF($A61="","",IF(COUNTIF(Accounts!$C$2:$C$201,$A61)+COUNTIF('Service Principals'!$C$2:$C$201,$A61)+COUNTIF('Managed Identities'!$C$2:$C$201,$A61)&gt;0,"Yes","NOT IN INVENTORY"))</f>
        <v/>
      </c>
    </row>
    <row r="62" customFormat="false" ht="15" hidden="false" customHeight="false" outlineLevel="0" collapsed="false">
      <c r="A62" s="46"/>
      <c r="B62" s="47"/>
      <c r="C62" s="47"/>
      <c r="D62" s="46"/>
      <c r="E62" s="47"/>
      <c r="F62" s="47"/>
      <c r="G62" s="47"/>
      <c r="H62" s="46"/>
      <c r="I62" s="47"/>
      <c r="J62" s="47"/>
      <c r="K62" s="47"/>
      <c r="L62" s="47"/>
      <c r="M62" s="47"/>
      <c r="N62" s="47"/>
      <c r="O62" s="47"/>
      <c r="P62" s="45" t="str">
        <f aca="false">IF($A62="","",IF(COUNTIF(Accounts!$C$2:$C$201,$A62)+COUNTIF('Service Principals'!$C$2:$C$201,$A62)+COUNTIF('Managed Identities'!$C$2:$C$201,$A62)&gt;0,"Yes","NOT IN INVENTORY"))</f>
        <v/>
      </c>
    </row>
    <row r="63" customFormat="false" ht="15" hidden="false" customHeight="false" outlineLevel="0" collapsed="false">
      <c r="A63" s="46"/>
      <c r="B63" s="47"/>
      <c r="C63" s="47"/>
      <c r="D63" s="46"/>
      <c r="E63" s="47"/>
      <c r="F63" s="47"/>
      <c r="G63" s="47"/>
      <c r="H63" s="46"/>
      <c r="I63" s="47"/>
      <c r="J63" s="47"/>
      <c r="K63" s="47"/>
      <c r="L63" s="47"/>
      <c r="M63" s="47"/>
      <c r="N63" s="47"/>
      <c r="O63" s="47"/>
      <c r="P63" s="45" t="str">
        <f aca="false">IF($A63="","",IF(COUNTIF(Accounts!$C$2:$C$201,$A63)+COUNTIF('Service Principals'!$C$2:$C$201,$A63)+COUNTIF('Managed Identities'!$C$2:$C$201,$A63)&gt;0,"Yes","NOT IN INVENTORY"))</f>
        <v/>
      </c>
    </row>
    <row r="64" customFormat="false" ht="15" hidden="false" customHeight="false" outlineLevel="0" collapsed="false">
      <c r="A64" s="46"/>
      <c r="B64" s="47"/>
      <c r="C64" s="47"/>
      <c r="D64" s="46"/>
      <c r="E64" s="47"/>
      <c r="F64" s="47"/>
      <c r="G64" s="47"/>
      <c r="H64" s="46"/>
      <c r="I64" s="47"/>
      <c r="J64" s="47"/>
      <c r="K64" s="47"/>
      <c r="L64" s="47"/>
      <c r="M64" s="47"/>
      <c r="N64" s="47"/>
      <c r="O64" s="47"/>
      <c r="P64" s="45" t="str">
        <f aca="false">IF($A64="","",IF(COUNTIF(Accounts!$C$2:$C$201,$A64)+COUNTIF('Service Principals'!$C$2:$C$201,$A64)+COUNTIF('Managed Identities'!$C$2:$C$201,$A64)&gt;0,"Yes","NOT IN INVENTORY"))</f>
        <v/>
      </c>
    </row>
    <row r="65" customFormat="false" ht="15" hidden="false" customHeight="false" outlineLevel="0" collapsed="false">
      <c r="A65" s="46"/>
      <c r="B65" s="47"/>
      <c r="C65" s="47"/>
      <c r="D65" s="46"/>
      <c r="E65" s="47"/>
      <c r="F65" s="47"/>
      <c r="G65" s="47"/>
      <c r="H65" s="46"/>
      <c r="I65" s="47"/>
      <c r="J65" s="47"/>
      <c r="K65" s="47"/>
      <c r="L65" s="47"/>
      <c r="M65" s="47"/>
      <c r="N65" s="47"/>
      <c r="O65" s="47"/>
      <c r="P65" s="45" t="str">
        <f aca="false">IF($A65="","",IF(COUNTIF(Accounts!$C$2:$C$201,$A65)+COUNTIF('Service Principals'!$C$2:$C$201,$A65)+COUNTIF('Managed Identities'!$C$2:$C$201,$A65)&gt;0,"Yes","NOT IN INVENTORY"))</f>
        <v/>
      </c>
    </row>
    <row r="66" customFormat="false" ht="15" hidden="false" customHeight="false" outlineLevel="0" collapsed="false">
      <c r="A66" s="46"/>
      <c r="B66" s="47"/>
      <c r="C66" s="47"/>
      <c r="D66" s="46"/>
      <c r="E66" s="47"/>
      <c r="F66" s="47"/>
      <c r="G66" s="47"/>
      <c r="H66" s="46"/>
      <c r="I66" s="47"/>
      <c r="J66" s="47"/>
      <c r="K66" s="47"/>
      <c r="L66" s="47"/>
      <c r="M66" s="47"/>
      <c r="N66" s="47"/>
      <c r="O66" s="47"/>
      <c r="P66" s="45" t="str">
        <f aca="false">IF($A66="","",IF(COUNTIF(Accounts!$C$2:$C$201,$A66)+COUNTIF('Service Principals'!$C$2:$C$201,$A66)+COUNTIF('Managed Identities'!$C$2:$C$201,$A66)&gt;0,"Yes","NOT IN INVENTORY"))</f>
        <v/>
      </c>
    </row>
    <row r="67" customFormat="false" ht="15" hidden="false" customHeight="false" outlineLevel="0" collapsed="false">
      <c r="A67" s="46"/>
      <c r="B67" s="47"/>
      <c r="C67" s="47"/>
      <c r="D67" s="46"/>
      <c r="E67" s="47"/>
      <c r="F67" s="47"/>
      <c r="G67" s="47"/>
      <c r="H67" s="46"/>
      <c r="I67" s="47"/>
      <c r="J67" s="47"/>
      <c r="K67" s="47"/>
      <c r="L67" s="47"/>
      <c r="M67" s="47"/>
      <c r="N67" s="47"/>
      <c r="O67" s="47"/>
      <c r="P67" s="45" t="str">
        <f aca="false">IF($A67="","",IF(COUNTIF(Accounts!$C$2:$C$201,$A67)+COUNTIF('Service Principals'!$C$2:$C$201,$A67)+COUNTIF('Managed Identities'!$C$2:$C$201,$A67)&gt;0,"Yes","NOT IN INVENTORY"))</f>
        <v/>
      </c>
    </row>
    <row r="68" customFormat="false" ht="15" hidden="false" customHeight="false" outlineLevel="0" collapsed="false">
      <c r="A68" s="46"/>
      <c r="B68" s="47"/>
      <c r="C68" s="47"/>
      <c r="D68" s="46"/>
      <c r="E68" s="47"/>
      <c r="F68" s="47"/>
      <c r="G68" s="47"/>
      <c r="H68" s="46"/>
      <c r="I68" s="47"/>
      <c r="J68" s="47"/>
      <c r="K68" s="47"/>
      <c r="L68" s="47"/>
      <c r="M68" s="47"/>
      <c r="N68" s="47"/>
      <c r="O68" s="47"/>
      <c r="P68" s="45" t="str">
        <f aca="false">IF($A68="","",IF(COUNTIF(Accounts!$C$2:$C$201,$A68)+COUNTIF('Service Principals'!$C$2:$C$201,$A68)+COUNTIF('Managed Identities'!$C$2:$C$201,$A68)&gt;0,"Yes","NOT IN INVENTORY"))</f>
        <v/>
      </c>
    </row>
    <row r="69" customFormat="false" ht="15" hidden="false" customHeight="false" outlineLevel="0" collapsed="false">
      <c r="A69" s="46"/>
      <c r="B69" s="47"/>
      <c r="C69" s="47"/>
      <c r="D69" s="46"/>
      <c r="E69" s="47"/>
      <c r="F69" s="47"/>
      <c r="G69" s="47"/>
      <c r="H69" s="46"/>
      <c r="I69" s="47"/>
      <c r="J69" s="47"/>
      <c r="K69" s="47"/>
      <c r="L69" s="47"/>
      <c r="M69" s="47"/>
      <c r="N69" s="47"/>
      <c r="O69" s="47"/>
      <c r="P69" s="45" t="str">
        <f aca="false">IF($A69="","",IF(COUNTIF(Accounts!$C$2:$C$201,$A69)+COUNTIF('Service Principals'!$C$2:$C$201,$A69)+COUNTIF('Managed Identities'!$C$2:$C$201,$A69)&gt;0,"Yes","NOT IN INVENTORY"))</f>
        <v/>
      </c>
    </row>
    <row r="70" customFormat="false" ht="15" hidden="false" customHeight="false" outlineLevel="0" collapsed="false">
      <c r="A70" s="46"/>
      <c r="B70" s="47"/>
      <c r="C70" s="47"/>
      <c r="D70" s="46"/>
      <c r="E70" s="47"/>
      <c r="F70" s="47"/>
      <c r="G70" s="47"/>
      <c r="H70" s="46"/>
      <c r="I70" s="47"/>
      <c r="J70" s="47"/>
      <c r="K70" s="47"/>
      <c r="L70" s="47"/>
      <c r="M70" s="47"/>
      <c r="N70" s="47"/>
      <c r="O70" s="47"/>
      <c r="P70" s="45" t="str">
        <f aca="false">IF($A70="","",IF(COUNTIF(Accounts!$C$2:$C$201,$A70)+COUNTIF('Service Principals'!$C$2:$C$201,$A70)+COUNTIF('Managed Identities'!$C$2:$C$201,$A70)&gt;0,"Yes","NOT IN INVENTORY"))</f>
        <v/>
      </c>
    </row>
    <row r="71" customFormat="false" ht="15" hidden="false" customHeight="false" outlineLevel="0" collapsed="false">
      <c r="A71" s="46"/>
      <c r="B71" s="47"/>
      <c r="C71" s="47"/>
      <c r="D71" s="46"/>
      <c r="E71" s="47"/>
      <c r="F71" s="47"/>
      <c r="G71" s="47"/>
      <c r="H71" s="46"/>
      <c r="I71" s="47"/>
      <c r="J71" s="47"/>
      <c r="K71" s="47"/>
      <c r="L71" s="47"/>
      <c r="M71" s="47"/>
      <c r="N71" s="47"/>
      <c r="O71" s="47"/>
      <c r="P71" s="45" t="str">
        <f aca="false">IF($A71="","",IF(COUNTIF(Accounts!$C$2:$C$201,$A71)+COUNTIF('Service Principals'!$C$2:$C$201,$A71)+COUNTIF('Managed Identities'!$C$2:$C$201,$A71)&gt;0,"Yes","NOT IN INVENTORY"))</f>
        <v/>
      </c>
    </row>
    <row r="72" customFormat="false" ht="15" hidden="false" customHeight="false" outlineLevel="0" collapsed="false">
      <c r="A72" s="46"/>
      <c r="B72" s="47"/>
      <c r="C72" s="47"/>
      <c r="D72" s="46"/>
      <c r="E72" s="47"/>
      <c r="F72" s="47"/>
      <c r="G72" s="47"/>
      <c r="H72" s="46"/>
      <c r="I72" s="47"/>
      <c r="J72" s="47"/>
      <c r="K72" s="47"/>
      <c r="L72" s="47"/>
      <c r="M72" s="47"/>
      <c r="N72" s="47"/>
      <c r="O72" s="47"/>
      <c r="P72" s="45" t="str">
        <f aca="false">IF($A72="","",IF(COUNTIF(Accounts!$C$2:$C$201,$A72)+COUNTIF('Service Principals'!$C$2:$C$201,$A72)+COUNTIF('Managed Identities'!$C$2:$C$201,$A72)&gt;0,"Yes","NOT IN INVENTORY"))</f>
        <v/>
      </c>
    </row>
    <row r="73" customFormat="false" ht="15" hidden="false" customHeight="false" outlineLevel="0" collapsed="false">
      <c r="A73" s="46"/>
      <c r="B73" s="47"/>
      <c r="C73" s="47"/>
      <c r="D73" s="46"/>
      <c r="E73" s="47"/>
      <c r="F73" s="47"/>
      <c r="G73" s="47"/>
      <c r="H73" s="46"/>
      <c r="I73" s="47"/>
      <c r="J73" s="47"/>
      <c r="K73" s="47"/>
      <c r="L73" s="47"/>
      <c r="M73" s="47"/>
      <c r="N73" s="47"/>
      <c r="O73" s="47"/>
      <c r="P73" s="45" t="str">
        <f aca="false">IF($A73="","",IF(COUNTIF(Accounts!$C$2:$C$201,$A73)+COUNTIF('Service Principals'!$C$2:$C$201,$A73)+COUNTIF('Managed Identities'!$C$2:$C$201,$A73)&gt;0,"Yes","NOT IN INVENTORY"))</f>
        <v/>
      </c>
    </row>
    <row r="74" customFormat="false" ht="15" hidden="false" customHeight="false" outlineLevel="0" collapsed="false">
      <c r="A74" s="46"/>
      <c r="B74" s="47"/>
      <c r="C74" s="47"/>
      <c r="D74" s="46"/>
      <c r="E74" s="47"/>
      <c r="F74" s="47"/>
      <c r="G74" s="47"/>
      <c r="H74" s="46"/>
      <c r="I74" s="47"/>
      <c r="J74" s="47"/>
      <c r="K74" s="47"/>
      <c r="L74" s="47"/>
      <c r="M74" s="47"/>
      <c r="N74" s="47"/>
      <c r="O74" s="47"/>
      <c r="P74" s="45" t="str">
        <f aca="false">IF($A74="","",IF(COUNTIF(Accounts!$C$2:$C$201,$A74)+COUNTIF('Service Principals'!$C$2:$C$201,$A74)+COUNTIF('Managed Identities'!$C$2:$C$201,$A74)&gt;0,"Yes","NOT IN INVENTORY"))</f>
        <v/>
      </c>
    </row>
    <row r="75" customFormat="false" ht="15" hidden="false" customHeight="false" outlineLevel="0" collapsed="false">
      <c r="A75" s="46"/>
      <c r="B75" s="47"/>
      <c r="C75" s="47"/>
      <c r="D75" s="46"/>
      <c r="E75" s="47"/>
      <c r="F75" s="47"/>
      <c r="G75" s="47"/>
      <c r="H75" s="46"/>
      <c r="I75" s="47"/>
      <c r="J75" s="47"/>
      <c r="K75" s="47"/>
      <c r="L75" s="47"/>
      <c r="M75" s="47"/>
      <c r="N75" s="47"/>
      <c r="O75" s="47"/>
      <c r="P75" s="45" t="str">
        <f aca="false">IF($A75="","",IF(COUNTIF(Accounts!$C$2:$C$201,$A75)+COUNTIF('Service Principals'!$C$2:$C$201,$A75)+COUNTIF('Managed Identities'!$C$2:$C$201,$A75)&gt;0,"Yes","NOT IN INVENTORY"))</f>
        <v/>
      </c>
    </row>
    <row r="76" customFormat="false" ht="15" hidden="false" customHeight="false" outlineLevel="0" collapsed="false">
      <c r="A76" s="46"/>
      <c r="B76" s="47"/>
      <c r="C76" s="47"/>
      <c r="D76" s="46"/>
      <c r="E76" s="47"/>
      <c r="F76" s="47"/>
      <c r="G76" s="47"/>
      <c r="H76" s="46"/>
      <c r="I76" s="47"/>
      <c r="J76" s="47"/>
      <c r="K76" s="47"/>
      <c r="L76" s="47"/>
      <c r="M76" s="47"/>
      <c r="N76" s="47"/>
      <c r="O76" s="47"/>
      <c r="P76" s="45" t="str">
        <f aca="false">IF($A76="","",IF(COUNTIF(Accounts!$C$2:$C$201,$A76)+COUNTIF('Service Principals'!$C$2:$C$201,$A76)+COUNTIF('Managed Identities'!$C$2:$C$201,$A76)&gt;0,"Yes","NOT IN INVENTORY"))</f>
        <v/>
      </c>
    </row>
    <row r="77" customFormat="false" ht="15" hidden="false" customHeight="false" outlineLevel="0" collapsed="false">
      <c r="A77" s="46"/>
      <c r="B77" s="47"/>
      <c r="C77" s="47"/>
      <c r="D77" s="46"/>
      <c r="E77" s="47"/>
      <c r="F77" s="47"/>
      <c r="G77" s="47"/>
      <c r="H77" s="46"/>
      <c r="I77" s="47"/>
      <c r="J77" s="47"/>
      <c r="K77" s="47"/>
      <c r="L77" s="47"/>
      <c r="M77" s="47"/>
      <c r="N77" s="47"/>
      <c r="O77" s="47"/>
      <c r="P77" s="45" t="str">
        <f aca="false">IF($A77="","",IF(COUNTIF(Accounts!$C$2:$C$201,$A77)+COUNTIF('Service Principals'!$C$2:$C$201,$A77)+COUNTIF('Managed Identities'!$C$2:$C$201,$A77)&gt;0,"Yes","NOT IN INVENTORY"))</f>
        <v/>
      </c>
    </row>
    <row r="78" customFormat="false" ht="15" hidden="false" customHeight="false" outlineLevel="0" collapsed="false">
      <c r="A78" s="46"/>
      <c r="B78" s="47"/>
      <c r="C78" s="47"/>
      <c r="D78" s="46"/>
      <c r="E78" s="47"/>
      <c r="F78" s="47"/>
      <c r="G78" s="47"/>
      <c r="H78" s="46"/>
      <c r="I78" s="47"/>
      <c r="J78" s="47"/>
      <c r="K78" s="47"/>
      <c r="L78" s="47"/>
      <c r="M78" s="47"/>
      <c r="N78" s="47"/>
      <c r="O78" s="47"/>
      <c r="P78" s="45" t="str">
        <f aca="false">IF($A78="","",IF(COUNTIF(Accounts!$C$2:$C$201,$A78)+COUNTIF('Service Principals'!$C$2:$C$201,$A78)+COUNTIF('Managed Identities'!$C$2:$C$201,$A78)&gt;0,"Yes","NOT IN INVENTORY"))</f>
        <v/>
      </c>
    </row>
    <row r="79" customFormat="false" ht="15" hidden="false" customHeight="false" outlineLevel="0" collapsed="false">
      <c r="A79" s="46"/>
      <c r="B79" s="47"/>
      <c r="C79" s="47"/>
      <c r="D79" s="46"/>
      <c r="E79" s="47"/>
      <c r="F79" s="47"/>
      <c r="G79" s="47"/>
      <c r="H79" s="46"/>
      <c r="I79" s="47"/>
      <c r="J79" s="47"/>
      <c r="K79" s="47"/>
      <c r="L79" s="47"/>
      <c r="M79" s="47"/>
      <c r="N79" s="47"/>
      <c r="O79" s="47"/>
      <c r="P79" s="45" t="str">
        <f aca="false">IF($A79="","",IF(COUNTIF(Accounts!$C$2:$C$201,$A79)+COUNTIF('Service Principals'!$C$2:$C$201,$A79)+COUNTIF('Managed Identities'!$C$2:$C$201,$A79)&gt;0,"Yes","NOT IN INVENTORY"))</f>
        <v/>
      </c>
    </row>
    <row r="80" customFormat="false" ht="15" hidden="false" customHeight="false" outlineLevel="0" collapsed="false">
      <c r="A80" s="46"/>
      <c r="B80" s="47"/>
      <c r="C80" s="47"/>
      <c r="D80" s="46"/>
      <c r="E80" s="47"/>
      <c r="F80" s="47"/>
      <c r="G80" s="47"/>
      <c r="H80" s="46"/>
      <c r="I80" s="47"/>
      <c r="J80" s="47"/>
      <c r="K80" s="47"/>
      <c r="L80" s="47"/>
      <c r="M80" s="47"/>
      <c r="N80" s="47"/>
      <c r="O80" s="47"/>
      <c r="P80" s="45" t="str">
        <f aca="false">IF($A80="","",IF(COUNTIF(Accounts!$C$2:$C$201,$A80)+COUNTIF('Service Principals'!$C$2:$C$201,$A80)+COUNTIF('Managed Identities'!$C$2:$C$201,$A80)&gt;0,"Yes","NOT IN INVENTORY"))</f>
        <v/>
      </c>
    </row>
    <row r="81" customFormat="false" ht="15" hidden="false" customHeight="false" outlineLevel="0" collapsed="false">
      <c r="A81" s="46"/>
      <c r="B81" s="47"/>
      <c r="C81" s="47"/>
      <c r="D81" s="46"/>
      <c r="E81" s="47"/>
      <c r="F81" s="47"/>
      <c r="G81" s="47"/>
      <c r="H81" s="46"/>
      <c r="I81" s="47"/>
      <c r="J81" s="47"/>
      <c r="K81" s="47"/>
      <c r="L81" s="47"/>
      <c r="M81" s="47"/>
      <c r="N81" s="47"/>
      <c r="O81" s="47"/>
      <c r="P81" s="45" t="str">
        <f aca="false">IF($A81="","",IF(COUNTIF(Accounts!$C$2:$C$201,$A81)+COUNTIF('Service Principals'!$C$2:$C$201,$A81)+COUNTIF('Managed Identities'!$C$2:$C$201,$A81)&gt;0,"Yes","NOT IN INVENTORY"))</f>
        <v/>
      </c>
    </row>
    <row r="82" customFormat="false" ht="15" hidden="false" customHeight="false" outlineLevel="0" collapsed="false">
      <c r="A82" s="46"/>
      <c r="B82" s="47"/>
      <c r="C82" s="47"/>
      <c r="D82" s="46"/>
      <c r="E82" s="47"/>
      <c r="F82" s="47"/>
      <c r="G82" s="47"/>
      <c r="H82" s="46"/>
      <c r="I82" s="47"/>
      <c r="J82" s="47"/>
      <c r="K82" s="47"/>
      <c r="L82" s="47"/>
      <c r="M82" s="47"/>
      <c r="N82" s="47"/>
      <c r="O82" s="47"/>
      <c r="P82" s="45" t="str">
        <f aca="false">IF($A82="","",IF(COUNTIF(Accounts!$C$2:$C$201,$A82)+COUNTIF('Service Principals'!$C$2:$C$201,$A82)+COUNTIF('Managed Identities'!$C$2:$C$201,$A82)&gt;0,"Yes","NOT IN INVENTORY"))</f>
        <v/>
      </c>
    </row>
    <row r="83" customFormat="false" ht="15" hidden="false" customHeight="false" outlineLevel="0" collapsed="false">
      <c r="A83" s="46"/>
      <c r="B83" s="47"/>
      <c r="C83" s="47"/>
      <c r="D83" s="46"/>
      <c r="E83" s="47"/>
      <c r="F83" s="47"/>
      <c r="G83" s="47"/>
      <c r="H83" s="46"/>
      <c r="I83" s="47"/>
      <c r="J83" s="47"/>
      <c r="K83" s="47"/>
      <c r="L83" s="47"/>
      <c r="M83" s="47"/>
      <c r="N83" s="47"/>
      <c r="O83" s="47"/>
      <c r="P83" s="45" t="str">
        <f aca="false">IF($A83="","",IF(COUNTIF(Accounts!$C$2:$C$201,$A83)+COUNTIF('Service Principals'!$C$2:$C$201,$A83)+COUNTIF('Managed Identities'!$C$2:$C$201,$A83)&gt;0,"Yes","NOT IN INVENTORY"))</f>
        <v/>
      </c>
    </row>
    <row r="84" customFormat="false" ht="15" hidden="false" customHeight="false" outlineLevel="0" collapsed="false">
      <c r="A84" s="46"/>
      <c r="B84" s="47"/>
      <c r="C84" s="47"/>
      <c r="D84" s="46"/>
      <c r="E84" s="47"/>
      <c r="F84" s="47"/>
      <c r="G84" s="47"/>
      <c r="H84" s="46"/>
      <c r="I84" s="47"/>
      <c r="J84" s="47"/>
      <c r="K84" s="47"/>
      <c r="L84" s="47"/>
      <c r="M84" s="47"/>
      <c r="N84" s="47"/>
      <c r="O84" s="47"/>
      <c r="P84" s="45" t="str">
        <f aca="false">IF($A84="","",IF(COUNTIF(Accounts!$C$2:$C$201,$A84)+COUNTIF('Service Principals'!$C$2:$C$201,$A84)+COUNTIF('Managed Identities'!$C$2:$C$201,$A84)&gt;0,"Yes","NOT IN INVENTORY"))</f>
        <v/>
      </c>
    </row>
    <row r="85" customFormat="false" ht="15" hidden="false" customHeight="false" outlineLevel="0" collapsed="false">
      <c r="A85" s="46"/>
      <c r="B85" s="47"/>
      <c r="C85" s="47"/>
      <c r="D85" s="46"/>
      <c r="E85" s="47"/>
      <c r="F85" s="47"/>
      <c r="G85" s="47"/>
      <c r="H85" s="46"/>
      <c r="I85" s="47"/>
      <c r="J85" s="47"/>
      <c r="K85" s="47"/>
      <c r="L85" s="47"/>
      <c r="M85" s="47"/>
      <c r="N85" s="47"/>
      <c r="O85" s="47"/>
      <c r="P85" s="45" t="str">
        <f aca="false">IF($A85="","",IF(COUNTIF(Accounts!$C$2:$C$201,$A85)+COUNTIF('Service Principals'!$C$2:$C$201,$A85)+COUNTIF('Managed Identities'!$C$2:$C$201,$A85)&gt;0,"Yes","NOT IN INVENTORY"))</f>
        <v/>
      </c>
    </row>
    <row r="86" customFormat="false" ht="15" hidden="false" customHeight="false" outlineLevel="0" collapsed="false">
      <c r="A86" s="46"/>
      <c r="B86" s="47"/>
      <c r="C86" s="47"/>
      <c r="D86" s="46"/>
      <c r="E86" s="47"/>
      <c r="F86" s="47"/>
      <c r="G86" s="47"/>
      <c r="H86" s="46"/>
      <c r="I86" s="47"/>
      <c r="J86" s="47"/>
      <c r="K86" s="47"/>
      <c r="L86" s="47"/>
      <c r="M86" s="47"/>
      <c r="N86" s="47"/>
      <c r="O86" s="47"/>
      <c r="P86" s="45" t="str">
        <f aca="false">IF($A86="","",IF(COUNTIF(Accounts!$C$2:$C$201,$A86)+COUNTIF('Service Principals'!$C$2:$C$201,$A86)+COUNTIF('Managed Identities'!$C$2:$C$201,$A86)&gt;0,"Yes","NOT IN INVENTORY"))</f>
        <v/>
      </c>
    </row>
    <row r="87" customFormat="false" ht="15" hidden="false" customHeight="false" outlineLevel="0" collapsed="false">
      <c r="A87" s="46"/>
      <c r="B87" s="47"/>
      <c r="C87" s="47"/>
      <c r="D87" s="46"/>
      <c r="E87" s="47"/>
      <c r="F87" s="47"/>
      <c r="G87" s="47"/>
      <c r="H87" s="46"/>
      <c r="I87" s="47"/>
      <c r="J87" s="47"/>
      <c r="K87" s="47"/>
      <c r="L87" s="47"/>
      <c r="M87" s="47"/>
      <c r="N87" s="47"/>
      <c r="O87" s="47"/>
      <c r="P87" s="45" t="str">
        <f aca="false">IF($A87="","",IF(COUNTIF(Accounts!$C$2:$C$201,$A87)+COUNTIF('Service Principals'!$C$2:$C$201,$A87)+COUNTIF('Managed Identities'!$C$2:$C$201,$A87)&gt;0,"Yes","NOT IN INVENTORY"))</f>
        <v/>
      </c>
    </row>
    <row r="88" customFormat="false" ht="15" hidden="false" customHeight="false" outlineLevel="0" collapsed="false">
      <c r="A88" s="46"/>
      <c r="B88" s="47"/>
      <c r="C88" s="47"/>
      <c r="D88" s="46"/>
      <c r="E88" s="47"/>
      <c r="F88" s="47"/>
      <c r="G88" s="47"/>
      <c r="H88" s="46"/>
      <c r="I88" s="47"/>
      <c r="J88" s="47"/>
      <c r="K88" s="47"/>
      <c r="L88" s="47"/>
      <c r="M88" s="47"/>
      <c r="N88" s="47"/>
      <c r="O88" s="47"/>
      <c r="P88" s="45" t="str">
        <f aca="false">IF($A88="","",IF(COUNTIF(Accounts!$C$2:$C$201,$A88)+COUNTIF('Service Principals'!$C$2:$C$201,$A88)+COUNTIF('Managed Identities'!$C$2:$C$201,$A88)&gt;0,"Yes","NOT IN INVENTORY"))</f>
        <v/>
      </c>
    </row>
    <row r="89" customFormat="false" ht="15" hidden="false" customHeight="false" outlineLevel="0" collapsed="false">
      <c r="A89" s="46"/>
      <c r="B89" s="47"/>
      <c r="C89" s="47"/>
      <c r="D89" s="46"/>
      <c r="E89" s="47"/>
      <c r="F89" s="47"/>
      <c r="G89" s="47"/>
      <c r="H89" s="46"/>
      <c r="I89" s="47"/>
      <c r="J89" s="47"/>
      <c r="K89" s="47"/>
      <c r="L89" s="47"/>
      <c r="M89" s="47"/>
      <c r="N89" s="47"/>
      <c r="O89" s="47"/>
      <c r="P89" s="45" t="str">
        <f aca="false">IF($A89="","",IF(COUNTIF(Accounts!$C$2:$C$201,$A89)+COUNTIF('Service Principals'!$C$2:$C$201,$A89)+COUNTIF('Managed Identities'!$C$2:$C$201,$A89)&gt;0,"Yes","NOT IN INVENTORY"))</f>
        <v/>
      </c>
    </row>
    <row r="90" customFormat="false" ht="15" hidden="false" customHeight="false" outlineLevel="0" collapsed="false">
      <c r="A90" s="46"/>
      <c r="B90" s="47"/>
      <c r="C90" s="47"/>
      <c r="D90" s="46"/>
      <c r="E90" s="47"/>
      <c r="F90" s="47"/>
      <c r="G90" s="47"/>
      <c r="H90" s="46"/>
      <c r="I90" s="47"/>
      <c r="J90" s="47"/>
      <c r="K90" s="47"/>
      <c r="L90" s="47"/>
      <c r="M90" s="47"/>
      <c r="N90" s="47"/>
      <c r="O90" s="47"/>
      <c r="P90" s="45" t="str">
        <f aca="false">IF($A90="","",IF(COUNTIF(Accounts!$C$2:$C$201,$A90)+COUNTIF('Service Principals'!$C$2:$C$201,$A90)+COUNTIF('Managed Identities'!$C$2:$C$201,$A90)&gt;0,"Yes","NOT IN INVENTORY"))</f>
        <v/>
      </c>
    </row>
    <row r="91" customFormat="false" ht="15" hidden="false" customHeight="false" outlineLevel="0" collapsed="false">
      <c r="A91" s="46"/>
      <c r="B91" s="47"/>
      <c r="C91" s="47"/>
      <c r="D91" s="46"/>
      <c r="E91" s="47"/>
      <c r="F91" s="47"/>
      <c r="G91" s="47"/>
      <c r="H91" s="46"/>
      <c r="I91" s="47"/>
      <c r="J91" s="47"/>
      <c r="K91" s="47"/>
      <c r="L91" s="47"/>
      <c r="M91" s="47"/>
      <c r="N91" s="47"/>
      <c r="O91" s="47"/>
      <c r="P91" s="45" t="str">
        <f aca="false">IF($A91="","",IF(COUNTIF(Accounts!$C$2:$C$201,$A91)+COUNTIF('Service Principals'!$C$2:$C$201,$A91)+COUNTIF('Managed Identities'!$C$2:$C$201,$A91)&gt;0,"Yes","NOT IN INVENTORY"))</f>
        <v/>
      </c>
    </row>
    <row r="92" customFormat="false" ht="15" hidden="false" customHeight="false" outlineLevel="0" collapsed="false">
      <c r="A92" s="46"/>
      <c r="B92" s="47"/>
      <c r="C92" s="47"/>
      <c r="D92" s="46"/>
      <c r="E92" s="47"/>
      <c r="F92" s="47"/>
      <c r="G92" s="47"/>
      <c r="H92" s="46"/>
      <c r="I92" s="47"/>
      <c r="J92" s="47"/>
      <c r="K92" s="47"/>
      <c r="L92" s="47"/>
      <c r="M92" s="47"/>
      <c r="N92" s="47"/>
      <c r="O92" s="47"/>
      <c r="P92" s="45" t="str">
        <f aca="false">IF($A92="","",IF(COUNTIF(Accounts!$C$2:$C$201,$A92)+COUNTIF('Service Principals'!$C$2:$C$201,$A92)+COUNTIF('Managed Identities'!$C$2:$C$201,$A92)&gt;0,"Yes","NOT IN INVENTORY"))</f>
        <v/>
      </c>
    </row>
    <row r="93" customFormat="false" ht="15" hidden="false" customHeight="false" outlineLevel="0" collapsed="false">
      <c r="A93" s="46"/>
      <c r="B93" s="47"/>
      <c r="C93" s="47"/>
      <c r="D93" s="46"/>
      <c r="E93" s="47"/>
      <c r="F93" s="47"/>
      <c r="G93" s="47"/>
      <c r="H93" s="46"/>
      <c r="I93" s="47"/>
      <c r="J93" s="47"/>
      <c r="K93" s="47"/>
      <c r="L93" s="47"/>
      <c r="M93" s="47"/>
      <c r="N93" s="47"/>
      <c r="O93" s="47"/>
      <c r="P93" s="45" t="str">
        <f aca="false">IF($A93="","",IF(COUNTIF(Accounts!$C$2:$C$201,$A93)+COUNTIF('Service Principals'!$C$2:$C$201,$A93)+COUNTIF('Managed Identities'!$C$2:$C$201,$A93)&gt;0,"Yes","NOT IN INVENTORY"))</f>
        <v/>
      </c>
    </row>
    <row r="94" customFormat="false" ht="15" hidden="false" customHeight="false" outlineLevel="0" collapsed="false">
      <c r="A94" s="46"/>
      <c r="B94" s="47"/>
      <c r="C94" s="47"/>
      <c r="D94" s="46"/>
      <c r="E94" s="47"/>
      <c r="F94" s="47"/>
      <c r="G94" s="47"/>
      <c r="H94" s="46"/>
      <c r="I94" s="47"/>
      <c r="J94" s="47"/>
      <c r="K94" s="47"/>
      <c r="L94" s="47"/>
      <c r="M94" s="47"/>
      <c r="N94" s="47"/>
      <c r="O94" s="47"/>
      <c r="P94" s="45" t="str">
        <f aca="false">IF($A94="","",IF(COUNTIF(Accounts!$C$2:$C$201,$A94)+COUNTIF('Service Principals'!$C$2:$C$201,$A94)+COUNTIF('Managed Identities'!$C$2:$C$201,$A94)&gt;0,"Yes","NOT IN INVENTORY"))</f>
        <v/>
      </c>
    </row>
    <row r="95" customFormat="false" ht="15" hidden="false" customHeight="false" outlineLevel="0" collapsed="false">
      <c r="A95" s="46"/>
      <c r="B95" s="47"/>
      <c r="C95" s="47"/>
      <c r="D95" s="46"/>
      <c r="E95" s="47"/>
      <c r="F95" s="47"/>
      <c r="G95" s="47"/>
      <c r="H95" s="46"/>
      <c r="I95" s="47"/>
      <c r="J95" s="47"/>
      <c r="K95" s="47"/>
      <c r="L95" s="47"/>
      <c r="M95" s="47"/>
      <c r="N95" s="47"/>
      <c r="O95" s="47"/>
      <c r="P95" s="45" t="str">
        <f aca="false">IF($A95="","",IF(COUNTIF(Accounts!$C$2:$C$201,$A95)+COUNTIF('Service Principals'!$C$2:$C$201,$A95)+COUNTIF('Managed Identities'!$C$2:$C$201,$A95)&gt;0,"Yes","NOT IN INVENTORY"))</f>
        <v/>
      </c>
    </row>
    <row r="96" customFormat="false" ht="15" hidden="false" customHeight="false" outlineLevel="0" collapsed="false">
      <c r="A96" s="46"/>
      <c r="B96" s="47"/>
      <c r="C96" s="47"/>
      <c r="D96" s="46"/>
      <c r="E96" s="47"/>
      <c r="F96" s="47"/>
      <c r="G96" s="47"/>
      <c r="H96" s="46"/>
      <c r="I96" s="47"/>
      <c r="J96" s="47"/>
      <c r="K96" s="47"/>
      <c r="L96" s="47"/>
      <c r="M96" s="47"/>
      <c r="N96" s="47"/>
      <c r="O96" s="47"/>
      <c r="P96" s="45" t="str">
        <f aca="false">IF($A96="","",IF(COUNTIF(Accounts!$C$2:$C$201,$A96)+COUNTIF('Service Principals'!$C$2:$C$201,$A96)+COUNTIF('Managed Identities'!$C$2:$C$201,$A96)&gt;0,"Yes","NOT IN INVENTORY"))</f>
        <v/>
      </c>
    </row>
    <row r="97" customFormat="false" ht="15" hidden="false" customHeight="false" outlineLevel="0" collapsed="false">
      <c r="A97" s="46"/>
      <c r="B97" s="47"/>
      <c r="C97" s="47"/>
      <c r="D97" s="46"/>
      <c r="E97" s="47"/>
      <c r="F97" s="47"/>
      <c r="G97" s="47"/>
      <c r="H97" s="46"/>
      <c r="I97" s="47"/>
      <c r="J97" s="47"/>
      <c r="K97" s="47"/>
      <c r="L97" s="47"/>
      <c r="M97" s="47"/>
      <c r="N97" s="47"/>
      <c r="O97" s="47"/>
      <c r="P97" s="45" t="str">
        <f aca="false">IF($A97="","",IF(COUNTIF(Accounts!$C$2:$C$201,$A97)+COUNTIF('Service Principals'!$C$2:$C$201,$A97)+COUNTIF('Managed Identities'!$C$2:$C$201,$A97)&gt;0,"Yes","NOT IN INVENTORY"))</f>
        <v/>
      </c>
    </row>
    <row r="98" customFormat="false" ht="15" hidden="false" customHeight="false" outlineLevel="0" collapsed="false">
      <c r="A98" s="46"/>
      <c r="B98" s="47"/>
      <c r="C98" s="47"/>
      <c r="D98" s="46"/>
      <c r="E98" s="47"/>
      <c r="F98" s="47"/>
      <c r="G98" s="47"/>
      <c r="H98" s="46"/>
      <c r="I98" s="47"/>
      <c r="J98" s="47"/>
      <c r="K98" s="47"/>
      <c r="L98" s="47"/>
      <c r="M98" s="47"/>
      <c r="N98" s="47"/>
      <c r="O98" s="47"/>
      <c r="P98" s="45" t="str">
        <f aca="false">IF($A98="","",IF(COUNTIF(Accounts!$C$2:$C$201,$A98)+COUNTIF('Service Principals'!$C$2:$C$201,$A98)+COUNTIF('Managed Identities'!$C$2:$C$201,$A98)&gt;0,"Yes","NOT IN INVENTORY"))</f>
        <v/>
      </c>
    </row>
    <row r="99" customFormat="false" ht="15" hidden="false" customHeight="false" outlineLevel="0" collapsed="false">
      <c r="A99" s="46"/>
      <c r="B99" s="47"/>
      <c r="C99" s="47"/>
      <c r="D99" s="46"/>
      <c r="E99" s="47"/>
      <c r="F99" s="47"/>
      <c r="G99" s="47"/>
      <c r="H99" s="46"/>
      <c r="I99" s="47"/>
      <c r="J99" s="47"/>
      <c r="K99" s="47"/>
      <c r="L99" s="47"/>
      <c r="M99" s="47"/>
      <c r="N99" s="47"/>
      <c r="O99" s="47"/>
      <c r="P99" s="45" t="str">
        <f aca="false">IF($A99="","",IF(COUNTIF(Accounts!$C$2:$C$201,$A99)+COUNTIF('Service Principals'!$C$2:$C$201,$A99)+COUNTIF('Managed Identities'!$C$2:$C$201,$A99)&gt;0,"Yes","NOT IN INVENTORY"))</f>
        <v/>
      </c>
    </row>
    <row r="100" customFormat="false" ht="15" hidden="false" customHeight="false" outlineLevel="0" collapsed="false">
      <c r="A100" s="46"/>
      <c r="B100" s="47"/>
      <c r="C100" s="47"/>
      <c r="D100" s="46"/>
      <c r="E100" s="47"/>
      <c r="F100" s="47"/>
      <c r="G100" s="47"/>
      <c r="H100" s="46"/>
      <c r="I100" s="47"/>
      <c r="J100" s="47"/>
      <c r="K100" s="47"/>
      <c r="L100" s="47"/>
      <c r="M100" s="47"/>
      <c r="N100" s="47"/>
      <c r="O100" s="47"/>
      <c r="P100" s="45" t="str">
        <f aca="false">IF($A100="","",IF(COUNTIF(Accounts!$C$2:$C$201,$A100)+COUNTIF('Service Principals'!$C$2:$C$201,$A100)+COUNTIF('Managed Identities'!$C$2:$C$201,$A100)&gt;0,"Yes","NOT IN INVENTORY"))</f>
        <v/>
      </c>
    </row>
    <row r="101" customFormat="false" ht="15" hidden="false" customHeight="false" outlineLevel="0" collapsed="false">
      <c r="A101" s="46"/>
      <c r="B101" s="47"/>
      <c r="C101" s="47"/>
      <c r="D101" s="46"/>
      <c r="E101" s="47"/>
      <c r="F101" s="47"/>
      <c r="G101" s="47"/>
      <c r="H101" s="46"/>
      <c r="I101" s="47"/>
      <c r="J101" s="47"/>
      <c r="K101" s="47"/>
      <c r="L101" s="47"/>
      <c r="M101" s="47"/>
      <c r="N101" s="47"/>
      <c r="O101" s="47"/>
      <c r="P101" s="45" t="str">
        <f aca="false">IF($A101="","",IF(COUNTIF(Accounts!$C$2:$C$201,$A101)+COUNTIF('Service Principals'!$C$2:$C$201,$A101)+COUNTIF('Managed Identities'!$C$2:$C$201,$A101)&gt;0,"Yes","NOT IN INVENTORY"))</f>
        <v/>
      </c>
    </row>
    <row r="102" customFormat="false" ht="15" hidden="false" customHeight="false" outlineLevel="0" collapsed="false">
      <c r="A102" s="46"/>
      <c r="B102" s="47"/>
      <c r="C102" s="47"/>
      <c r="D102" s="46"/>
      <c r="E102" s="47"/>
      <c r="F102" s="47"/>
      <c r="G102" s="47"/>
      <c r="H102" s="46"/>
      <c r="I102" s="47"/>
      <c r="J102" s="47"/>
      <c r="K102" s="47"/>
      <c r="L102" s="47"/>
      <c r="M102" s="47"/>
      <c r="N102" s="47"/>
      <c r="O102" s="47"/>
      <c r="P102" s="45" t="str">
        <f aca="false">IF($A102="","",IF(COUNTIF(Accounts!$C$2:$C$201,$A102)+COUNTIF('Service Principals'!$C$2:$C$201,$A102)+COUNTIF('Managed Identities'!$C$2:$C$201,$A102)&gt;0,"Yes","NOT IN INVENTORY"))</f>
        <v/>
      </c>
    </row>
    <row r="103" customFormat="false" ht="15" hidden="false" customHeight="false" outlineLevel="0" collapsed="false">
      <c r="A103" s="46"/>
      <c r="B103" s="47"/>
      <c r="C103" s="47"/>
      <c r="D103" s="46"/>
      <c r="E103" s="47"/>
      <c r="F103" s="47"/>
      <c r="G103" s="47"/>
      <c r="H103" s="46"/>
      <c r="I103" s="47"/>
      <c r="J103" s="47"/>
      <c r="K103" s="47"/>
      <c r="L103" s="47"/>
      <c r="M103" s="47"/>
      <c r="N103" s="47"/>
      <c r="O103" s="47"/>
      <c r="P103" s="45" t="str">
        <f aca="false">IF($A103="","",IF(COUNTIF(Accounts!$C$2:$C$201,$A103)+COUNTIF('Service Principals'!$C$2:$C$201,$A103)+COUNTIF('Managed Identities'!$C$2:$C$201,$A103)&gt;0,"Yes","NOT IN INVENTORY"))</f>
        <v/>
      </c>
    </row>
    <row r="104" customFormat="false" ht="15" hidden="false" customHeight="false" outlineLevel="0" collapsed="false">
      <c r="A104" s="46"/>
      <c r="B104" s="47"/>
      <c r="C104" s="47"/>
      <c r="D104" s="46"/>
      <c r="E104" s="47"/>
      <c r="F104" s="47"/>
      <c r="G104" s="47"/>
      <c r="H104" s="46"/>
      <c r="I104" s="47"/>
      <c r="J104" s="47"/>
      <c r="K104" s="47"/>
      <c r="L104" s="47"/>
      <c r="M104" s="47"/>
      <c r="N104" s="47"/>
      <c r="O104" s="47"/>
      <c r="P104" s="45" t="str">
        <f aca="false">IF($A104="","",IF(COUNTIF(Accounts!$C$2:$C$201,$A104)+COUNTIF('Service Principals'!$C$2:$C$201,$A104)+COUNTIF('Managed Identities'!$C$2:$C$201,$A104)&gt;0,"Yes","NOT IN INVENTORY"))</f>
        <v/>
      </c>
    </row>
    <row r="105" customFormat="false" ht="15" hidden="false" customHeight="false" outlineLevel="0" collapsed="false">
      <c r="A105" s="46"/>
      <c r="B105" s="47"/>
      <c r="C105" s="47"/>
      <c r="D105" s="46"/>
      <c r="E105" s="47"/>
      <c r="F105" s="47"/>
      <c r="G105" s="47"/>
      <c r="H105" s="46"/>
      <c r="I105" s="47"/>
      <c r="J105" s="47"/>
      <c r="K105" s="47"/>
      <c r="L105" s="47"/>
      <c r="M105" s="47"/>
      <c r="N105" s="47"/>
      <c r="O105" s="47"/>
      <c r="P105" s="45" t="str">
        <f aca="false">IF($A105="","",IF(COUNTIF(Accounts!$C$2:$C$201,$A105)+COUNTIF('Service Principals'!$C$2:$C$201,$A105)+COUNTIF('Managed Identities'!$C$2:$C$201,$A105)&gt;0,"Yes","NOT IN INVENTORY"))</f>
        <v/>
      </c>
    </row>
    <row r="106" customFormat="false" ht="15" hidden="false" customHeight="false" outlineLevel="0" collapsed="false">
      <c r="A106" s="46"/>
      <c r="B106" s="47"/>
      <c r="C106" s="47"/>
      <c r="D106" s="46"/>
      <c r="E106" s="47"/>
      <c r="F106" s="47"/>
      <c r="G106" s="47"/>
      <c r="H106" s="46"/>
      <c r="I106" s="47"/>
      <c r="J106" s="47"/>
      <c r="K106" s="47"/>
      <c r="L106" s="47"/>
      <c r="M106" s="47"/>
      <c r="N106" s="47"/>
      <c r="O106" s="47"/>
      <c r="P106" s="45" t="str">
        <f aca="false">IF($A106="","",IF(COUNTIF(Accounts!$C$2:$C$201,$A106)+COUNTIF('Service Principals'!$C$2:$C$201,$A106)+COUNTIF('Managed Identities'!$C$2:$C$201,$A106)&gt;0,"Yes","NOT IN INVENTORY"))</f>
        <v/>
      </c>
    </row>
    <row r="107" customFormat="false" ht="15" hidden="false" customHeight="false" outlineLevel="0" collapsed="false">
      <c r="A107" s="46"/>
      <c r="B107" s="47"/>
      <c r="C107" s="47"/>
      <c r="D107" s="46"/>
      <c r="E107" s="47"/>
      <c r="F107" s="47"/>
      <c r="G107" s="47"/>
      <c r="H107" s="46"/>
      <c r="I107" s="47"/>
      <c r="J107" s="47"/>
      <c r="K107" s="47"/>
      <c r="L107" s="47"/>
      <c r="M107" s="47"/>
      <c r="N107" s="47"/>
      <c r="O107" s="47"/>
      <c r="P107" s="45" t="str">
        <f aca="false">IF($A107="","",IF(COUNTIF(Accounts!$C$2:$C$201,$A107)+COUNTIF('Service Principals'!$C$2:$C$201,$A107)+COUNTIF('Managed Identities'!$C$2:$C$201,$A107)&gt;0,"Yes","NOT IN INVENTORY"))</f>
        <v/>
      </c>
    </row>
    <row r="108" customFormat="false" ht="15" hidden="false" customHeight="false" outlineLevel="0" collapsed="false">
      <c r="A108" s="46"/>
      <c r="B108" s="47"/>
      <c r="C108" s="47"/>
      <c r="D108" s="46"/>
      <c r="E108" s="47"/>
      <c r="F108" s="47"/>
      <c r="G108" s="47"/>
      <c r="H108" s="46"/>
      <c r="I108" s="47"/>
      <c r="J108" s="47"/>
      <c r="K108" s="47"/>
      <c r="L108" s="47"/>
      <c r="M108" s="47"/>
      <c r="N108" s="47"/>
      <c r="O108" s="47"/>
      <c r="P108" s="45" t="str">
        <f aca="false">IF($A108="","",IF(COUNTIF(Accounts!$C$2:$C$201,$A108)+COUNTIF('Service Principals'!$C$2:$C$201,$A108)+COUNTIF('Managed Identities'!$C$2:$C$201,$A108)&gt;0,"Yes","NOT IN INVENTORY"))</f>
        <v/>
      </c>
    </row>
    <row r="109" customFormat="false" ht="15" hidden="false" customHeight="false" outlineLevel="0" collapsed="false">
      <c r="A109" s="46"/>
      <c r="B109" s="47"/>
      <c r="C109" s="47"/>
      <c r="D109" s="46"/>
      <c r="E109" s="47"/>
      <c r="F109" s="47"/>
      <c r="G109" s="47"/>
      <c r="H109" s="46"/>
      <c r="I109" s="47"/>
      <c r="J109" s="47"/>
      <c r="K109" s="47"/>
      <c r="L109" s="47"/>
      <c r="M109" s="47"/>
      <c r="N109" s="47"/>
      <c r="O109" s="47"/>
      <c r="P109" s="45" t="str">
        <f aca="false">IF($A109="","",IF(COUNTIF(Accounts!$C$2:$C$201,$A109)+COUNTIF('Service Principals'!$C$2:$C$201,$A109)+COUNTIF('Managed Identities'!$C$2:$C$201,$A109)&gt;0,"Yes","NOT IN INVENTORY"))</f>
        <v/>
      </c>
    </row>
    <row r="110" customFormat="false" ht="15" hidden="false" customHeight="false" outlineLevel="0" collapsed="false">
      <c r="A110" s="46"/>
      <c r="B110" s="47"/>
      <c r="C110" s="47"/>
      <c r="D110" s="46"/>
      <c r="E110" s="47"/>
      <c r="F110" s="47"/>
      <c r="G110" s="47"/>
      <c r="H110" s="46"/>
      <c r="I110" s="47"/>
      <c r="J110" s="47"/>
      <c r="K110" s="47"/>
      <c r="L110" s="47"/>
      <c r="M110" s="47"/>
      <c r="N110" s="47"/>
      <c r="O110" s="47"/>
      <c r="P110" s="45" t="str">
        <f aca="false">IF($A110="","",IF(COUNTIF(Accounts!$C$2:$C$201,$A110)+COUNTIF('Service Principals'!$C$2:$C$201,$A110)+COUNTIF('Managed Identities'!$C$2:$C$201,$A110)&gt;0,"Yes","NOT IN INVENTORY"))</f>
        <v/>
      </c>
    </row>
    <row r="111" customFormat="false" ht="15" hidden="false" customHeight="false" outlineLevel="0" collapsed="false">
      <c r="A111" s="46"/>
      <c r="B111" s="47"/>
      <c r="C111" s="47"/>
      <c r="D111" s="46"/>
      <c r="E111" s="47"/>
      <c r="F111" s="47"/>
      <c r="G111" s="47"/>
      <c r="H111" s="46"/>
      <c r="I111" s="47"/>
      <c r="J111" s="47"/>
      <c r="K111" s="47"/>
      <c r="L111" s="47"/>
      <c r="M111" s="47"/>
      <c r="N111" s="47"/>
      <c r="O111" s="47"/>
      <c r="P111" s="45" t="str">
        <f aca="false">IF($A111="","",IF(COUNTIF(Accounts!$C$2:$C$201,$A111)+COUNTIF('Service Principals'!$C$2:$C$201,$A111)+COUNTIF('Managed Identities'!$C$2:$C$201,$A111)&gt;0,"Yes","NOT IN INVENTORY"))</f>
        <v/>
      </c>
    </row>
    <row r="112" customFormat="false" ht="15" hidden="false" customHeight="false" outlineLevel="0" collapsed="false">
      <c r="A112" s="46"/>
      <c r="B112" s="47"/>
      <c r="C112" s="47"/>
      <c r="D112" s="46"/>
      <c r="E112" s="47"/>
      <c r="F112" s="47"/>
      <c r="G112" s="47"/>
      <c r="H112" s="46"/>
      <c r="I112" s="47"/>
      <c r="J112" s="47"/>
      <c r="K112" s="47"/>
      <c r="L112" s="47"/>
      <c r="M112" s="47"/>
      <c r="N112" s="47"/>
      <c r="O112" s="47"/>
      <c r="P112" s="45" t="str">
        <f aca="false">IF($A112="","",IF(COUNTIF(Accounts!$C$2:$C$201,$A112)+COUNTIF('Service Principals'!$C$2:$C$201,$A112)+COUNTIF('Managed Identities'!$C$2:$C$201,$A112)&gt;0,"Yes","NOT IN INVENTORY"))</f>
        <v/>
      </c>
    </row>
    <row r="113" customFormat="false" ht="15" hidden="false" customHeight="false" outlineLevel="0" collapsed="false">
      <c r="A113" s="46"/>
      <c r="B113" s="47"/>
      <c r="C113" s="47"/>
      <c r="D113" s="46"/>
      <c r="E113" s="47"/>
      <c r="F113" s="47"/>
      <c r="G113" s="47"/>
      <c r="H113" s="46"/>
      <c r="I113" s="47"/>
      <c r="J113" s="47"/>
      <c r="K113" s="47"/>
      <c r="L113" s="47"/>
      <c r="M113" s="47"/>
      <c r="N113" s="47"/>
      <c r="O113" s="47"/>
      <c r="P113" s="45" t="str">
        <f aca="false">IF($A113="","",IF(COUNTIF(Accounts!$C$2:$C$201,$A113)+COUNTIF('Service Principals'!$C$2:$C$201,$A113)+COUNTIF('Managed Identities'!$C$2:$C$201,$A113)&gt;0,"Yes","NOT IN INVENTORY"))</f>
        <v/>
      </c>
    </row>
    <row r="114" customFormat="false" ht="15" hidden="false" customHeight="false" outlineLevel="0" collapsed="false">
      <c r="A114" s="46"/>
      <c r="B114" s="47"/>
      <c r="C114" s="47"/>
      <c r="D114" s="46"/>
      <c r="E114" s="47"/>
      <c r="F114" s="47"/>
      <c r="G114" s="47"/>
      <c r="H114" s="46"/>
      <c r="I114" s="47"/>
      <c r="J114" s="47"/>
      <c r="K114" s="47"/>
      <c r="L114" s="47"/>
      <c r="M114" s="47"/>
      <c r="N114" s="47"/>
      <c r="O114" s="47"/>
      <c r="P114" s="45" t="str">
        <f aca="false">IF($A114="","",IF(COUNTIF(Accounts!$C$2:$C$201,$A114)+COUNTIF('Service Principals'!$C$2:$C$201,$A114)+COUNTIF('Managed Identities'!$C$2:$C$201,$A114)&gt;0,"Yes","NOT IN INVENTORY"))</f>
        <v/>
      </c>
    </row>
    <row r="115" customFormat="false" ht="15" hidden="false" customHeight="false" outlineLevel="0" collapsed="false">
      <c r="A115" s="46"/>
      <c r="B115" s="47"/>
      <c r="C115" s="47"/>
      <c r="D115" s="46"/>
      <c r="E115" s="47"/>
      <c r="F115" s="47"/>
      <c r="G115" s="47"/>
      <c r="H115" s="46"/>
      <c r="I115" s="47"/>
      <c r="J115" s="47"/>
      <c r="K115" s="47"/>
      <c r="L115" s="47"/>
      <c r="M115" s="47"/>
      <c r="N115" s="47"/>
      <c r="O115" s="47"/>
      <c r="P115" s="45" t="str">
        <f aca="false">IF($A115="","",IF(COUNTIF(Accounts!$C$2:$C$201,$A115)+COUNTIF('Service Principals'!$C$2:$C$201,$A115)+COUNTIF('Managed Identities'!$C$2:$C$201,$A115)&gt;0,"Yes","NOT IN INVENTORY"))</f>
        <v/>
      </c>
    </row>
    <row r="116" customFormat="false" ht="15" hidden="false" customHeight="false" outlineLevel="0" collapsed="false">
      <c r="A116" s="46"/>
      <c r="B116" s="47"/>
      <c r="C116" s="47"/>
      <c r="D116" s="46"/>
      <c r="E116" s="47"/>
      <c r="F116" s="47"/>
      <c r="G116" s="47"/>
      <c r="H116" s="46"/>
      <c r="I116" s="47"/>
      <c r="J116" s="47"/>
      <c r="K116" s="47"/>
      <c r="L116" s="47"/>
      <c r="M116" s="47"/>
      <c r="N116" s="47"/>
      <c r="O116" s="47"/>
      <c r="P116" s="45" t="str">
        <f aca="false">IF($A116="","",IF(COUNTIF(Accounts!$C$2:$C$201,$A116)+COUNTIF('Service Principals'!$C$2:$C$201,$A116)+COUNTIF('Managed Identities'!$C$2:$C$201,$A116)&gt;0,"Yes","NOT IN INVENTORY"))</f>
        <v/>
      </c>
    </row>
    <row r="117" customFormat="false" ht="15" hidden="false" customHeight="false" outlineLevel="0" collapsed="false">
      <c r="A117" s="46"/>
      <c r="B117" s="47"/>
      <c r="C117" s="47"/>
      <c r="D117" s="46"/>
      <c r="E117" s="47"/>
      <c r="F117" s="47"/>
      <c r="G117" s="47"/>
      <c r="H117" s="46"/>
      <c r="I117" s="47"/>
      <c r="J117" s="47"/>
      <c r="K117" s="47"/>
      <c r="L117" s="47"/>
      <c r="M117" s="47"/>
      <c r="N117" s="47"/>
      <c r="O117" s="47"/>
      <c r="P117" s="45" t="str">
        <f aca="false">IF($A117="","",IF(COUNTIF(Accounts!$C$2:$C$201,$A117)+COUNTIF('Service Principals'!$C$2:$C$201,$A117)+COUNTIF('Managed Identities'!$C$2:$C$201,$A117)&gt;0,"Yes","NOT IN INVENTORY"))</f>
        <v/>
      </c>
    </row>
    <row r="118" customFormat="false" ht="15" hidden="false" customHeight="false" outlineLevel="0" collapsed="false">
      <c r="A118" s="46"/>
      <c r="B118" s="47"/>
      <c r="C118" s="47"/>
      <c r="D118" s="46"/>
      <c r="E118" s="47"/>
      <c r="F118" s="47"/>
      <c r="G118" s="47"/>
      <c r="H118" s="46"/>
      <c r="I118" s="47"/>
      <c r="J118" s="47"/>
      <c r="K118" s="47"/>
      <c r="L118" s="47"/>
      <c r="M118" s="47"/>
      <c r="N118" s="47"/>
      <c r="O118" s="47"/>
      <c r="P118" s="45" t="str">
        <f aca="false">IF($A118="","",IF(COUNTIF(Accounts!$C$2:$C$201,$A118)+COUNTIF('Service Principals'!$C$2:$C$201,$A118)+COUNTIF('Managed Identities'!$C$2:$C$201,$A118)&gt;0,"Yes","NOT IN INVENTORY"))</f>
        <v/>
      </c>
    </row>
    <row r="119" customFormat="false" ht="15" hidden="false" customHeight="false" outlineLevel="0" collapsed="false">
      <c r="A119" s="46"/>
      <c r="B119" s="47"/>
      <c r="C119" s="47"/>
      <c r="D119" s="46"/>
      <c r="E119" s="47"/>
      <c r="F119" s="47"/>
      <c r="G119" s="47"/>
      <c r="H119" s="46"/>
      <c r="I119" s="47"/>
      <c r="J119" s="47"/>
      <c r="K119" s="47"/>
      <c r="L119" s="47"/>
      <c r="M119" s="47"/>
      <c r="N119" s="47"/>
      <c r="O119" s="47"/>
      <c r="P119" s="45" t="str">
        <f aca="false">IF($A119="","",IF(COUNTIF(Accounts!$C$2:$C$201,$A119)+COUNTIF('Service Principals'!$C$2:$C$201,$A119)+COUNTIF('Managed Identities'!$C$2:$C$201,$A119)&gt;0,"Yes","NOT IN INVENTORY"))</f>
        <v/>
      </c>
    </row>
    <row r="120" customFormat="false" ht="15" hidden="false" customHeight="false" outlineLevel="0" collapsed="false">
      <c r="A120" s="46"/>
      <c r="B120" s="47"/>
      <c r="C120" s="47"/>
      <c r="D120" s="46"/>
      <c r="E120" s="47"/>
      <c r="F120" s="47"/>
      <c r="G120" s="47"/>
      <c r="H120" s="46"/>
      <c r="I120" s="47"/>
      <c r="J120" s="47"/>
      <c r="K120" s="47"/>
      <c r="L120" s="47"/>
      <c r="M120" s="47"/>
      <c r="N120" s="47"/>
      <c r="O120" s="47"/>
      <c r="P120" s="45" t="str">
        <f aca="false">IF($A120="","",IF(COUNTIF(Accounts!$C$2:$C$201,$A120)+COUNTIF('Service Principals'!$C$2:$C$201,$A120)+COUNTIF('Managed Identities'!$C$2:$C$201,$A120)&gt;0,"Yes","NOT IN INVENTORY"))</f>
        <v/>
      </c>
    </row>
    <row r="121" customFormat="false" ht="15" hidden="false" customHeight="false" outlineLevel="0" collapsed="false">
      <c r="A121" s="46"/>
      <c r="B121" s="47"/>
      <c r="C121" s="47"/>
      <c r="D121" s="46"/>
      <c r="E121" s="47"/>
      <c r="F121" s="47"/>
      <c r="G121" s="47"/>
      <c r="H121" s="46"/>
      <c r="I121" s="47"/>
      <c r="J121" s="47"/>
      <c r="K121" s="47"/>
      <c r="L121" s="47"/>
      <c r="M121" s="47"/>
      <c r="N121" s="47"/>
      <c r="O121" s="47"/>
      <c r="P121" s="45" t="str">
        <f aca="false">IF($A121="","",IF(COUNTIF(Accounts!$C$2:$C$201,$A121)+COUNTIF('Service Principals'!$C$2:$C$201,$A121)+COUNTIF('Managed Identities'!$C$2:$C$201,$A121)&gt;0,"Yes","NOT IN INVENTORY"))</f>
        <v/>
      </c>
    </row>
    <row r="122" customFormat="false" ht="15" hidden="false" customHeight="false" outlineLevel="0" collapsed="false">
      <c r="A122" s="46"/>
      <c r="B122" s="47"/>
      <c r="C122" s="47"/>
      <c r="D122" s="46"/>
      <c r="E122" s="47"/>
      <c r="F122" s="47"/>
      <c r="G122" s="47"/>
      <c r="H122" s="46"/>
      <c r="I122" s="47"/>
      <c r="J122" s="47"/>
      <c r="K122" s="47"/>
      <c r="L122" s="47"/>
      <c r="M122" s="47"/>
      <c r="N122" s="47"/>
      <c r="O122" s="47"/>
      <c r="P122" s="45" t="str">
        <f aca="false">IF($A122="","",IF(COUNTIF(Accounts!$C$2:$C$201,$A122)+COUNTIF('Service Principals'!$C$2:$C$201,$A122)+COUNTIF('Managed Identities'!$C$2:$C$201,$A122)&gt;0,"Yes","NOT IN INVENTORY"))</f>
        <v/>
      </c>
    </row>
    <row r="123" customFormat="false" ht="15" hidden="false" customHeight="false" outlineLevel="0" collapsed="false">
      <c r="A123" s="46"/>
      <c r="B123" s="47"/>
      <c r="C123" s="47"/>
      <c r="D123" s="46"/>
      <c r="E123" s="47"/>
      <c r="F123" s="47"/>
      <c r="G123" s="47"/>
      <c r="H123" s="46"/>
      <c r="I123" s="47"/>
      <c r="J123" s="47"/>
      <c r="K123" s="47"/>
      <c r="L123" s="47"/>
      <c r="M123" s="47"/>
      <c r="N123" s="47"/>
      <c r="O123" s="47"/>
      <c r="P123" s="45" t="str">
        <f aca="false">IF($A123="","",IF(COUNTIF(Accounts!$C$2:$C$201,$A123)+COUNTIF('Service Principals'!$C$2:$C$201,$A123)+COUNTIF('Managed Identities'!$C$2:$C$201,$A123)&gt;0,"Yes","NOT IN INVENTORY"))</f>
        <v/>
      </c>
    </row>
    <row r="124" customFormat="false" ht="15" hidden="false" customHeight="false" outlineLevel="0" collapsed="false">
      <c r="A124" s="46"/>
      <c r="B124" s="47"/>
      <c r="C124" s="47"/>
      <c r="D124" s="46"/>
      <c r="E124" s="47"/>
      <c r="F124" s="47"/>
      <c r="G124" s="47"/>
      <c r="H124" s="46"/>
      <c r="I124" s="47"/>
      <c r="J124" s="47"/>
      <c r="K124" s="47"/>
      <c r="L124" s="47"/>
      <c r="M124" s="47"/>
      <c r="N124" s="47"/>
      <c r="O124" s="47"/>
      <c r="P124" s="45" t="str">
        <f aca="false">IF($A124="","",IF(COUNTIF(Accounts!$C$2:$C$201,$A124)+COUNTIF('Service Principals'!$C$2:$C$201,$A124)+COUNTIF('Managed Identities'!$C$2:$C$201,$A124)&gt;0,"Yes","NOT IN INVENTORY"))</f>
        <v/>
      </c>
    </row>
    <row r="125" customFormat="false" ht="15" hidden="false" customHeight="false" outlineLevel="0" collapsed="false">
      <c r="A125" s="46"/>
      <c r="B125" s="47"/>
      <c r="C125" s="47"/>
      <c r="D125" s="46"/>
      <c r="E125" s="47"/>
      <c r="F125" s="47"/>
      <c r="G125" s="47"/>
      <c r="H125" s="46"/>
      <c r="I125" s="47"/>
      <c r="J125" s="47"/>
      <c r="K125" s="47"/>
      <c r="L125" s="47"/>
      <c r="M125" s="47"/>
      <c r="N125" s="47"/>
      <c r="O125" s="47"/>
      <c r="P125" s="45" t="str">
        <f aca="false">IF($A125="","",IF(COUNTIF(Accounts!$C$2:$C$201,$A125)+COUNTIF('Service Principals'!$C$2:$C$201,$A125)+COUNTIF('Managed Identities'!$C$2:$C$201,$A125)&gt;0,"Yes","NOT IN INVENTORY"))</f>
        <v/>
      </c>
    </row>
    <row r="126" customFormat="false" ht="15" hidden="false" customHeight="false" outlineLevel="0" collapsed="false">
      <c r="A126" s="46"/>
      <c r="B126" s="47"/>
      <c r="C126" s="47"/>
      <c r="D126" s="46"/>
      <c r="E126" s="47"/>
      <c r="F126" s="47"/>
      <c r="G126" s="47"/>
      <c r="H126" s="46"/>
      <c r="I126" s="47"/>
      <c r="J126" s="47"/>
      <c r="K126" s="47"/>
      <c r="L126" s="47"/>
      <c r="M126" s="47"/>
      <c r="N126" s="47"/>
      <c r="O126" s="47"/>
      <c r="P126" s="45" t="str">
        <f aca="false">IF($A126="","",IF(COUNTIF(Accounts!$C$2:$C$201,$A126)+COUNTIF('Service Principals'!$C$2:$C$201,$A126)+COUNTIF('Managed Identities'!$C$2:$C$201,$A126)&gt;0,"Yes","NOT IN INVENTORY"))</f>
        <v/>
      </c>
    </row>
    <row r="127" customFormat="false" ht="15" hidden="false" customHeight="false" outlineLevel="0" collapsed="false">
      <c r="A127" s="46"/>
      <c r="B127" s="47"/>
      <c r="C127" s="47"/>
      <c r="D127" s="46"/>
      <c r="E127" s="47"/>
      <c r="F127" s="47"/>
      <c r="G127" s="47"/>
      <c r="H127" s="46"/>
      <c r="I127" s="47"/>
      <c r="J127" s="47"/>
      <c r="K127" s="47"/>
      <c r="L127" s="47"/>
      <c r="M127" s="47"/>
      <c r="N127" s="47"/>
      <c r="O127" s="47"/>
      <c r="P127" s="45" t="str">
        <f aca="false">IF($A127="","",IF(COUNTIF(Accounts!$C$2:$C$201,$A127)+COUNTIF('Service Principals'!$C$2:$C$201,$A127)+COUNTIF('Managed Identities'!$C$2:$C$201,$A127)&gt;0,"Yes","NOT IN INVENTORY"))</f>
        <v/>
      </c>
    </row>
    <row r="128" customFormat="false" ht="15" hidden="false" customHeight="false" outlineLevel="0" collapsed="false">
      <c r="A128" s="46"/>
      <c r="B128" s="47"/>
      <c r="C128" s="47"/>
      <c r="D128" s="46"/>
      <c r="E128" s="47"/>
      <c r="F128" s="47"/>
      <c r="G128" s="47"/>
      <c r="H128" s="46"/>
      <c r="I128" s="47"/>
      <c r="J128" s="47"/>
      <c r="K128" s="47"/>
      <c r="L128" s="47"/>
      <c r="M128" s="47"/>
      <c r="N128" s="47"/>
      <c r="O128" s="47"/>
      <c r="P128" s="45" t="str">
        <f aca="false">IF($A128="","",IF(COUNTIF(Accounts!$C$2:$C$201,$A128)+COUNTIF('Service Principals'!$C$2:$C$201,$A128)+COUNTIF('Managed Identities'!$C$2:$C$201,$A128)&gt;0,"Yes","NOT IN INVENTORY"))</f>
        <v/>
      </c>
    </row>
    <row r="129" customFormat="false" ht="15" hidden="false" customHeight="false" outlineLevel="0" collapsed="false">
      <c r="A129" s="46"/>
      <c r="B129" s="47"/>
      <c r="C129" s="47"/>
      <c r="D129" s="46"/>
      <c r="E129" s="47"/>
      <c r="F129" s="47"/>
      <c r="G129" s="47"/>
      <c r="H129" s="46"/>
      <c r="I129" s="47"/>
      <c r="J129" s="47"/>
      <c r="K129" s="47"/>
      <c r="L129" s="47"/>
      <c r="M129" s="47"/>
      <c r="N129" s="47"/>
      <c r="O129" s="47"/>
      <c r="P129" s="45" t="str">
        <f aca="false">IF($A129="","",IF(COUNTIF(Accounts!$C$2:$C$201,$A129)+COUNTIF('Service Principals'!$C$2:$C$201,$A129)+COUNTIF('Managed Identities'!$C$2:$C$201,$A129)&gt;0,"Yes","NOT IN INVENTORY"))</f>
        <v/>
      </c>
    </row>
    <row r="130" customFormat="false" ht="15" hidden="false" customHeight="false" outlineLevel="0" collapsed="false">
      <c r="A130" s="46"/>
      <c r="B130" s="47"/>
      <c r="C130" s="47"/>
      <c r="D130" s="46"/>
      <c r="E130" s="47"/>
      <c r="F130" s="47"/>
      <c r="G130" s="47"/>
      <c r="H130" s="46"/>
      <c r="I130" s="47"/>
      <c r="J130" s="47"/>
      <c r="K130" s="47"/>
      <c r="L130" s="47"/>
      <c r="M130" s="47"/>
      <c r="N130" s="47"/>
      <c r="O130" s="47"/>
      <c r="P130" s="45" t="str">
        <f aca="false">IF($A130="","",IF(COUNTIF(Accounts!$C$2:$C$201,$A130)+COUNTIF('Service Principals'!$C$2:$C$201,$A130)+COUNTIF('Managed Identities'!$C$2:$C$201,$A130)&gt;0,"Yes","NOT IN INVENTORY"))</f>
        <v/>
      </c>
    </row>
    <row r="131" customFormat="false" ht="15" hidden="false" customHeight="false" outlineLevel="0" collapsed="false">
      <c r="A131" s="46"/>
      <c r="B131" s="47"/>
      <c r="C131" s="47"/>
      <c r="D131" s="46"/>
      <c r="E131" s="47"/>
      <c r="F131" s="47"/>
      <c r="G131" s="47"/>
      <c r="H131" s="46"/>
      <c r="I131" s="47"/>
      <c r="J131" s="47"/>
      <c r="K131" s="47"/>
      <c r="L131" s="47"/>
      <c r="M131" s="47"/>
      <c r="N131" s="47"/>
      <c r="O131" s="47"/>
      <c r="P131" s="45" t="str">
        <f aca="false">IF($A131="","",IF(COUNTIF(Accounts!$C$2:$C$201,$A131)+COUNTIF('Service Principals'!$C$2:$C$201,$A131)+COUNTIF('Managed Identities'!$C$2:$C$201,$A131)&gt;0,"Yes","NOT IN INVENTORY"))</f>
        <v/>
      </c>
    </row>
    <row r="132" customFormat="false" ht="15" hidden="false" customHeight="false" outlineLevel="0" collapsed="false">
      <c r="A132" s="46"/>
      <c r="B132" s="47"/>
      <c r="C132" s="47"/>
      <c r="D132" s="46"/>
      <c r="E132" s="47"/>
      <c r="F132" s="47"/>
      <c r="G132" s="47"/>
      <c r="H132" s="46"/>
      <c r="I132" s="47"/>
      <c r="J132" s="47"/>
      <c r="K132" s="47"/>
      <c r="L132" s="47"/>
      <c r="M132" s="47"/>
      <c r="N132" s="47"/>
      <c r="O132" s="47"/>
      <c r="P132" s="45" t="str">
        <f aca="false">IF($A132="","",IF(COUNTIF(Accounts!$C$2:$C$201,$A132)+COUNTIF('Service Principals'!$C$2:$C$201,$A132)+COUNTIF('Managed Identities'!$C$2:$C$201,$A132)&gt;0,"Yes","NOT IN INVENTORY"))</f>
        <v/>
      </c>
    </row>
    <row r="133" customFormat="false" ht="15" hidden="false" customHeight="false" outlineLevel="0" collapsed="false">
      <c r="A133" s="46"/>
      <c r="B133" s="47"/>
      <c r="C133" s="47"/>
      <c r="D133" s="46"/>
      <c r="E133" s="47"/>
      <c r="F133" s="47"/>
      <c r="G133" s="47"/>
      <c r="H133" s="46"/>
      <c r="I133" s="47"/>
      <c r="J133" s="47"/>
      <c r="K133" s="47"/>
      <c r="L133" s="47"/>
      <c r="M133" s="47"/>
      <c r="N133" s="47"/>
      <c r="O133" s="47"/>
      <c r="P133" s="45" t="str">
        <f aca="false">IF($A133="","",IF(COUNTIF(Accounts!$C$2:$C$201,$A133)+COUNTIF('Service Principals'!$C$2:$C$201,$A133)+COUNTIF('Managed Identities'!$C$2:$C$201,$A133)&gt;0,"Yes","NOT IN INVENTORY"))</f>
        <v/>
      </c>
    </row>
    <row r="134" customFormat="false" ht="15" hidden="false" customHeight="false" outlineLevel="0" collapsed="false">
      <c r="A134" s="46"/>
      <c r="B134" s="47"/>
      <c r="C134" s="47"/>
      <c r="D134" s="46"/>
      <c r="E134" s="47"/>
      <c r="F134" s="47"/>
      <c r="G134" s="47"/>
      <c r="H134" s="46"/>
      <c r="I134" s="47"/>
      <c r="J134" s="47"/>
      <c r="K134" s="47"/>
      <c r="L134" s="47"/>
      <c r="M134" s="47"/>
      <c r="N134" s="47"/>
      <c r="O134" s="47"/>
      <c r="P134" s="45" t="str">
        <f aca="false">IF($A134="","",IF(COUNTIF(Accounts!$C$2:$C$201,$A134)+COUNTIF('Service Principals'!$C$2:$C$201,$A134)+COUNTIF('Managed Identities'!$C$2:$C$201,$A134)&gt;0,"Yes","NOT IN INVENTORY"))</f>
        <v/>
      </c>
    </row>
    <row r="135" customFormat="false" ht="15" hidden="false" customHeight="false" outlineLevel="0" collapsed="false">
      <c r="A135" s="46"/>
      <c r="B135" s="47"/>
      <c r="C135" s="47"/>
      <c r="D135" s="46"/>
      <c r="E135" s="47"/>
      <c r="F135" s="47"/>
      <c r="G135" s="47"/>
      <c r="H135" s="46"/>
      <c r="I135" s="47"/>
      <c r="J135" s="47"/>
      <c r="K135" s="47"/>
      <c r="L135" s="47"/>
      <c r="M135" s="47"/>
      <c r="N135" s="47"/>
      <c r="O135" s="47"/>
      <c r="P135" s="45" t="str">
        <f aca="false">IF($A135="","",IF(COUNTIF(Accounts!$C$2:$C$201,$A135)+COUNTIF('Service Principals'!$C$2:$C$201,$A135)+COUNTIF('Managed Identities'!$C$2:$C$201,$A135)&gt;0,"Yes","NOT IN INVENTORY"))</f>
        <v/>
      </c>
    </row>
    <row r="136" customFormat="false" ht="15" hidden="false" customHeight="false" outlineLevel="0" collapsed="false">
      <c r="A136" s="46"/>
      <c r="B136" s="47"/>
      <c r="C136" s="47"/>
      <c r="D136" s="46"/>
      <c r="E136" s="47"/>
      <c r="F136" s="47"/>
      <c r="G136" s="47"/>
      <c r="H136" s="46"/>
      <c r="I136" s="47"/>
      <c r="J136" s="47"/>
      <c r="K136" s="47"/>
      <c r="L136" s="47"/>
      <c r="M136" s="47"/>
      <c r="N136" s="47"/>
      <c r="O136" s="47"/>
      <c r="P136" s="45" t="str">
        <f aca="false">IF($A136="","",IF(COUNTIF(Accounts!$C$2:$C$201,$A136)+COUNTIF('Service Principals'!$C$2:$C$201,$A136)+COUNTIF('Managed Identities'!$C$2:$C$201,$A136)&gt;0,"Yes","NOT IN INVENTORY"))</f>
        <v/>
      </c>
    </row>
    <row r="137" customFormat="false" ht="15" hidden="false" customHeight="false" outlineLevel="0" collapsed="false">
      <c r="A137" s="46"/>
      <c r="B137" s="47"/>
      <c r="C137" s="47"/>
      <c r="D137" s="46"/>
      <c r="E137" s="47"/>
      <c r="F137" s="47"/>
      <c r="G137" s="47"/>
      <c r="H137" s="46"/>
      <c r="I137" s="47"/>
      <c r="J137" s="47"/>
      <c r="K137" s="47"/>
      <c r="L137" s="47"/>
      <c r="M137" s="47"/>
      <c r="N137" s="47"/>
      <c r="O137" s="47"/>
      <c r="P137" s="45" t="str">
        <f aca="false">IF($A137="","",IF(COUNTIF(Accounts!$C$2:$C$201,$A137)+COUNTIF('Service Principals'!$C$2:$C$201,$A137)+COUNTIF('Managed Identities'!$C$2:$C$201,$A137)&gt;0,"Yes","NOT IN INVENTORY"))</f>
        <v/>
      </c>
    </row>
    <row r="138" customFormat="false" ht="15" hidden="false" customHeight="false" outlineLevel="0" collapsed="false">
      <c r="A138" s="46"/>
      <c r="B138" s="47"/>
      <c r="C138" s="47"/>
      <c r="D138" s="46"/>
      <c r="E138" s="47"/>
      <c r="F138" s="47"/>
      <c r="G138" s="47"/>
      <c r="H138" s="46"/>
      <c r="I138" s="47"/>
      <c r="J138" s="47"/>
      <c r="K138" s="47"/>
      <c r="L138" s="47"/>
      <c r="M138" s="47"/>
      <c r="N138" s="47"/>
      <c r="O138" s="47"/>
      <c r="P138" s="45" t="str">
        <f aca="false">IF($A138="","",IF(COUNTIF(Accounts!$C$2:$C$201,$A138)+COUNTIF('Service Principals'!$C$2:$C$201,$A138)+COUNTIF('Managed Identities'!$C$2:$C$201,$A138)&gt;0,"Yes","NOT IN INVENTORY"))</f>
        <v/>
      </c>
    </row>
    <row r="139" customFormat="false" ht="15" hidden="false" customHeight="false" outlineLevel="0" collapsed="false">
      <c r="A139" s="46"/>
      <c r="B139" s="47"/>
      <c r="C139" s="47"/>
      <c r="D139" s="46"/>
      <c r="E139" s="47"/>
      <c r="F139" s="47"/>
      <c r="G139" s="47"/>
      <c r="H139" s="46"/>
      <c r="I139" s="47"/>
      <c r="J139" s="47"/>
      <c r="K139" s="47"/>
      <c r="L139" s="47"/>
      <c r="M139" s="47"/>
      <c r="N139" s="47"/>
      <c r="O139" s="47"/>
      <c r="P139" s="45" t="str">
        <f aca="false">IF($A139="","",IF(COUNTIF(Accounts!$C$2:$C$201,$A139)+COUNTIF('Service Principals'!$C$2:$C$201,$A139)+COUNTIF('Managed Identities'!$C$2:$C$201,$A139)&gt;0,"Yes","NOT IN INVENTORY"))</f>
        <v/>
      </c>
    </row>
    <row r="140" customFormat="false" ht="15" hidden="false" customHeight="false" outlineLevel="0" collapsed="false">
      <c r="A140" s="46"/>
      <c r="B140" s="47"/>
      <c r="C140" s="47"/>
      <c r="D140" s="46"/>
      <c r="E140" s="47"/>
      <c r="F140" s="47"/>
      <c r="G140" s="47"/>
      <c r="H140" s="46"/>
      <c r="I140" s="47"/>
      <c r="J140" s="47"/>
      <c r="K140" s="47"/>
      <c r="L140" s="47"/>
      <c r="M140" s="47"/>
      <c r="N140" s="47"/>
      <c r="O140" s="47"/>
      <c r="P140" s="45" t="str">
        <f aca="false">IF($A140="","",IF(COUNTIF(Accounts!$C$2:$C$201,$A140)+COUNTIF('Service Principals'!$C$2:$C$201,$A140)+COUNTIF('Managed Identities'!$C$2:$C$201,$A140)&gt;0,"Yes","NOT IN INVENTORY"))</f>
        <v/>
      </c>
    </row>
    <row r="141" customFormat="false" ht="15" hidden="false" customHeight="false" outlineLevel="0" collapsed="false">
      <c r="A141" s="46"/>
      <c r="B141" s="47"/>
      <c r="C141" s="47"/>
      <c r="D141" s="46"/>
      <c r="E141" s="47"/>
      <c r="F141" s="47"/>
      <c r="G141" s="47"/>
      <c r="H141" s="46"/>
      <c r="I141" s="47"/>
      <c r="J141" s="47"/>
      <c r="K141" s="47"/>
      <c r="L141" s="47"/>
      <c r="M141" s="47"/>
      <c r="N141" s="47"/>
      <c r="O141" s="47"/>
      <c r="P141" s="45" t="str">
        <f aca="false">IF($A141="","",IF(COUNTIF(Accounts!$C$2:$C$201,$A141)+COUNTIF('Service Principals'!$C$2:$C$201,$A141)+COUNTIF('Managed Identities'!$C$2:$C$201,$A141)&gt;0,"Yes","NOT IN INVENTORY"))</f>
        <v/>
      </c>
    </row>
    <row r="142" customFormat="false" ht="15" hidden="false" customHeight="false" outlineLevel="0" collapsed="false">
      <c r="A142" s="46"/>
      <c r="B142" s="47"/>
      <c r="C142" s="47"/>
      <c r="D142" s="46"/>
      <c r="E142" s="47"/>
      <c r="F142" s="47"/>
      <c r="G142" s="47"/>
      <c r="H142" s="46"/>
      <c r="I142" s="47"/>
      <c r="J142" s="47"/>
      <c r="K142" s="47"/>
      <c r="L142" s="47"/>
      <c r="M142" s="47"/>
      <c r="N142" s="47"/>
      <c r="O142" s="47"/>
      <c r="P142" s="45" t="str">
        <f aca="false">IF($A142="","",IF(COUNTIF(Accounts!$C$2:$C$201,$A142)+COUNTIF('Service Principals'!$C$2:$C$201,$A142)+COUNTIF('Managed Identities'!$C$2:$C$201,$A142)&gt;0,"Yes","NOT IN INVENTORY"))</f>
        <v/>
      </c>
    </row>
    <row r="143" customFormat="false" ht="15" hidden="false" customHeight="false" outlineLevel="0" collapsed="false">
      <c r="A143" s="46"/>
      <c r="B143" s="47"/>
      <c r="C143" s="47"/>
      <c r="D143" s="46"/>
      <c r="E143" s="47"/>
      <c r="F143" s="47"/>
      <c r="G143" s="47"/>
      <c r="H143" s="46"/>
      <c r="I143" s="47"/>
      <c r="J143" s="47"/>
      <c r="K143" s="47"/>
      <c r="L143" s="47"/>
      <c r="M143" s="47"/>
      <c r="N143" s="47"/>
      <c r="O143" s="47"/>
      <c r="P143" s="45" t="str">
        <f aca="false">IF($A143="","",IF(COUNTIF(Accounts!$C$2:$C$201,$A143)+COUNTIF('Service Principals'!$C$2:$C$201,$A143)+COUNTIF('Managed Identities'!$C$2:$C$201,$A143)&gt;0,"Yes","NOT IN INVENTORY"))</f>
        <v/>
      </c>
    </row>
    <row r="144" customFormat="false" ht="15" hidden="false" customHeight="false" outlineLevel="0" collapsed="false">
      <c r="A144" s="46"/>
      <c r="B144" s="47"/>
      <c r="C144" s="47"/>
      <c r="D144" s="46"/>
      <c r="E144" s="47"/>
      <c r="F144" s="47"/>
      <c r="G144" s="47"/>
      <c r="H144" s="46"/>
      <c r="I144" s="47"/>
      <c r="J144" s="47"/>
      <c r="K144" s="47"/>
      <c r="L144" s="47"/>
      <c r="M144" s="47"/>
      <c r="N144" s="47"/>
      <c r="O144" s="47"/>
      <c r="P144" s="45" t="str">
        <f aca="false">IF($A144="","",IF(COUNTIF(Accounts!$C$2:$C$201,$A144)+COUNTIF('Service Principals'!$C$2:$C$201,$A144)+COUNTIF('Managed Identities'!$C$2:$C$201,$A144)&gt;0,"Yes","NOT IN INVENTORY"))</f>
        <v/>
      </c>
    </row>
    <row r="145" customFormat="false" ht="15" hidden="false" customHeight="false" outlineLevel="0" collapsed="false">
      <c r="A145" s="46"/>
      <c r="B145" s="47"/>
      <c r="C145" s="47"/>
      <c r="D145" s="46"/>
      <c r="E145" s="47"/>
      <c r="F145" s="47"/>
      <c r="G145" s="47"/>
      <c r="H145" s="46"/>
      <c r="I145" s="47"/>
      <c r="J145" s="47"/>
      <c r="K145" s="47"/>
      <c r="L145" s="47"/>
      <c r="M145" s="47"/>
      <c r="N145" s="47"/>
      <c r="O145" s="47"/>
      <c r="P145" s="45" t="str">
        <f aca="false">IF($A145="","",IF(COUNTIF(Accounts!$C$2:$C$201,$A145)+COUNTIF('Service Principals'!$C$2:$C$201,$A145)+COUNTIF('Managed Identities'!$C$2:$C$201,$A145)&gt;0,"Yes","NOT IN INVENTORY"))</f>
        <v/>
      </c>
    </row>
    <row r="146" customFormat="false" ht="15" hidden="false" customHeight="false" outlineLevel="0" collapsed="false">
      <c r="A146" s="46"/>
      <c r="B146" s="47"/>
      <c r="C146" s="47"/>
      <c r="D146" s="46"/>
      <c r="E146" s="47"/>
      <c r="F146" s="47"/>
      <c r="G146" s="47"/>
      <c r="H146" s="46"/>
      <c r="I146" s="47"/>
      <c r="J146" s="47"/>
      <c r="K146" s="47"/>
      <c r="L146" s="47"/>
      <c r="M146" s="47"/>
      <c r="N146" s="47"/>
      <c r="O146" s="47"/>
      <c r="P146" s="45" t="str">
        <f aca="false">IF($A146="","",IF(COUNTIF(Accounts!$C$2:$C$201,$A146)+COUNTIF('Service Principals'!$C$2:$C$201,$A146)+COUNTIF('Managed Identities'!$C$2:$C$201,$A146)&gt;0,"Yes","NOT IN INVENTORY"))</f>
        <v/>
      </c>
    </row>
    <row r="147" customFormat="false" ht="15" hidden="false" customHeight="false" outlineLevel="0" collapsed="false">
      <c r="A147" s="46"/>
      <c r="B147" s="47"/>
      <c r="C147" s="47"/>
      <c r="D147" s="46"/>
      <c r="E147" s="47"/>
      <c r="F147" s="47"/>
      <c r="G147" s="47"/>
      <c r="H147" s="46"/>
      <c r="I147" s="47"/>
      <c r="J147" s="47"/>
      <c r="K147" s="47"/>
      <c r="L147" s="47"/>
      <c r="M147" s="47"/>
      <c r="N147" s="47"/>
      <c r="O147" s="47"/>
      <c r="P147" s="45" t="str">
        <f aca="false">IF($A147="","",IF(COUNTIF(Accounts!$C$2:$C$201,$A147)+COUNTIF('Service Principals'!$C$2:$C$201,$A147)+COUNTIF('Managed Identities'!$C$2:$C$201,$A147)&gt;0,"Yes","NOT IN INVENTORY"))</f>
        <v/>
      </c>
    </row>
    <row r="148" customFormat="false" ht="15" hidden="false" customHeight="false" outlineLevel="0" collapsed="false">
      <c r="A148" s="46"/>
      <c r="B148" s="47"/>
      <c r="C148" s="47"/>
      <c r="D148" s="46"/>
      <c r="E148" s="47"/>
      <c r="F148" s="47"/>
      <c r="G148" s="47"/>
      <c r="H148" s="46"/>
      <c r="I148" s="47"/>
      <c r="J148" s="47"/>
      <c r="K148" s="47"/>
      <c r="L148" s="47"/>
      <c r="M148" s="47"/>
      <c r="N148" s="47"/>
      <c r="O148" s="47"/>
      <c r="P148" s="45" t="str">
        <f aca="false">IF($A148="","",IF(COUNTIF(Accounts!$C$2:$C$201,$A148)+COUNTIF('Service Principals'!$C$2:$C$201,$A148)+COUNTIF('Managed Identities'!$C$2:$C$201,$A148)&gt;0,"Yes","NOT IN INVENTORY"))</f>
        <v/>
      </c>
    </row>
    <row r="149" customFormat="false" ht="15" hidden="false" customHeight="false" outlineLevel="0" collapsed="false">
      <c r="A149" s="46"/>
      <c r="B149" s="47"/>
      <c r="C149" s="47"/>
      <c r="D149" s="46"/>
      <c r="E149" s="47"/>
      <c r="F149" s="47"/>
      <c r="G149" s="47"/>
      <c r="H149" s="46"/>
      <c r="I149" s="47"/>
      <c r="J149" s="47"/>
      <c r="K149" s="47"/>
      <c r="L149" s="47"/>
      <c r="M149" s="47"/>
      <c r="N149" s="47"/>
      <c r="O149" s="47"/>
      <c r="P149" s="45" t="str">
        <f aca="false">IF($A149="","",IF(COUNTIF(Accounts!$C$2:$C$201,$A149)+COUNTIF('Service Principals'!$C$2:$C$201,$A149)+COUNTIF('Managed Identities'!$C$2:$C$201,$A149)&gt;0,"Yes","NOT IN INVENTORY"))</f>
        <v/>
      </c>
    </row>
    <row r="150" customFormat="false" ht="15" hidden="false" customHeight="false" outlineLevel="0" collapsed="false">
      <c r="A150" s="46"/>
      <c r="B150" s="47"/>
      <c r="C150" s="47"/>
      <c r="D150" s="46"/>
      <c r="E150" s="47"/>
      <c r="F150" s="47"/>
      <c r="G150" s="47"/>
      <c r="H150" s="46"/>
      <c r="I150" s="47"/>
      <c r="J150" s="47"/>
      <c r="K150" s="47"/>
      <c r="L150" s="47"/>
      <c r="M150" s="47"/>
      <c r="N150" s="47"/>
      <c r="O150" s="47"/>
      <c r="P150" s="45" t="str">
        <f aca="false">IF($A150="","",IF(COUNTIF(Accounts!$C$2:$C$201,$A150)+COUNTIF('Service Principals'!$C$2:$C$201,$A150)+COUNTIF('Managed Identities'!$C$2:$C$201,$A150)&gt;0,"Yes","NOT IN INVENTORY"))</f>
        <v/>
      </c>
    </row>
    <row r="151" customFormat="false" ht="15" hidden="false" customHeight="false" outlineLevel="0" collapsed="false">
      <c r="A151" s="46"/>
      <c r="B151" s="47"/>
      <c r="C151" s="47"/>
      <c r="D151" s="46"/>
      <c r="E151" s="47"/>
      <c r="F151" s="47"/>
      <c r="G151" s="47"/>
      <c r="H151" s="46"/>
      <c r="I151" s="47"/>
      <c r="J151" s="47"/>
      <c r="K151" s="47"/>
      <c r="L151" s="47"/>
      <c r="M151" s="47"/>
      <c r="N151" s="47"/>
      <c r="O151" s="47"/>
      <c r="P151" s="45" t="str">
        <f aca="false">IF($A151="","",IF(COUNTIF(Accounts!$C$2:$C$201,$A151)+COUNTIF('Service Principals'!$C$2:$C$201,$A151)+COUNTIF('Managed Identities'!$C$2:$C$201,$A151)&gt;0,"Yes","NOT IN INVENTORY"))</f>
        <v/>
      </c>
    </row>
    <row r="152" customFormat="false" ht="15" hidden="false" customHeight="false" outlineLevel="0" collapsed="false">
      <c r="A152" s="46"/>
      <c r="B152" s="47"/>
      <c r="C152" s="47"/>
      <c r="D152" s="46"/>
      <c r="E152" s="47"/>
      <c r="F152" s="47"/>
      <c r="G152" s="47"/>
      <c r="H152" s="46"/>
      <c r="I152" s="47"/>
      <c r="J152" s="47"/>
      <c r="K152" s="47"/>
      <c r="L152" s="47"/>
      <c r="M152" s="47"/>
      <c r="N152" s="47"/>
      <c r="O152" s="47"/>
      <c r="P152" s="45" t="str">
        <f aca="false">IF($A152="","",IF(COUNTIF(Accounts!$C$2:$C$201,$A152)+COUNTIF('Service Principals'!$C$2:$C$201,$A152)+COUNTIF('Managed Identities'!$C$2:$C$201,$A152)&gt;0,"Yes","NOT IN INVENTORY"))</f>
        <v/>
      </c>
    </row>
    <row r="153" customFormat="false" ht="15" hidden="false" customHeight="false" outlineLevel="0" collapsed="false">
      <c r="A153" s="46"/>
      <c r="B153" s="47"/>
      <c r="C153" s="47"/>
      <c r="D153" s="46"/>
      <c r="E153" s="47"/>
      <c r="F153" s="47"/>
      <c r="G153" s="47"/>
      <c r="H153" s="46"/>
      <c r="I153" s="47"/>
      <c r="J153" s="47"/>
      <c r="K153" s="47"/>
      <c r="L153" s="47"/>
      <c r="M153" s="47"/>
      <c r="N153" s="47"/>
      <c r="O153" s="47"/>
      <c r="P153" s="45" t="str">
        <f aca="false">IF($A153="","",IF(COUNTIF(Accounts!$C$2:$C$201,$A153)+COUNTIF('Service Principals'!$C$2:$C$201,$A153)+COUNTIF('Managed Identities'!$C$2:$C$201,$A153)&gt;0,"Yes","NOT IN INVENTORY"))</f>
        <v/>
      </c>
    </row>
    <row r="154" customFormat="false" ht="15" hidden="false" customHeight="false" outlineLevel="0" collapsed="false">
      <c r="A154" s="46"/>
      <c r="B154" s="47"/>
      <c r="C154" s="47"/>
      <c r="D154" s="46"/>
      <c r="E154" s="47"/>
      <c r="F154" s="47"/>
      <c r="G154" s="47"/>
      <c r="H154" s="46"/>
      <c r="I154" s="47"/>
      <c r="J154" s="47"/>
      <c r="K154" s="47"/>
      <c r="L154" s="47"/>
      <c r="M154" s="47"/>
      <c r="N154" s="47"/>
      <c r="O154" s="47"/>
      <c r="P154" s="45" t="str">
        <f aca="false">IF($A154="","",IF(COUNTIF(Accounts!$C$2:$C$201,$A154)+COUNTIF('Service Principals'!$C$2:$C$201,$A154)+COUNTIF('Managed Identities'!$C$2:$C$201,$A154)&gt;0,"Yes","NOT IN INVENTORY"))</f>
        <v/>
      </c>
    </row>
    <row r="155" customFormat="false" ht="15" hidden="false" customHeight="false" outlineLevel="0" collapsed="false">
      <c r="A155" s="46"/>
      <c r="B155" s="47"/>
      <c r="C155" s="47"/>
      <c r="D155" s="46"/>
      <c r="E155" s="47"/>
      <c r="F155" s="47"/>
      <c r="G155" s="47"/>
      <c r="H155" s="46"/>
      <c r="I155" s="47"/>
      <c r="J155" s="47"/>
      <c r="K155" s="47"/>
      <c r="L155" s="47"/>
      <c r="M155" s="47"/>
      <c r="N155" s="47"/>
      <c r="O155" s="47"/>
      <c r="P155" s="45" t="str">
        <f aca="false">IF($A155="","",IF(COUNTIF(Accounts!$C$2:$C$201,$A155)+COUNTIF('Service Principals'!$C$2:$C$201,$A155)+COUNTIF('Managed Identities'!$C$2:$C$201,$A155)&gt;0,"Yes","NOT IN INVENTORY"))</f>
        <v/>
      </c>
    </row>
    <row r="156" customFormat="false" ht="15" hidden="false" customHeight="false" outlineLevel="0" collapsed="false">
      <c r="A156" s="46"/>
      <c r="B156" s="47"/>
      <c r="C156" s="47"/>
      <c r="D156" s="46"/>
      <c r="E156" s="47"/>
      <c r="F156" s="47"/>
      <c r="G156" s="47"/>
      <c r="H156" s="46"/>
      <c r="I156" s="47"/>
      <c r="J156" s="47"/>
      <c r="K156" s="47"/>
      <c r="L156" s="47"/>
      <c r="M156" s="47"/>
      <c r="N156" s="47"/>
      <c r="O156" s="47"/>
      <c r="P156" s="45" t="str">
        <f aca="false">IF($A156="","",IF(COUNTIF(Accounts!$C$2:$C$201,$A156)+COUNTIF('Service Principals'!$C$2:$C$201,$A156)+COUNTIF('Managed Identities'!$C$2:$C$201,$A156)&gt;0,"Yes","NOT IN INVENTORY"))</f>
        <v/>
      </c>
    </row>
    <row r="157" customFormat="false" ht="15" hidden="false" customHeight="false" outlineLevel="0" collapsed="false">
      <c r="A157" s="46"/>
      <c r="B157" s="47"/>
      <c r="C157" s="47"/>
      <c r="D157" s="46"/>
      <c r="E157" s="47"/>
      <c r="F157" s="47"/>
      <c r="G157" s="47"/>
      <c r="H157" s="46"/>
      <c r="I157" s="47"/>
      <c r="J157" s="47"/>
      <c r="K157" s="47"/>
      <c r="L157" s="47"/>
      <c r="M157" s="47"/>
      <c r="N157" s="47"/>
      <c r="O157" s="47"/>
      <c r="P157" s="45" t="str">
        <f aca="false">IF($A157="","",IF(COUNTIF(Accounts!$C$2:$C$201,$A157)+COUNTIF('Service Principals'!$C$2:$C$201,$A157)+COUNTIF('Managed Identities'!$C$2:$C$201,$A157)&gt;0,"Yes","NOT IN INVENTORY"))</f>
        <v/>
      </c>
    </row>
    <row r="158" customFormat="false" ht="15" hidden="false" customHeight="false" outlineLevel="0" collapsed="false">
      <c r="A158" s="46"/>
      <c r="B158" s="47"/>
      <c r="C158" s="47"/>
      <c r="D158" s="46"/>
      <c r="E158" s="47"/>
      <c r="F158" s="47"/>
      <c r="G158" s="47"/>
      <c r="H158" s="46"/>
      <c r="I158" s="47"/>
      <c r="J158" s="47"/>
      <c r="K158" s="47"/>
      <c r="L158" s="47"/>
      <c r="M158" s="47"/>
      <c r="N158" s="47"/>
      <c r="O158" s="47"/>
      <c r="P158" s="45" t="str">
        <f aca="false">IF($A158="","",IF(COUNTIF(Accounts!$C$2:$C$201,$A158)+COUNTIF('Service Principals'!$C$2:$C$201,$A158)+COUNTIF('Managed Identities'!$C$2:$C$201,$A158)&gt;0,"Yes","NOT IN INVENTORY"))</f>
        <v/>
      </c>
    </row>
    <row r="159" customFormat="false" ht="15" hidden="false" customHeight="false" outlineLevel="0" collapsed="false">
      <c r="A159" s="46"/>
      <c r="B159" s="47"/>
      <c r="C159" s="47"/>
      <c r="D159" s="46"/>
      <c r="E159" s="47"/>
      <c r="F159" s="47"/>
      <c r="G159" s="47"/>
      <c r="H159" s="46"/>
      <c r="I159" s="47"/>
      <c r="J159" s="47"/>
      <c r="K159" s="47"/>
      <c r="L159" s="47"/>
      <c r="M159" s="47"/>
      <c r="N159" s="47"/>
      <c r="O159" s="47"/>
      <c r="P159" s="45" t="str">
        <f aca="false">IF($A159="","",IF(COUNTIF(Accounts!$C$2:$C$201,$A159)+COUNTIF('Service Principals'!$C$2:$C$201,$A159)+COUNTIF('Managed Identities'!$C$2:$C$201,$A159)&gt;0,"Yes","NOT IN INVENTORY"))</f>
        <v/>
      </c>
    </row>
    <row r="160" customFormat="false" ht="15" hidden="false" customHeight="false" outlineLevel="0" collapsed="false">
      <c r="A160" s="46"/>
      <c r="B160" s="47"/>
      <c r="C160" s="47"/>
      <c r="D160" s="46"/>
      <c r="E160" s="47"/>
      <c r="F160" s="47"/>
      <c r="G160" s="47"/>
      <c r="H160" s="46"/>
      <c r="I160" s="47"/>
      <c r="J160" s="47"/>
      <c r="K160" s="47"/>
      <c r="L160" s="47"/>
      <c r="M160" s="47"/>
      <c r="N160" s="47"/>
      <c r="O160" s="47"/>
      <c r="P160" s="45" t="str">
        <f aca="false">IF($A160="","",IF(COUNTIF(Accounts!$C$2:$C$201,$A160)+COUNTIF('Service Principals'!$C$2:$C$201,$A160)+COUNTIF('Managed Identities'!$C$2:$C$201,$A160)&gt;0,"Yes","NOT IN INVENTORY"))</f>
        <v/>
      </c>
    </row>
    <row r="161" customFormat="false" ht="15" hidden="false" customHeight="false" outlineLevel="0" collapsed="false">
      <c r="A161" s="46"/>
      <c r="B161" s="47"/>
      <c r="C161" s="47"/>
      <c r="D161" s="46"/>
      <c r="E161" s="47"/>
      <c r="F161" s="47"/>
      <c r="G161" s="47"/>
      <c r="H161" s="46"/>
      <c r="I161" s="47"/>
      <c r="J161" s="47"/>
      <c r="K161" s="47"/>
      <c r="L161" s="47"/>
      <c r="M161" s="47"/>
      <c r="N161" s="47"/>
      <c r="O161" s="47"/>
      <c r="P161" s="45" t="str">
        <f aca="false">IF($A161="","",IF(COUNTIF(Accounts!$C$2:$C$201,$A161)+COUNTIF('Service Principals'!$C$2:$C$201,$A161)+COUNTIF('Managed Identities'!$C$2:$C$201,$A161)&gt;0,"Yes","NOT IN INVENTORY"))</f>
        <v/>
      </c>
    </row>
    <row r="162" customFormat="false" ht="15" hidden="false" customHeight="false" outlineLevel="0" collapsed="false">
      <c r="A162" s="46"/>
      <c r="B162" s="47"/>
      <c r="C162" s="47"/>
      <c r="D162" s="46"/>
      <c r="E162" s="47"/>
      <c r="F162" s="47"/>
      <c r="G162" s="47"/>
      <c r="H162" s="46"/>
      <c r="I162" s="47"/>
      <c r="J162" s="47"/>
      <c r="K162" s="47"/>
      <c r="L162" s="47"/>
      <c r="M162" s="47"/>
      <c r="N162" s="47"/>
      <c r="O162" s="47"/>
      <c r="P162" s="45" t="str">
        <f aca="false">IF($A162="","",IF(COUNTIF(Accounts!$C$2:$C$201,$A162)+COUNTIF('Service Principals'!$C$2:$C$201,$A162)+COUNTIF('Managed Identities'!$C$2:$C$201,$A162)&gt;0,"Yes","NOT IN INVENTORY"))</f>
        <v/>
      </c>
    </row>
    <row r="163" customFormat="false" ht="15" hidden="false" customHeight="false" outlineLevel="0" collapsed="false">
      <c r="A163" s="46"/>
      <c r="B163" s="47"/>
      <c r="C163" s="47"/>
      <c r="D163" s="46"/>
      <c r="E163" s="47"/>
      <c r="F163" s="47"/>
      <c r="G163" s="47"/>
      <c r="H163" s="46"/>
      <c r="I163" s="47"/>
      <c r="J163" s="47"/>
      <c r="K163" s="47"/>
      <c r="L163" s="47"/>
      <c r="M163" s="47"/>
      <c r="N163" s="47"/>
      <c r="O163" s="47"/>
      <c r="P163" s="45" t="str">
        <f aca="false">IF($A163="","",IF(COUNTIF(Accounts!$C$2:$C$201,$A163)+COUNTIF('Service Principals'!$C$2:$C$201,$A163)+COUNTIF('Managed Identities'!$C$2:$C$201,$A163)&gt;0,"Yes","NOT IN INVENTORY"))</f>
        <v/>
      </c>
    </row>
    <row r="164" customFormat="false" ht="15" hidden="false" customHeight="false" outlineLevel="0" collapsed="false">
      <c r="A164" s="46"/>
      <c r="B164" s="47"/>
      <c r="C164" s="47"/>
      <c r="D164" s="46"/>
      <c r="E164" s="47"/>
      <c r="F164" s="47"/>
      <c r="G164" s="47"/>
      <c r="H164" s="46"/>
      <c r="I164" s="47"/>
      <c r="J164" s="47"/>
      <c r="K164" s="47"/>
      <c r="L164" s="47"/>
      <c r="M164" s="47"/>
      <c r="N164" s="47"/>
      <c r="O164" s="47"/>
      <c r="P164" s="45" t="str">
        <f aca="false">IF($A164="","",IF(COUNTIF(Accounts!$C$2:$C$201,$A164)+COUNTIF('Service Principals'!$C$2:$C$201,$A164)+COUNTIF('Managed Identities'!$C$2:$C$201,$A164)&gt;0,"Yes","NOT IN INVENTORY"))</f>
        <v/>
      </c>
    </row>
    <row r="165" customFormat="false" ht="15" hidden="false" customHeight="false" outlineLevel="0" collapsed="false">
      <c r="A165" s="46"/>
      <c r="B165" s="47"/>
      <c r="C165" s="47"/>
      <c r="D165" s="46"/>
      <c r="E165" s="47"/>
      <c r="F165" s="47"/>
      <c r="G165" s="47"/>
      <c r="H165" s="46"/>
      <c r="I165" s="47"/>
      <c r="J165" s="47"/>
      <c r="K165" s="47"/>
      <c r="L165" s="47"/>
      <c r="M165" s="47"/>
      <c r="N165" s="47"/>
      <c r="O165" s="47"/>
      <c r="P165" s="45" t="str">
        <f aca="false">IF($A165="","",IF(COUNTIF(Accounts!$C$2:$C$201,$A165)+COUNTIF('Service Principals'!$C$2:$C$201,$A165)+COUNTIF('Managed Identities'!$C$2:$C$201,$A165)&gt;0,"Yes","NOT IN INVENTORY"))</f>
        <v/>
      </c>
    </row>
    <row r="166" customFormat="false" ht="15" hidden="false" customHeight="false" outlineLevel="0" collapsed="false">
      <c r="A166" s="46"/>
      <c r="B166" s="47"/>
      <c r="C166" s="47"/>
      <c r="D166" s="46"/>
      <c r="E166" s="47"/>
      <c r="F166" s="47"/>
      <c r="G166" s="47"/>
      <c r="H166" s="46"/>
      <c r="I166" s="47"/>
      <c r="J166" s="47"/>
      <c r="K166" s="47"/>
      <c r="L166" s="47"/>
      <c r="M166" s="47"/>
      <c r="N166" s="47"/>
      <c r="O166" s="47"/>
      <c r="P166" s="45" t="str">
        <f aca="false">IF($A166="","",IF(COUNTIF(Accounts!$C$2:$C$201,$A166)+COUNTIF('Service Principals'!$C$2:$C$201,$A166)+COUNTIF('Managed Identities'!$C$2:$C$201,$A166)&gt;0,"Yes","NOT IN INVENTORY"))</f>
        <v/>
      </c>
    </row>
    <row r="167" customFormat="false" ht="15" hidden="false" customHeight="false" outlineLevel="0" collapsed="false">
      <c r="A167" s="46"/>
      <c r="B167" s="47"/>
      <c r="C167" s="47"/>
      <c r="D167" s="46"/>
      <c r="E167" s="47"/>
      <c r="F167" s="47"/>
      <c r="G167" s="47"/>
      <c r="H167" s="46"/>
      <c r="I167" s="47"/>
      <c r="J167" s="47"/>
      <c r="K167" s="47"/>
      <c r="L167" s="47"/>
      <c r="M167" s="47"/>
      <c r="N167" s="47"/>
      <c r="O167" s="47"/>
      <c r="P167" s="45" t="str">
        <f aca="false">IF($A167="","",IF(COUNTIF(Accounts!$C$2:$C$201,$A167)+COUNTIF('Service Principals'!$C$2:$C$201,$A167)+COUNTIF('Managed Identities'!$C$2:$C$201,$A167)&gt;0,"Yes","NOT IN INVENTORY"))</f>
        <v/>
      </c>
    </row>
    <row r="168" customFormat="false" ht="15" hidden="false" customHeight="false" outlineLevel="0" collapsed="false">
      <c r="A168" s="46"/>
      <c r="B168" s="47"/>
      <c r="C168" s="47"/>
      <c r="D168" s="46"/>
      <c r="E168" s="47"/>
      <c r="F168" s="47"/>
      <c r="G168" s="47"/>
      <c r="H168" s="46"/>
      <c r="I168" s="47"/>
      <c r="J168" s="47"/>
      <c r="K168" s="47"/>
      <c r="L168" s="47"/>
      <c r="M168" s="47"/>
      <c r="N168" s="47"/>
      <c r="O168" s="47"/>
      <c r="P168" s="45" t="str">
        <f aca="false">IF($A168="","",IF(COUNTIF(Accounts!$C$2:$C$201,$A168)+COUNTIF('Service Principals'!$C$2:$C$201,$A168)+COUNTIF('Managed Identities'!$C$2:$C$201,$A168)&gt;0,"Yes","NOT IN INVENTORY"))</f>
        <v/>
      </c>
    </row>
    <row r="169" customFormat="false" ht="15" hidden="false" customHeight="false" outlineLevel="0" collapsed="false">
      <c r="A169" s="46"/>
      <c r="B169" s="47"/>
      <c r="C169" s="47"/>
      <c r="D169" s="46"/>
      <c r="E169" s="47"/>
      <c r="F169" s="47"/>
      <c r="G169" s="47"/>
      <c r="H169" s="46"/>
      <c r="I169" s="47"/>
      <c r="J169" s="47"/>
      <c r="K169" s="47"/>
      <c r="L169" s="47"/>
      <c r="M169" s="47"/>
      <c r="N169" s="47"/>
      <c r="O169" s="47"/>
      <c r="P169" s="45" t="str">
        <f aca="false">IF($A169="","",IF(COUNTIF(Accounts!$C$2:$C$201,$A169)+COUNTIF('Service Principals'!$C$2:$C$201,$A169)+COUNTIF('Managed Identities'!$C$2:$C$201,$A169)&gt;0,"Yes","NOT IN INVENTORY"))</f>
        <v/>
      </c>
    </row>
    <row r="170" customFormat="false" ht="15" hidden="false" customHeight="false" outlineLevel="0" collapsed="false">
      <c r="A170" s="46"/>
      <c r="B170" s="47"/>
      <c r="C170" s="47"/>
      <c r="D170" s="46"/>
      <c r="E170" s="47"/>
      <c r="F170" s="47"/>
      <c r="G170" s="47"/>
      <c r="H170" s="46"/>
      <c r="I170" s="47"/>
      <c r="J170" s="47"/>
      <c r="K170" s="47"/>
      <c r="L170" s="47"/>
      <c r="M170" s="47"/>
      <c r="N170" s="47"/>
      <c r="O170" s="47"/>
      <c r="P170" s="45" t="str">
        <f aca="false">IF($A170="","",IF(COUNTIF(Accounts!$C$2:$C$201,$A170)+COUNTIF('Service Principals'!$C$2:$C$201,$A170)+COUNTIF('Managed Identities'!$C$2:$C$201,$A170)&gt;0,"Yes","NOT IN INVENTORY"))</f>
        <v/>
      </c>
    </row>
    <row r="171" customFormat="false" ht="15" hidden="false" customHeight="false" outlineLevel="0" collapsed="false">
      <c r="A171" s="46"/>
      <c r="B171" s="47"/>
      <c r="C171" s="47"/>
      <c r="D171" s="46"/>
      <c r="E171" s="47"/>
      <c r="F171" s="47"/>
      <c r="G171" s="47"/>
      <c r="H171" s="46"/>
      <c r="I171" s="47"/>
      <c r="J171" s="47"/>
      <c r="K171" s="47"/>
      <c r="L171" s="47"/>
      <c r="M171" s="47"/>
      <c r="N171" s="47"/>
      <c r="O171" s="47"/>
      <c r="P171" s="45" t="str">
        <f aca="false">IF($A171="","",IF(COUNTIF(Accounts!$C$2:$C$201,$A171)+COUNTIF('Service Principals'!$C$2:$C$201,$A171)+COUNTIF('Managed Identities'!$C$2:$C$201,$A171)&gt;0,"Yes","NOT IN INVENTORY"))</f>
        <v/>
      </c>
    </row>
    <row r="172" customFormat="false" ht="15" hidden="false" customHeight="false" outlineLevel="0" collapsed="false">
      <c r="A172" s="46"/>
      <c r="B172" s="47"/>
      <c r="C172" s="47"/>
      <c r="D172" s="46"/>
      <c r="E172" s="47"/>
      <c r="F172" s="47"/>
      <c r="G172" s="47"/>
      <c r="H172" s="46"/>
      <c r="I172" s="47"/>
      <c r="J172" s="47"/>
      <c r="K172" s="47"/>
      <c r="L172" s="47"/>
      <c r="M172" s="47"/>
      <c r="N172" s="47"/>
      <c r="O172" s="47"/>
      <c r="P172" s="45" t="str">
        <f aca="false">IF($A172="","",IF(COUNTIF(Accounts!$C$2:$C$201,$A172)+COUNTIF('Service Principals'!$C$2:$C$201,$A172)+COUNTIF('Managed Identities'!$C$2:$C$201,$A172)&gt;0,"Yes","NOT IN INVENTORY"))</f>
        <v/>
      </c>
    </row>
    <row r="173" customFormat="false" ht="15" hidden="false" customHeight="false" outlineLevel="0" collapsed="false">
      <c r="A173" s="46"/>
      <c r="B173" s="47"/>
      <c r="C173" s="47"/>
      <c r="D173" s="46"/>
      <c r="E173" s="47"/>
      <c r="F173" s="47"/>
      <c r="G173" s="47"/>
      <c r="H173" s="46"/>
      <c r="I173" s="47"/>
      <c r="J173" s="47"/>
      <c r="K173" s="47"/>
      <c r="L173" s="47"/>
      <c r="M173" s="47"/>
      <c r="N173" s="47"/>
      <c r="O173" s="47"/>
      <c r="P173" s="45" t="str">
        <f aca="false">IF($A173="","",IF(COUNTIF(Accounts!$C$2:$C$201,$A173)+COUNTIF('Service Principals'!$C$2:$C$201,$A173)+COUNTIF('Managed Identities'!$C$2:$C$201,$A173)&gt;0,"Yes","NOT IN INVENTORY"))</f>
        <v/>
      </c>
    </row>
    <row r="174" customFormat="false" ht="15" hidden="false" customHeight="false" outlineLevel="0" collapsed="false">
      <c r="A174" s="46"/>
      <c r="B174" s="47"/>
      <c r="C174" s="47"/>
      <c r="D174" s="46"/>
      <c r="E174" s="47"/>
      <c r="F174" s="47"/>
      <c r="G174" s="47"/>
      <c r="H174" s="46"/>
      <c r="I174" s="47"/>
      <c r="J174" s="47"/>
      <c r="K174" s="47"/>
      <c r="L174" s="47"/>
      <c r="M174" s="47"/>
      <c r="N174" s="47"/>
      <c r="O174" s="47"/>
      <c r="P174" s="45" t="str">
        <f aca="false">IF($A174="","",IF(COUNTIF(Accounts!$C$2:$C$201,$A174)+COUNTIF('Service Principals'!$C$2:$C$201,$A174)+COUNTIF('Managed Identities'!$C$2:$C$201,$A174)&gt;0,"Yes","NOT IN INVENTORY"))</f>
        <v/>
      </c>
    </row>
    <row r="175" customFormat="false" ht="15" hidden="false" customHeight="false" outlineLevel="0" collapsed="false">
      <c r="A175" s="46"/>
      <c r="B175" s="47"/>
      <c r="C175" s="47"/>
      <c r="D175" s="46"/>
      <c r="E175" s="47"/>
      <c r="F175" s="47"/>
      <c r="G175" s="47"/>
      <c r="H175" s="46"/>
      <c r="I175" s="47"/>
      <c r="J175" s="47"/>
      <c r="K175" s="47"/>
      <c r="L175" s="47"/>
      <c r="M175" s="47"/>
      <c r="N175" s="47"/>
      <c r="O175" s="47"/>
      <c r="P175" s="45" t="str">
        <f aca="false">IF($A175="","",IF(COUNTIF(Accounts!$C$2:$C$201,$A175)+COUNTIF('Service Principals'!$C$2:$C$201,$A175)+COUNTIF('Managed Identities'!$C$2:$C$201,$A175)&gt;0,"Yes","NOT IN INVENTORY"))</f>
        <v/>
      </c>
    </row>
    <row r="176" customFormat="false" ht="15" hidden="false" customHeight="false" outlineLevel="0" collapsed="false">
      <c r="A176" s="46"/>
      <c r="B176" s="47"/>
      <c r="C176" s="47"/>
      <c r="D176" s="46"/>
      <c r="E176" s="47"/>
      <c r="F176" s="47"/>
      <c r="G176" s="47"/>
      <c r="H176" s="46"/>
      <c r="I176" s="47"/>
      <c r="J176" s="47"/>
      <c r="K176" s="47"/>
      <c r="L176" s="47"/>
      <c r="M176" s="47"/>
      <c r="N176" s="47"/>
      <c r="O176" s="47"/>
      <c r="P176" s="45" t="str">
        <f aca="false">IF($A176="","",IF(COUNTIF(Accounts!$C$2:$C$201,$A176)+COUNTIF('Service Principals'!$C$2:$C$201,$A176)+COUNTIF('Managed Identities'!$C$2:$C$201,$A176)&gt;0,"Yes","NOT IN INVENTORY"))</f>
        <v/>
      </c>
    </row>
    <row r="177" customFormat="false" ht="15" hidden="false" customHeight="false" outlineLevel="0" collapsed="false">
      <c r="A177" s="46"/>
      <c r="B177" s="47"/>
      <c r="C177" s="47"/>
      <c r="D177" s="46"/>
      <c r="E177" s="47"/>
      <c r="F177" s="47"/>
      <c r="G177" s="47"/>
      <c r="H177" s="46"/>
      <c r="I177" s="47"/>
      <c r="J177" s="47"/>
      <c r="K177" s="47"/>
      <c r="L177" s="47"/>
      <c r="M177" s="47"/>
      <c r="N177" s="47"/>
      <c r="O177" s="47"/>
      <c r="P177" s="45" t="str">
        <f aca="false">IF($A177="","",IF(COUNTIF(Accounts!$C$2:$C$201,$A177)+COUNTIF('Service Principals'!$C$2:$C$201,$A177)+COUNTIF('Managed Identities'!$C$2:$C$201,$A177)&gt;0,"Yes","NOT IN INVENTORY"))</f>
        <v/>
      </c>
    </row>
    <row r="178" customFormat="false" ht="15" hidden="false" customHeight="false" outlineLevel="0" collapsed="false">
      <c r="A178" s="46"/>
      <c r="B178" s="47"/>
      <c r="C178" s="47"/>
      <c r="D178" s="46"/>
      <c r="E178" s="47"/>
      <c r="F178" s="47"/>
      <c r="G178" s="47"/>
      <c r="H178" s="46"/>
      <c r="I178" s="47"/>
      <c r="J178" s="47"/>
      <c r="K178" s="47"/>
      <c r="L178" s="47"/>
      <c r="M178" s="47"/>
      <c r="N178" s="47"/>
      <c r="O178" s="47"/>
      <c r="P178" s="45" t="str">
        <f aca="false">IF($A178="","",IF(COUNTIF(Accounts!$C$2:$C$201,$A178)+COUNTIF('Service Principals'!$C$2:$C$201,$A178)+COUNTIF('Managed Identities'!$C$2:$C$201,$A178)&gt;0,"Yes","NOT IN INVENTORY"))</f>
        <v/>
      </c>
    </row>
    <row r="179" customFormat="false" ht="15" hidden="false" customHeight="false" outlineLevel="0" collapsed="false">
      <c r="A179" s="46"/>
      <c r="B179" s="47"/>
      <c r="C179" s="47"/>
      <c r="D179" s="46"/>
      <c r="E179" s="47"/>
      <c r="F179" s="47"/>
      <c r="G179" s="47"/>
      <c r="H179" s="46"/>
      <c r="I179" s="47"/>
      <c r="J179" s="47"/>
      <c r="K179" s="47"/>
      <c r="L179" s="47"/>
      <c r="M179" s="47"/>
      <c r="N179" s="47"/>
      <c r="O179" s="47"/>
      <c r="P179" s="45" t="str">
        <f aca="false">IF($A179="","",IF(COUNTIF(Accounts!$C$2:$C$201,$A179)+COUNTIF('Service Principals'!$C$2:$C$201,$A179)+COUNTIF('Managed Identities'!$C$2:$C$201,$A179)&gt;0,"Yes","NOT IN INVENTORY"))</f>
        <v/>
      </c>
    </row>
    <row r="180" customFormat="false" ht="15" hidden="false" customHeight="false" outlineLevel="0" collapsed="false">
      <c r="A180" s="46"/>
      <c r="B180" s="47"/>
      <c r="C180" s="47"/>
      <c r="D180" s="46"/>
      <c r="E180" s="47"/>
      <c r="F180" s="47"/>
      <c r="G180" s="47"/>
      <c r="H180" s="46"/>
      <c r="I180" s="47"/>
      <c r="J180" s="47"/>
      <c r="K180" s="47"/>
      <c r="L180" s="47"/>
      <c r="M180" s="47"/>
      <c r="N180" s="47"/>
      <c r="O180" s="47"/>
      <c r="P180" s="45" t="str">
        <f aca="false">IF($A180="","",IF(COUNTIF(Accounts!$C$2:$C$201,$A180)+COUNTIF('Service Principals'!$C$2:$C$201,$A180)+COUNTIF('Managed Identities'!$C$2:$C$201,$A180)&gt;0,"Yes","NOT IN INVENTORY"))</f>
        <v/>
      </c>
    </row>
    <row r="181" customFormat="false" ht="15" hidden="false" customHeight="false" outlineLevel="0" collapsed="false">
      <c r="A181" s="46"/>
      <c r="B181" s="47"/>
      <c r="C181" s="47"/>
      <c r="D181" s="46"/>
      <c r="E181" s="47"/>
      <c r="F181" s="47"/>
      <c r="G181" s="47"/>
      <c r="H181" s="46"/>
      <c r="I181" s="47"/>
      <c r="J181" s="47"/>
      <c r="K181" s="47"/>
      <c r="L181" s="47"/>
      <c r="M181" s="47"/>
      <c r="N181" s="47"/>
      <c r="O181" s="47"/>
      <c r="P181" s="45" t="str">
        <f aca="false">IF($A181="","",IF(COUNTIF(Accounts!$C$2:$C$201,$A181)+COUNTIF('Service Principals'!$C$2:$C$201,$A181)+COUNTIF('Managed Identities'!$C$2:$C$201,$A181)&gt;0,"Yes","NOT IN INVENTORY"))</f>
        <v/>
      </c>
    </row>
    <row r="182" customFormat="false" ht="15" hidden="false" customHeight="false" outlineLevel="0" collapsed="false">
      <c r="A182" s="46"/>
      <c r="B182" s="47"/>
      <c r="C182" s="47"/>
      <c r="D182" s="46"/>
      <c r="E182" s="47"/>
      <c r="F182" s="47"/>
      <c r="G182" s="47"/>
      <c r="H182" s="46"/>
      <c r="I182" s="47"/>
      <c r="J182" s="47"/>
      <c r="K182" s="47"/>
      <c r="L182" s="47"/>
      <c r="M182" s="47"/>
      <c r="N182" s="47"/>
      <c r="O182" s="47"/>
      <c r="P182" s="45" t="str">
        <f aca="false">IF($A182="","",IF(COUNTIF(Accounts!$C$2:$C$201,$A182)+COUNTIF('Service Principals'!$C$2:$C$201,$A182)+COUNTIF('Managed Identities'!$C$2:$C$201,$A182)&gt;0,"Yes","NOT IN INVENTORY"))</f>
        <v/>
      </c>
    </row>
    <row r="183" customFormat="false" ht="15" hidden="false" customHeight="false" outlineLevel="0" collapsed="false">
      <c r="A183" s="46"/>
      <c r="B183" s="47"/>
      <c r="C183" s="47"/>
      <c r="D183" s="46"/>
      <c r="E183" s="47"/>
      <c r="F183" s="47"/>
      <c r="G183" s="47"/>
      <c r="H183" s="46"/>
      <c r="I183" s="47"/>
      <c r="J183" s="47"/>
      <c r="K183" s="47"/>
      <c r="L183" s="47"/>
      <c r="M183" s="47"/>
      <c r="N183" s="47"/>
      <c r="O183" s="47"/>
      <c r="P183" s="45" t="str">
        <f aca="false">IF($A183="","",IF(COUNTIF(Accounts!$C$2:$C$201,$A183)+COUNTIF('Service Principals'!$C$2:$C$201,$A183)+COUNTIF('Managed Identities'!$C$2:$C$201,$A183)&gt;0,"Yes","NOT IN INVENTORY"))</f>
        <v/>
      </c>
    </row>
    <row r="184" customFormat="false" ht="15" hidden="false" customHeight="false" outlineLevel="0" collapsed="false">
      <c r="A184" s="46"/>
      <c r="B184" s="47"/>
      <c r="C184" s="47"/>
      <c r="D184" s="46"/>
      <c r="E184" s="47"/>
      <c r="F184" s="47"/>
      <c r="G184" s="47"/>
      <c r="H184" s="46"/>
      <c r="I184" s="47"/>
      <c r="J184" s="47"/>
      <c r="K184" s="47"/>
      <c r="L184" s="47"/>
      <c r="M184" s="47"/>
      <c r="N184" s="47"/>
      <c r="O184" s="47"/>
      <c r="P184" s="45" t="str">
        <f aca="false">IF($A184="","",IF(COUNTIF(Accounts!$C$2:$C$201,$A184)+COUNTIF('Service Principals'!$C$2:$C$201,$A184)+COUNTIF('Managed Identities'!$C$2:$C$201,$A184)&gt;0,"Yes","NOT IN INVENTORY"))</f>
        <v/>
      </c>
    </row>
    <row r="185" customFormat="false" ht="15" hidden="false" customHeight="false" outlineLevel="0" collapsed="false">
      <c r="A185" s="46"/>
      <c r="B185" s="47"/>
      <c r="C185" s="47"/>
      <c r="D185" s="46"/>
      <c r="E185" s="47"/>
      <c r="F185" s="47"/>
      <c r="G185" s="47"/>
      <c r="H185" s="46"/>
      <c r="I185" s="47"/>
      <c r="J185" s="47"/>
      <c r="K185" s="47"/>
      <c r="L185" s="47"/>
      <c r="M185" s="47"/>
      <c r="N185" s="47"/>
      <c r="O185" s="47"/>
      <c r="P185" s="45" t="str">
        <f aca="false">IF($A185="","",IF(COUNTIF(Accounts!$C$2:$C$201,$A185)+COUNTIF('Service Principals'!$C$2:$C$201,$A185)+COUNTIF('Managed Identities'!$C$2:$C$201,$A185)&gt;0,"Yes","NOT IN INVENTORY"))</f>
        <v/>
      </c>
    </row>
    <row r="186" customFormat="false" ht="15" hidden="false" customHeight="false" outlineLevel="0" collapsed="false">
      <c r="A186" s="46"/>
      <c r="B186" s="47"/>
      <c r="C186" s="47"/>
      <c r="D186" s="46"/>
      <c r="E186" s="47"/>
      <c r="F186" s="47"/>
      <c r="G186" s="47"/>
      <c r="H186" s="46"/>
      <c r="I186" s="47"/>
      <c r="J186" s="47"/>
      <c r="K186" s="47"/>
      <c r="L186" s="47"/>
      <c r="M186" s="47"/>
      <c r="N186" s="47"/>
      <c r="O186" s="47"/>
      <c r="P186" s="45" t="str">
        <f aca="false">IF($A186="","",IF(COUNTIF(Accounts!$C$2:$C$201,$A186)+COUNTIF('Service Principals'!$C$2:$C$201,$A186)+COUNTIF('Managed Identities'!$C$2:$C$201,$A186)&gt;0,"Yes","NOT IN INVENTORY"))</f>
        <v/>
      </c>
    </row>
    <row r="187" customFormat="false" ht="15" hidden="false" customHeight="false" outlineLevel="0" collapsed="false">
      <c r="A187" s="46"/>
      <c r="B187" s="47"/>
      <c r="C187" s="47"/>
      <c r="D187" s="46"/>
      <c r="E187" s="47"/>
      <c r="F187" s="47"/>
      <c r="G187" s="47"/>
      <c r="H187" s="46"/>
      <c r="I187" s="47"/>
      <c r="J187" s="47"/>
      <c r="K187" s="47"/>
      <c r="L187" s="47"/>
      <c r="M187" s="47"/>
      <c r="N187" s="47"/>
      <c r="O187" s="47"/>
      <c r="P187" s="45" t="str">
        <f aca="false">IF($A187="","",IF(COUNTIF(Accounts!$C$2:$C$201,$A187)+COUNTIF('Service Principals'!$C$2:$C$201,$A187)+COUNTIF('Managed Identities'!$C$2:$C$201,$A187)&gt;0,"Yes","NOT IN INVENTORY"))</f>
        <v/>
      </c>
    </row>
    <row r="188" customFormat="false" ht="15" hidden="false" customHeight="false" outlineLevel="0" collapsed="false">
      <c r="A188" s="46"/>
      <c r="B188" s="47"/>
      <c r="C188" s="47"/>
      <c r="D188" s="46"/>
      <c r="E188" s="47"/>
      <c r="F188" s="47"/>
      <c r="G188" s="47"/>
      <c r="H188" s="46"/>
      <c r="I188" s="47"/>
      <c r="J188" s="47"/>
      <c r="K188" s="47"/>
      <c r="L188" s="47"/>
      <c r="M188" s="47"/>
      <c r="N188" s="47"/>
      <c r="O188" s="47"/>
      <c r="P188" s="45" t="str">
        <f aca="false">IF($A188="","",IF(COUNTIF(Accounts!$C$2:$C$201,$A188)+COUNTIF('Service Principals'!$C$2:$C$201,$A188)+COUNTIF('Managed Identities'!$C$2:$C$201,$A188)&gt;0,"Yes","NOT IN INVENTORY"))</f>
        <v/>
      </c>
    </row>
    <row r="189" customFormat="false" ht="15" hidden="false" customHeight="false" outlineLevel="0" collapsed="false">
      <c r="A189" s="46"/>
      <c r="B189" s="47"/>
      <c r="C189" s="47"/>
      <c r="D189" s="46"/>
      <c r="E189" s="47"/>
      <c r="F189" s="47"/>
      <c r="G189" s="47"/>
      <c r="H189" s="46"/>
      <c r="I189" s="47"/>
      <c r="J189" s="47"/>
      <c r="K189" s="47"/>
      <c r="L189" s="47"/>
      <c r="M189" s="47"/>
      <c r="N189" s="47"/>
      <c r="O189" s="47"/>
      <c r="P189" s="45" t="str">
        <f aca="false">IF($A189="","",IF(COUNTIF(Accounts!$C$2:$C$201,$A189)+COUNTIF('Service Principals'!$C$2:$C$201,$A189)+COUNTIF('Managed Identities'!$C$2:$C$201,$A189)&gt;0,"Yes","NOT IN INVENTORY"))</f>
        <v/>
      </c>
    </row>
    <row r="190" customFormat="false" ht="15" hidden="false" customHeight="false" outlineLevel="0" collapsed="false">
      <c r="A190" s="46"/>
      <c r="B190" s="47"/>
      <c r="C190" s="47"/>
      <c r="D190" s="46"/>
      <c r="E190" s="47"/>
      <c r="F190" s="47"/>
      <c r="G190" s="47"/>
      <c r="H190" s="46"/>
      <c r="I190" s="47"/>
      <c r="J190" s="47"/>
      <c r="K190" s="47"/>
      <c r="L190" s="47"/>
      <c r="M190" s="47"/>
      <c r="N190" s="47"/>
      <c r="O190" s="47"/>
      <c r="P190" s="45" t="str">
        <f aca="false">IF($A190="","",IF(COUNTIF(Accounts!$C$2:$C$201,$A190)+COUNTIF('Service Principals'!$C$2:$C$201,$A190)+COUNTIF('Managed Identities'!$C$2:$C$201,$A190)&gt;0,"Yes","NOT IN INVENTORY"))</f>
        <v/>
      </c>
    </row>
    <row r="191" customFormat="false" ht="15" hidden="false" customHeight="false" outlineLevel="0" collapsed="false">
      <c r="A191" s="46"/>
      <c r="B191" s="47"/>
      <c r="C191" s="47"/>
      <c r="D191" s="46"/>
      <c r="E191" s="47"/>
      <c r="F191" s="47"/>
      <c r="G191" s="47"/>
      <c r="H191" s="46"/>
      <c r="I191" s="47"/>
      <c r="J191" s="47"/>
      <c r="K191" s="47"/>
      <c r="L191" s="47"/>
      <c r="M191" s="47"/>
      <c r="N191" s="47"/>
      <c r="O191" s="47"/>
      <c r="P191" s="45" t="str">
        <f aca="false">IF($A191="","",IF(COUNTIF(Accounts!$C$2:$C$201,$A191)+COUNTIF('Service Principals'!$C$2:$C$201,$A191)+COUNTIF('Managed Identities'!$C$2:$C$201,$A191)&gt;0,"Yes","NOT IN INVENTORY"))</f>
        <v/>
      </c>
    </row>
    <row r="192" customFormat="false" ht="15" hidden="false" customHeight="false" outlineLevel="0" collapsed="false">
      <c r="A192" s="46"/>
      <c r="B192" s="47"/>
      <c r="C192" s="47"/>
      <c r="D192" s="46"/>
      <c r="E192" s="47"/>
      <c r="F192" s="47"/>
      <c r="G192" s="47"/>
      <c r="H192" s="46"/>
      <c r="I192" s="47"/>
      <c r="J192" s="47"/>
      <c r="K192" s="47"/>
      <c r="L192" s="47"/>
      <c r="M192" s="47"/>
      <c r="N192" s="47"/>
      <c r="O192" s="47"/>
      <c r="P192" s="45" t="str">
        <f aca="false">IF($A192="","",IF(COUNTIF(Accounts!$C$2:$C$201,$A192)+COUNTIF('Service Principals'!$C$2:$C$201,$A192)+COUNTIF('Managed Identities'!$C$2:$C$201,$A192)&gt;0,"Yes","NOT IN INVENTORY"))</f>
        <v/>
      </c>
    </row>
    <row r="193" customFormat="false" ht="15" hidden="false" customHeight="false" outlineLevel="0" collapsed="false">
      <c r="A193" s="46"/>
      <c r="B193" s="47"/>
      <c r="C193" s="47"/>
      <c r="D193" s="46"/>
      <c r="E193" s="47"/>
      <c r="F193" s="47"/>
      <c r="G193" s="47"/>
      <c r="H193" s="46"/>
      <c r="I193" s="47"/>
      <c r="J193" s="47"/>
      <c r="K193" s="47"/>
      <c r="L193" s="47"/>
      <c r="M193" s="47"/>
      <c r="N193" s="47"/>
      <c r="O193" s="47"/>
      <c r="P193" s="45" t="str">
        <f aca="false">IF($A193="","",IF(COUNTIF(Accounts!$C$2:$C$201,$A193)+COUNTIF('Service Principals'!$C$2:$C$201,$A193)+COUNTIF('Managed Identities'!$C$2:$C$201,$A193)&gt;0,"Yes","NOT IN INVENTORY"))</f>
        <v/>
      </c>
    </row>
    <row r="194" customFormat="false" ht="15" hidden="false" customHeight="false" outlineLevel="0" collapsed="false">
      <c r="A194" s="46"/>
      <c r="B194" s="47"/>
      <c r="C194" s="47"/>
      <c r="D194" s="46"/>
      <c r="E194" s="47"/>
      <c r="F194" s="47"/>
      <c r="G194" s="47"/>
      <c r="H194" s="46"/>
      <c r="I194" s="47"/>
      <c r="J194" s="47"/>
      <c r="K194" s="47"/>
      <c r="L194" s="47"/>
      <c r="M194" s="47"/>
      <c r="N194" s="47"/>
      <c r="O194" s="47"/>
      <c r="P194" s="45" t="str">
        <f aca="false">IF($A194="","",IF(COUNTIF(Accounts!$C$2:$C$201,$A194)+COUNTIF('Service Principals'!$C$2:$C$201,$A194)+COUNTIF('Managed Identities'!$C$2:$C$201,$A194)&gt;0,"Yes","NOT IN INVENTORY"))</f>
        <v/>
      </c>
    </row>
    <row r="195" customFormat="false" ht="15" hidden="false" customHeight="false" outlineLevel="0" collapsed="false">
      <c r="A195" s="46"/>
      <c r="B195" s="47"/>
      <c r="C195" s="47"/>
      <c r="D195" s="46"/>
      <c r="E195" s="47"/>
      <c r="F195" s="47"/>
      <c r="G195" s="47"/>
      <c r="H195" s="46"/>
      <c r="I195" s="47"/>
      <c r="J195" s="47"/>
      <c r="K195" s="47"/>
      <c r="L195" s="47"/>
      <c r="M195" s="47"/>
      <c r="N195" s="47"/>
      <c r="O195" s="47"/>
      <c r="P195" s="45" t="str">
        <f aca="false">IF($A195="","",IF(COUNTIF(Accounts!$C$2:$C$201,$A195)+COUNTIF('Service Principals'!$C$2:$C$201,$A195)+COUNTIF('Managed Identities'!$C$2:$C$201,$A195)&gt;0,"Yes","NOT IN INVENTORY"))</f>
        <v/>
      </c>
    </row>
    <row r="196" customFormat="false" ht="15" hidden="false" customHeight="false" outlineLevel="0" collapsed="false">
      <c r="A196" s="46"/>
      <c r="B196" s="47"/>
      <c r="C196" s="47"/>
      <c r="D196" s="46"/>
      <c r="E196" s="47"/>
      <c r="F196" s="47"/>
      <c r="G196" s="47"/>
      <c r="H196" s="46"/>
      <c r="I196" s="47"/>
      <c r="J196" s="47"/>
      <c r="K196" s="47"/>
      <c r="L196" s="47"/>
      <c r="M196" s="47"/>
      <c r="N196" s="47"/>
      <c r="O196" s="47"/>
      <c r="P196" s="45" t="str">
        <f aca="false">IF($A196="","",IF(COUNTIF(Accounts!$C$2:$C$201,$A196)+COUNTIF('Service Principals'!$C$2:$C$201,$A196)+COUNTIF('Managed Identities'!$C$2:$C$201,$A196)&gt;0,"Yes","NOT IN INVENTORY"))</f>
        <v/>
      </c>
    </row>
    <row r="197" customFormat="false" ht="15" hidden="false" customHeight="false" outlineLevel="0" collapsed="false">
      <c r="A197" s="46"/>
      <c r="B197" s="47"/>
      <c r="C197" s="47"/>
      <c r="D197" s="46"/>
      <c r="E197" s="47"/>
      <c r="F197" s="47"/>
      <c r="G197" s="47"/>
      <c r="H197" s="46"/>
      <c r="I197" s="47"/>
      <c r="J197" s="47"/>
      <c r="K197" s="47"/>
      <c r="L197" s="47"/>
      <c r="M197" s="47"/>
      <c r="N197" s="47"/>
      <c r="O197" s="47"/>
      <c r="P197" s="45" t="str">
        <f aca="false">IF($A197="","",IF(COUNTIF(Accounts!$C$2:$C$201,$A197)+COUNTIF('Service Principals'!$C$2:$C$201,$A197)+COUNTIF('Managed Identities'!$C$2:$C$201,$A197)&gt;0,"Yes","NOT IN INVENTORY"))</f>
        <v/>
      </c>
    </row>
    <row r="198" customFormat="false" ht="15" hidden="false" customHeight="false" outlineLevel="0" collapsed="false">
      <c r="A198" s="46"/>
      <c r="B198" s="47"/>
      <c r="C198" s="47"/>
      <c r="D198" s="46"/>
      <c r="E198" s="47"/>
      <c r="F198" s="47"/>
      <c r="G198" s="47"/>
      <c r="H198" s="46"/>
      <c r="I198" s="47"/>
      <c r="J198" s="47"/>
      <c r="K198" s="47"/>
      <c r="L198" s="47"/>
      <c r="M198" s="47"/>
      <c r="N198" s="47"/>
      <c r="O198" s="47"/>
      <c r="P198" s="45" t="str">
        <f aca="false">IF($A198="","",IF(COUNTIF(Accounts!$C$2:$C$201,$A198)+COUNTIF('Service Principals'!$C$2:$C$201,$A198)+COUNTIF('Managed Identities'!$C$2:$C$201,$A198)&gt;0,"Yes","NOT IN INVENTORY"))</f>
        <v/>
      </c>
    </row>
    <row r="199" customFormat="false" ht="15" hidden="false" customHeight="false" outlineLevel="0" collapsed="false">
      <c r="A199" s="46"/>
      <c r="B199" s="47"/>
      <c r="C199" s="47"/>
      <c r="D199" s="46"/>
      <c r="E199" s="47"/>
      <c r="F199" s="47"/>
      <c r="G199" s="47"/>
      <c r="H199" s="46"/>
      <c r="I199" s="47"/>
      <c r="J199" s="47"/>
      <c r="K199" s="47"/>
      <c r="L199" s="47"/>
      <c r="M199" s="47"/>
      <c r="N199" s="47"/>
      <c r="O199" s="47"/>
      <c r="P199" s="45" t="str">
        <f aca="false">IF($A199="","",IF(COUNTIF(Accounts!$C$2:$C$201,$A199)+COUNTIF('Service Principals'!$C$2:$C$201,$A199)+COUNTIF('Managed Identities'!$C$2:$C$201,$A199)&gt;0,"Yes","NOT IN INVENTORY"))</f>
        <v/>
      </c>
    </row>
    <row r="200" customFormat="false" ht="15" hidden="false" customHeight="false" outlineLevel="0" collapsed="false">
      <c r="A200" s="46"/>
      <c r="B200" s="47"/>
      <c r="C200" s="47"/>
      <c r="D200" s="46"/>
      <c r="E200" s="47"/>
      <c r="F200" s="47"/>
      <c r="G200" s="47"/>
      <c r="H200" s="46"/>
      <c r="I200" s="47"/>
      <c r="J200" s="47"/>
      <c r="K200" s="47"/>
      <c r="L200" s="47"/>
      <c r="M200" s="47"/>
      <c r="N200" s="47"/>
      <c r="O200" s="47"/>
      <c r="P200" s="45" t="str">
        <f aca="false">IF($A200="","",IF(COUNTIF(Accounts!$C$2:$C$201,$A200)+COUNTIF('Service Principals'!$C$2:$C$201,$A200)+COUNTIF('Managed Identities'!$C$2:$C$201,$A200)&gt;0,"Yes","NOT IN INVENTORY"))</f>
        <v/>
      </c>
    </row>
    <row r="201" customFormat="false" ht="15" hidden="false" customHeight="false" outlineLevel="0" collapsed="false">
      <c r="A201" s="46"/>
      <c r="B201" s="47"/>
      <c r="C201" s="47"/>
      <c r="D201" s="46"/>
      <c r="E201" s="47"/>
      <c r="F201" s="47"/>
      <c r="G201" s="47"/>
      <c r="H201" s="46"/>
      <c r="I201" s="47"/>
      <c r="J201" s="47"/>
      <c r="K201" s="47"/>
      <c r="L201" s="47"/>
      <c r="M201" s="47"/>
      <c r="N201" s="47"/>
      <c r="O201" s="47"/>
      <c r="P201" s="45" t="str">
        <f aca="false">IF($A201="","",IF(COUNTIF(Accounts!$C$2:$C$201,$A201)+COUNTIF('Service Principals'!$C$2:$C$201,$A201)+COUNTIF('Managed Identities'!$C$2:$C$201,$A201)&gt;0,"Yes","NOT IN INVENTORY"))</f>
        <v/>
      </c>
    </row>
    <row r="202" customFormat="false" ht="15" hidden="false" customHeight="false" outlineLevel="0" collapsed="false">
      <c r="A202" s="46"/>
      <c r="B202" s="47"/>
      <c r="C202" s="47"/>
      <c r="D202" s="46"/>
      <c r="E202" s="47"/>
      <c r="F202" s="47"/>
      <c r="G202" s="47"/>
      <c r="H202" s="46"/>
      <c r="I202" s="47"/>
      <c r="J202" s="47"/>
      <c r="K202" s="47"/>
      <c r="L202" s="47"/>
      <c r="M202" s="47"/>
      <c r="N202" s="47"/>
      <c r="O202" s="47"/>
      <c r="P202" s="45" t="str">
        <f aca="false">IF($A202="","",IF(COUNTIF(Accounts!$C$2:$C$201,$A202)+COUNTIF('Service Principals'!$C$2:$C$201,$A202)+COUNTIF('Managed Identities'!$C$2:$C$201,$A202)&gt;0,"Yes","NOT IN INVENTORY"))</f>
        <v/>
      </c>
    </row>
    <row r="203" customFormat="false" ht="15" hidden="false" customHeight="false" outlineLevel="0" collapsed="false">
      <c r="A203" s="46"/>
      <c r="B203" s="47"/>
      <c r="C203" s="47"/>
      <c r="D203" s="46"/>
      <c r="E203" s="47"/>
      <c r="F203" s="47"/>
      <c r="G203" s="47"/>
      <c r="H203" s="46"/>
      <c r="I203" s="47"/>
      <c r="J203" s="47"/>
      <c r="K203" s="47"/>
      <c r="L203" s="47"/>
      <c r="M203" s="47"/>
      <c r="N203" s="47"/>
      <c r="O203" s="47"/>
      <c r="P203" s="45" t="str">
        <f aca="false">IF($A203="","",IF(COUNTIF(Accounts!$C$2:$C$201,$A203)+COUNTIF('Service Principals'!$C$2:$C$201,$A203)+COUNTIF('Managed Identities'!$C$2:$C$201,$A203)&gt;0,"Yes","NOT IN INVENTORY"))</f>
        <v/>
      </c>
    </row>
    <row r="204" customFormat="false" ht="15" hidden="false" customHeight="false" outlineLevel="0" collapsed="false">
      <c r="A204" s="46"/>
      <c r="B204" s="47"/>
      <c r="C204" s="47"/>
      <c r="D204" s="46"/>
      <c r="E204" s="47"/>
      <c r="F204" s="47"/>
      <c r="G204" s="47"/>
      <c r="H204" s="46"/>
      <c r="I204" s="47"/>
      <c r="J204" s="47"/>
      <c r="K204" s="47"/>
      <c r="L204" s="47"/>
      <c r="M204" s="47"/>
      <c r="N204" s="47"/>
      <c r="O204" s="47"/>
      <c r="P204" s="45" t="str">
        <f aca="false">IF($A204="","",IF(COUNTIF(Accounts!$C$2:$C$201,$A204)+COUNTIF('Service Principals'!$C$2:$C$201,$A204)+COUNTIF('Managed Identities'!$C$2:$C$201,$A204)&gt;0,"Yes","NOT IN INVENTORY"))</f>
        <v/>
      </c>
    </row>
    <row r="205" customFormat="false" ht="15" hidden="false" customHeight="false" outlineLevel="0" collapsed="false">
      <c r="A205" s="46"/>
      <c r="B205" s="47"/>
      <c r="C205" s="47"/>
      <c r="D205" s="46"/>
      <c r="E205" s="47"/>
      <c r="F205" s="47"/>
      <c r="G205" s="47"/>
      <c r="H205" s="46"/>
      <c r="I205" s="47"/>
      <c r="J205" s="47"/>
      <c r="K205" s="47"/>
      <c r="L205" s="47"/>
      <c r="M205" s="47"/>
      <c r="N205" s="47"/>
      <c r="O205" s="47"/>
      <c r="P205" s="45" t="str">
        <f aca="false">IF($A205="","",IF(COUNTIF(Accounts!$C$2:$C$201,$A205)+COUNTIF('Service Principals'!$C$2:$C$201,$A205)+COUNTIF('Managed Identities'!$C$2:$C$201,$A205)&gt;0,"Yes","NOT IN INVENTORY"))</f>
        <v/>
      </c>
    </row>
    <row r="206" customFormat="false" ht="15" hidden="false" customHeight="false" outlineLevel="0" collapsed="false">
      <c r="A206" s="46"/>
      <c r="B206" s="47"/>
      <c r="C206" s="47"/>
      <c r="D206" s="46"/>
      <c r="E206" s="47"/>
      <c r="F206" s="47"/>
      <c r="G206" s="47"/>
      <c r="H206" s="46"/>
      <c r="I206" s="47"/>
      <c r="J206" s="47"/>
      <c r="K206" s="47"/>
      <c r="L206" s="47"/>
      <c r="M206" s="47"/>
      <c r="N206" s="47"/>
      <c r="O206" s="47"/>
      <c r="P206" s="45" t="str">
        <f aca="false">IF($A206="","",IF(COUNTIF(Accounts!$C$2:$C$201,$A206)+COUNTIF('Service Principals'!$C$2:$C$201,$A206)+COUNTIF('Managed Identities'!$C$2:$C$201,$A206)&gt;0,"Yes","NOT IN INVENTORY"))</f>
        <v/>
      </c>
    </row>
    <row r="207" customFormat="false" ht="15" hidden="false" customHeight="false" outlineLevel="0" collapsed="false">
      <c r="A207" s="46"/>
      <c r="B207" s="47"/>
      <c r="C207" s="47"/>
      <c r="D207" s="46"/>
      <c r="E207" s="47"/>
      <c r="F207" s="47"/>
      <c r="G207" s="47"/>
      <c r="H207" s="46"/>
      <c r="I207" s="47"/>
      <c r="J207" s="47"/>
      <c r="K207" s="47"/>
      <c r="L207" s="47"/>
      <c r="M207" s="47"/>
      <c r="N207" s="47"/>
      <c r="O207" s="47"/>
      <c r="P207" s="45" t="str">
        <f aca="false">IF($A207="","",IF(COUNTIF(Accounts!$C$2:$C$201,$A207)+COUNTIF('Service Principals'!$C$2:$C$201,$A207)+COUNTIF('Managed Identities'!$C$2:$C$201,$A207)&gt;0,"Yes","NOT IN INVENTORY"))</f>
        <v/>
      </c>
    </row>
    <row r="208" customFormat="false" ht="15" hidden="false" customHeight="false" outlineLevel="0" collapsed="false">
      <c r="A208" s="46"/>
      <c r="B208" s="47"/>
      <c r="C208" s="47"/>
      <c r="D208" s="46"/>
      <c r="E208" s="47"/>
      <c r="F208" s="47"/>
      <c r="G208" s="47"/>
      <c r="H208" s="46"/>
      <c r="I208" s="47"/>
      <c r="J208" s="47"/>
      <c r="K208" s="47"/>
      <c r="L208" s="47"/>
      <c r="M208" s="47"/>
      <c r="N208" s="47"/>
      <c r="O208" s="47"/>
      <c r="P208" s="45" t="str">
        <f aca="false">IF($A208="","",IF(COUNTIF(Accounts!$C$2:$C$201,$A208)+COUNTIF('Service Principals'!$C$2:$C$201,$A208)+COUNTIF('Managed Identities'!$C$2:$C$201,$A208)&gt;0,"Yes","NOT IN INVENTORY"))</f>
        <v/>
      </c>
    </row>
    <row r="209" customFormat="false" ht="15" hidden="false" customHeight="false" outlineLevel="0" collapsed="false">
      <c r="A209" s="46"/>
      <c r="B209" s="47"/>
      <c r="C209" s="47"/>
      <c r="D209" s="46"/>
      <c r="E209" s="47"/>
      <c r="F209" s="47"/>
      <c r="G209" s="47"/>
      <c r="H209" s="46"/>
      <c r="I209" s="47"/>
      <c r="J209" s="47"/>
      <c r="K209" s="47"/>
      <c r="L209" s="47"/>
      <c r="M209" s="47"/>
      <c r="N209" s="47"/>
      <c r="O209" s="47"/>
      <c r="P209" s="45" t="str">
        <f aca="false">IF($A209="","",IF(COUNTIF(Accounts!$C$2:$C$201,$A209)+COUNTIF('Service Principals'!$C$2:$C$201,$A209)+COUNTIF('Managed Identities'!$C$2:$C$201,$A209)&gt;0,"Yes","NOT IN INVENTORY"))</f>
        <v/>
      </c>
    </row>
    <row r="210" customFormat="false" ht="15" hidden="false" customHeight="false" outlineLevel="0" collapsed="false">
      <c r="A210" s="46"/>
      <c r="B210" s="47"/>
      <c r="C210" s="47"/>
      <c r="D210" s="46"/>
      <c r="E210" s="47"/>
      <c r="F210" s="47"/>
      <c r="G210" s="47"/>
      <c r="H210" s="46"/>
      <c r="I210" s="47"/>
      <c r="J210" s="47"/>
      <c r="K210" s="47"/>
      <c r="L210" s="47"/>
      <c r="M210" s="47"/>
      <c r="N210" s="47"/>
      <c r="O210" s="47"/>
      <c r="P210" s="45" t="str">
        <f aca="false">IF($A210="","",IF(COUNTIF(Accounts!$C$2:$C$201,$A210)+COUNTIF('Service Principals'!$C$2:$C$201,$A210)+COUNTIF('Managed Identities'!$C$2:$C$201,$A210)&gt;0,"Yes","NOT IN INVENTORY"))</f>
        <v/>
      </c>
    </row>
    <row r="211" customFormat="false" ht="15" hidden="false" customHeight="false" outlineLevel="0" collapsed="false">
      <c r="A211" s="46"/>
      <c r="B211" s="47"/>
      <c r="C211" s="47"/>
      <c r="D211" s="46"/>
      <c r="E211" s="47"/>
      <c r="F211" s="47"/>
      <c r="G211" s="47"/>
      <c r="H211" s="46"/>
      <c r="I211" s="47"/>
      <c r="J211" s="47"/>
      <c r="K211" s="47"/>
      <c r="L211" s="47"/>
      <c r="M211" s="47"/>
      <c r="N211" s="47"/>
      <c r="O211" s="47"/>
      <c r="P211" s="45" t="str">
        <f aca="false">IF($A211="","",IF(COUNTIF(Accounts!$C$2:$C$201,$A211)+COUNTIF('Service Principals'!$C$2:$C$201,$A211)+COUNTIF('Managed Identities'!$C$2:$C$201,$A211)&gt;0,"Yes","NOT IN INVENTORY"))</f>
        <v/>
      </c>
    </row>
    <row r="212" customFormat="false" ht="15" hidden="false" customHeight="false" outlineLevel="0" collapsed="false">
      <c r="A212" s="46"/>
      <c r="B212" s="47"/>
      <c r="C212" s="47"/>
      <c r="D212" s="46"/>
      <c r="E212" s="47"/>
      <c r="F212" s="47"/>
      <c r="G212" s="47"/>
      <c r="H212" s="46"/>
      <c r="I212" s="47"/>
      <c r="J212" s="47"/>
      <c r="K212" s="47"/>
      <c r="L212" s="47"/>
      <c r="M212" s="47"/>
      <c r="N212" s="47"/>
      <c r="O212" s="47"/>
      <c r="P212" s="45" t="str">
        <f aca="false">IF($A212="","",IF(COUNTIF(Accounts!$C$2:$C$201,$A212)+COUNTIF('Service Principals'!$C$2:$C$201,$A212)+COUNTIF('Managed Identities'!$C$2:$C$201,$A212)&gt;0,"Yes","NOT IN INVENTORY"))</f>
        <v/>
      </c>
    </row>
    <row r="213" customFormat="false" ht="15" hidden="false" customHeight="false" outlineLevel="0" collapsed="false">
      <c r="A213" s="46"/>
      <c r="B213" s="47"/>
      <c r="C213" s="47"/>
      <c r="D213" s="46"/>
      <c r="E213" s="47"/>
      <c r="F213" s="47"/>
      <c r="G213" s="47"/>
      <c r="H213" s="46"/>
      <c r="I213" s="47"/>
      <c r="J213" s="47"/>
      <c r="K213" s="47"/>
      <c r="L213" s="47"/>
      <c r="M213" s="47"/>
      <c r="N213" s="47"/>
      <c r="O213" s="47"/>
      <c r="P213" s="45" t="str">
        <f aca="false">IF($A213="","",IF(COUNTIF(Accounts!$C$2:$C$201,$A213)+COUNTIF('Service Principals'!$C$2:$C$201,$A213)+COUNTIF('Managed Identities'!$C$2:$C$201,$A213)&gt;0,"Yes","NOT IN INVENTORY"))</f>
        <v/>
      </c>
    </row>
    <row r="214" customFormat="false" ht="15" hidden="false" customHeight="false" outlineLevel="0" collapsed="false">
      <c r="A214" s="46"/>
      <c r="B214" s="47"/>
      <c r="C214" s="47"/>
      <c r="D214" s="46"/>
      <c r="E214" s="47"/>
      <c r="F214" s="47"/>
      <c r="G214" s="47"/>
      <c r="H214" s="46"/>
      <c r="I214" s="47"/>
      <c r="J214" s="47"/>
      <c r="K214" s="47"/>
      <c r="L214" s="47"/>
      <c r="M214" s="47"/>
      <c r="N214" s="47"/>
      <c r="O214" s="47"/>
      <c r="P214" s="45" t="str">
        <f aca="false">IF($A214="","",IF(COUNTIF(Accounts!$C$2:$C$201,$A214)+COUNTIF('Service Principals'!$C$2:$C$201,$A214)+COUNTIF('Managed Identities'!$C$2:$C$201,$A214)&gt;0,"Yes","NOT IN INVENTORY"))</f>
        <v/>
      </c>
    </row>
    <row r="215" customFormat="false" ht="15" hidden="false" customHeight="false" outlineLevel="0" collapsed="false">
      <c r="A215" s="46"/>
      <c r="B215" s="47"/>
      <c r="C215" s="47"/>
      <c r="D215" s="46"/>
      <c r="E215" s="47"/>
      <c r="F215" s="47"/>
      <c r="G215" s="47"/>
      <c r="H215" s="46"/>
      <c r="I215" s="47"/>
      <c r="J215" s="47"/>
      <c r="K215" s="47"/>
      <c r="L215" s="47"/>
      <c r="M215" s="47"/>
      <c r="N215" s="47"/>
      <c r="O215" s="47"/>
      <c r="P215" s="45" t="str">
        <f aca="false">IF($A215="","",IF(COUNTIF(Accounts!$C$2:$C$201,$A215)+COUNTIF('Service Principals'!$C$2:$C$201,$A215)+COUNTIF('Managed Identities'!$C$2:$C$201,$A215)&gt;0,"Yes","NOT IN INVENTORY"))</f>
        <v/>
      </c>
    </row>
    <row r="216" customFormat="false" ht="15" hidden="false" customHeight="false" outlineLevel="0" collapsed="false">
      <c r="A216" s="46"/>
      <c r="B216" s="47"/>
      <c r="C216" s="47"/>
      <c r="D216" s="46"/>
      <c r="E216" s="47"/>
      <c r="F216" s="47"/>
      <c r="G216" s="47"/>
      <c r="H216" s="46"/>
      <c r="I216" s="47"/>
      <c r="J216" s="47"/>
      <c r="K216" s="47"/>
      <c r="L216" s="47"/>
      <c r="M216" s="47"/>
      <c r="N216" s="47"/>
      <c r="O216" s="47"/>
      <c r="P216" s="45" t="str">
        <f aca="false">IF($A216="","",IF(COUNTIF(Accounts!$C$2:$C$201,$A216)+COUNTIF('Service Principals'!$C$2:$C$201,$A216)+COUNTIF('Managed Identities'!$C$2:$C$201,$A216)&gt;0,"Yes","NOT IN INVENTORY"))</f>
        <v/>
      </c>
    </row>
    <row r="217" customFormat="false" ht="15" hidden="false" customHeight="false" outlineLevel="0" collapsed="false">
      <c r="A217" s="46"/>
      <c r="B217" s="47"/>
      <c r="C217" s="47"/>
      <c r="D217" s="46"/>
      <c r="E217" s="47"/>
      <c r="F217" s="47"/>
      <c r="G217" s="47"/>
      <c r="H217" s="46"/>
      <c r="I217" s="47"/>
      <c r="J217" s="47"/>
      <c r="K217" s="47"/>
      <c r="L217" s="47"/>
      <c r="M217" s="47"/>
      <c r="N217" s="47"/>
      <c r="O217" s="47"/>
      <c r="P217" s="45" t="str">
        <f aca="false">IF($A217="","",IF(COUNTIF(Accounts!$C$2:$C$201,$A217)+COUNTIF('Service Principals'!$C$2:$C$201,$A217)+COUNTIF('Managed Identities'!$C$2:$C$201,$A217)&gt;0,"Yes","NOT IN INVENTORY"))</f>
        <v/>
      </c>
    </row>
    <row r="218" customFormat="false" ht="15" hidden="false" customHeight="false" outlineLevel="0" collapsed="false">
      <c r="A218" s="46"/>
      <c r="B218" s="47"/>
      <c r="C218" s="47"/>
      <c r="D218" s="46"/>
      <c r="E218" s="47"/>
      <c r="F218" s="47"/>
      <c r="G218" s="47"/>
      <c r="H218" s="46"/>
      <c r="I218" s="47"/>
      <c r="J218" s="47"/>
      <c r="K218" s="47"/>
      <c r="L218" s="47"/>
      <c r="M218" s="47"/>
      <c r="N218" s="47"/>
      <c r="O218" s="47"/>
      <c r="P218" s="45" t="str">
        <f aca="false">IF($A218="","",IF(COUNTIF(Accounts!$C$2:$C$201,$A218)+COUNTIF('Service Principals'!$C$2:$C$201,$A218)+COUNTIF('Managed Identities'!$C$2:$C$201,$A218)&gt;0,"Yes","NOT IN INVENTORY"))</f>
        <v/>
      </c>
    </row>
    <row r="219" customFormat="false" ht="15" hidden="false" customHeight="false" outlineLevel="0" collapsed="false">
      <c r="A219" s="46"/>
      <c r="B219" s="47"/>
      <c r="C219" s="47"/>
      <c r="D219" s="46"/>
      <c r="E219" s="47"/>
      <c r="F219" s="47"/>
      <c r="G219" s="47"/>
      <c r="H219" s="46"/>
      <c r="I219" s="47"/>
      <c r="J219" s="47"/>
      <c r="K219" s="47"/>
      <c r="L219" s="47"/>
      <c r="M219" s="47"/>
      <c r="N219" s="47"/>
      <c r="O219" s="47"/>
      <c r="P219" s="45" t="str">
        <f aca="false">IF($A219="","",IF(COUNTIF(Accounts!$C$2:$C$201,$A219)+COUNTIF('Service Principals'!$C$2:$C$201,$A219)+COUNTIF('Managed Identities'!$C$2:$C$201,$A219)&gt;0,"Yes","NOT IN INVENTORY"))</f>
        <v/>
      </c>
    </row>
    <row r="220" customFormat="false" ht="15" hidden="false" customHeight="false" outlineLevel="0" collapsed="false">
      <c r="A220" s="46"/>
      <c r="B220" s="47"/>
      <c r="C220" s="47"/>
      <c r="D220" s="46"/>
      <c r="E220" s="47"/>
      <c r="F220" s="47"/>
      <c r="G220" s="47"/>
      <c r="H220" s="46"/>
      <c r="I220" s="47"/>
      <c r="J220" s="47"/>
      <c r="K220" s="47"/>
      <c r="L220" s="47"/>
      <c r="M220" s="47"/>
      <c r="N220" s="47"/>
      <c r="O220" s="47"/>
      <c r="P220" s="45" t="str">
        <f aca="false">IF($A220="","",IF(COUNTIF(Accounts!$C$2:$C$201,$A220)+COUNTIF('Service Principals'!$C$2:$C$201,$A220)+COUNTIF('Managed Identities'!$C$2:$C$201,$A220)&gt;0,"Yes","NOT IN INVENTORY"))</f>
        <v/>
      </c>
    </row>
    <row r="221" customFormat="false" ht="15" hidden="false" customHeight="false" outlineLevel="0" collapsed="false">
      <c r="A221" s="46"/>
      <c r="B221" s="47"/>
      <c r="C221" s="47"/>
      <c r="D221" s="46"/>
      <c r="E221" s="47"/>
      <c r="F221" s="47"/>
      <c r="G221" s="47"/>
      <c r="H221" s="46"/>
      <c r="I221" s="47"/>
      <c r="J221" s="47"/>
      <c r="K221" s="47"/>
      <c r="L221" s="47"/>
      <c r="M221" s="47"/>
      <c r="N221" s="47"/>
      <c r="O221" s="47"/>
      <c r="P221" s="45" t="str">
        <f aca="false">IF($A221="","",IF(COUNTIF(Accounts!$C$2:$C$201,$A221)+COUNTIF('Service Principals'!$C$2:$C$201,$A221)+COUNTIF('Managed Identities'!$C$2:$C$201,$A221)&gt;0,"Yes","NOT IN INVENTORY"))</f>
        <v/>
      </c>
    </row>
    <row r="222" customFormat="false" ht="15" hidden="false" customHeight="false" outlineLevel="0" collapsed="false">
      <c r="A222" s="46"/>
      <c r="B222" s="47"/>
      <c r="C222" s="47"/>
      <c r="D222" s="46"/>
      <c r="E222" s="47"/>
      <c r="F222" s="47"/>
      <c r="G222" s="47"/>
      <c r="H222" s="46"/>
      <c r="I222" s="47"/>
      <c r="J222" s="47"/>
      <c r="K222" s="47"/>
      <c r="L222" s="47"/>
      <c r="M222" s="47"/>
      <c r="N222" s="47"/>
      <c r="O222" s="47"/>
      <c r="P222" s="45" t="str">
        <f aca="false">IF($A222="","",IF(COUNTIF(Accounts!$C$2:$C$201,$A222)+COUNTIF('Service Principals'!$C$2:$C$201,$A222)+COUNTIF('Managed Identities'!$C$2:$C$201,$A222)&gt;0,"Yes","NOT IN INVENTORY"))</f>
        <v/>
      </c>
    </row>
    <row r="223" customFormat="false" ht="15" hidden="false" customHeight="false" outlineLevel="0" collapsed="false">
      <c r="A223" s="46"/>
      <c r="B223" s="47"/>
      <c r="C223" s="47"/>
      <c r="D223" s="46"/>
      <c r="E223" s="47"/>
      <c r="F223" s="47"/>
      <c r="G223" s="47"/>
      <c r="H223" s="46"/>
      <c r="I223" s="47"/>
      <c r="J223" s="47"/>
      <c r="K223" s="47"/>
      <c r="L223" s="47"/>
      <c r="M223" s="47"/>
      <c r="N223" s="47"/>
      <c r="O223" s="47"/>
      <c r="P223" s="45" t="str">
        <f aca="false">IF($A223="","",IF(COUNTIF(Accounts!$C$2:$C$201,$A223)+COUNTIF('Service Principals'!$C$2:$C$201,$A223)+COUNTIF('Managed Identities'!$C$2:$C$201,$A223)&gt;0,"Yes","NOT IN INVENTORY"))</f>
        <v/>
      </c>
    </row>
    <row r="224" customFormat="false" ht="15" hidden="false" customHeight="false" outlineLevel="0" collapsed="false">
      <c r="A224" s="46"/>
      <c r="B224" s="47"/>
      <c r="C224" s="47"/>
      <c r="D224" s="46"/>
      <c r="E224" s="47"/>
      <c r="F224" s="47"/>
      <c r="G224" s="47"/>
      <c r="H224" s="46"/>
      <c r="I224" s="47"/>
      <c r="J224" s="47"/>
      <c r="K224" s="47"/>
      <c r="L224" s="47"/>
      <c r="M224" s="47"/>
      <c r="N224" s="47"/>
      <c r="O224" s="47"/>
      <c r="P224" s="45" t="str">
        <f aca="false">IF($A224="","",IF(COUNTIF(Accounts!$C$2:$C$201,$A224)+COUNTIF('Service Principals'!$C$2:$C$201,$A224)+COUNTIF('Managed Identities'!$C$2:$C$201,$A224)&gt;0,"Yes","NOT IN INVENTORY"))</f>
        <v/>
      </c>
    </row>
    <row r="225" customFormat="false" ht="15" hidden="false" customHeight="false" outlineLevel="0" collapsed="false">
      <c r="A225" s="46"/>
      <c r="B225" s="47"/>
      <c r="C225" s="47"/>
      <c r="D225" s="46"/>
      <c r="E225" s="47"/>
      <c r="F225" s="47"/>
      <c r="G225" s="47"/>
      <c r="H225" s="46"/>
      <c r="I225" s="47"/>
      <c r="J225" s="47"/>
      <c r="K225" s="47"/>
      <c r="L225" s="47"/>
      <c r="M225" s="47"/>
      <c r="N225" s="47"/>
      <c r="O225" s="47"/>
      <c r="P225" s="45" t="str">
        <f aca="false">IF($A225="","",IF(COUNTIF(Accounts!$C$2:$C$201,$A225)+COUNTIF('Service Principals'!$C$2:$C$201,$A225)+COUNTIF('Managed Identities'!$C$2:$C$201,$A225)&gt;0,"Yes","NOT IN INVENTORY"))</f>
        <v/>
      </c>
    </row>
    <row r="226" customFormat="false" ht="15" hidden="false" customHeight="false" outlineLevel="0" collapsed="false">
      <c r="A226" s="46"/>
      <c r="B226" s="47"/>
      <c r="C226" s="47"/>
      <c r="D226" s="46"/>
      <c r="E226" s="47"/>
      <c r="F226" s="47"/>
      <c r="G226" s="47"/>
      <c r="H226" s="46"/>
      <c r="I226" s="47"/>
      <c r="J226" s="47"/>
      <c r="K226" s="47"/>
      <c r="L226" s="47"/>
      <c r="M226" s="47"/>
      <c r="N226" s="47"/>
      <c r="O226" s="47"/>
      <c r="P226" s="45" t="str">
        <f aca="false">IF($A226="","",IF(COUNTIF(Accounts!$C$2:$C$201,$A226)+COUNTIF('Service Principals'!$C$2:$C$201,$A226)+COUNTIF('Managed Identities'!$C$2:$C$201,$A226)&gt;0,"Yes","NOT IN INVENTORY"))</f>
        <v/>
      </c>
    </row>
    <row r="227" customFormat="false" ht="15" hidden="false" customHeight="false" outlineLevel="0" collapsed="false">
      <c r="A227" s="46"/>
      <c r="B227" s="47"/>
      <c r="C227" s="47"/>
      <c r="D227" s="46"/>
      <c r="E227" s="47"/>
      <c r="F227" s="47"/>
      <c r="G227" s="47"/>
      <c r="H227" s="46"/>
      <c r="I227" s="47"/>
      <c r="J227" s="47"/>
      <c r="K227" s="47"/>
      <c r="L227" s="47"/>
      <c r="M227" s="47"/>
      <c r="N227" s="47"/>
      <c r="O227" s="47"/>
      <c r="P227" s="45" t="str">
        <f aca="false">IF($A227="","",IF(COUNTIF(Accounts!$C$2:$C$201,$A227)+COUNTIF('Service Principals'!$C$2:$C$201,$A227)+COUNTIF('Managed Identities'!$C$2:$C$201,$A227)&gt;0,"Yes","NOT IN INVENTORY"))</f>
        <v/>
      </c>
    </row>
    <row r="228" customFormat="false" ht="15" hidden="false" customHeight="false" outlineLevel="0" collapsed="false">
      <c r="A228" s="46"/>
      <c r="B228" s="47"/>
      <c r="C228" s="47"/>
      <c r="D228" s="46"/>
      <c r="E228" s="47"/>
      <c r="F228" s="47"/>
      <c r="G228" s="47"/>
      <c r="H228" s="46"/>
      <c r="I228" s="47"/>
      <c r="J228" s="47"/>
      <c r="K228" s="47"/>
      <c r="L228" s="47"/>
      <c r="M228" s="47"/>
      <c r="N228" s="47"/>
      <c r="O228" s="47"/>
      <c r="P228" s="45" t="str">
        <f aca="false">IF($A228="","",IF(COUNTIF(Accounts!$C$2:$C$201,$A228)+COUNTIF('Service Principals'!$C$2:$C$201,$A228)+COUNTIF('Managed Identities'!$C$2:$C$201,$A228)&gt;0,"Yes","NOT IN INVENTORY"))</f>
        <v/>
      </c>
    </row>
    <row r="229" customFormat="false" ht="15" hidden="false" customHeight="false" outlineLevel="0" collapsed="false">
      <c r="A229" s="46"/>
      <c r="B229" s="47"/>
      <c r="C229" s="47"/>
      <c r="D229" s="46"/>
      <c r="E229" s="47"/>
      <c r="F229" s="47"/>
      <c r="G229" s="47"/>
      <c r="H229" s="46"/>
      <c r="I229" s="47"/>
      <c r="J229" s="47"/>
      <c r="K229" s="47"/>
      <c r="L229" s="47"/>
      <c r="M229" s="47"/>
      <c r="N229" s="47"/>
      <c r="O229" s="47"/>
      <c r="P229" s="45" t="str">
        <f aca="false">IF($A229="","",IF(COUNTIF(Accounts!$C$2:$C$201,$A229)+COUNTIF('Service Principals'!$C$2:$C$201,$A229)+COUNTIF('Managed Identities'!$C$2:$C$201,$A229)&gt;0,"Yes","NOT IN INVENTORY"))</f>
        <v/>
      </c>
    </row>
    <row r="230" customFormat="false" ht="15" hidden="false" customHeight="false" outlineLevel="0" collapsed="false">
      <c r="A230" s="46"/>
      <c r="B230" s="47"/>
      <c r="C230" s="47"/>
      <c r="D230" s="46"/>
      <c r="E230" s="47"/>
      <c r="F230" s="47"/>
      <c r="G230" s="47"/>
      <c r="H230" s="46"/>
      <c r="I230" s="47"/>
      <c r="J230" s="47"/>
      <c r="K230" s="47"/>
      <c r="L230" s="47"/>
      <c r="M230" s="47"/>
      <c r="N230" s="47"/>
      <c r="O230" s="47"/>
      <c r="P230" s="45" t="str">
        <f aca="false">IF($A230="","",IF(COUNTIF(Accounts!$C$2:$C$201,$A230)+COUNTIF('Service Principals'!$C$2:$C$201,$A230)+COUNTIF('Managed Identities'!$C$2:$C$201,$A230)&gt;0,"Yes","NOT IN INVENTORY"))</f>
        <v/>
      </c>
    </row>
    <row r="231" customFormat="false" ht="15" hidden="false" customHeight="false" outlineLevel="0" collapsed="false">
      <c r="A231" s="46"/>
      <c r="B231" s="47"/>
      <c r="C231" s="47"/>
      <c r="D231" s="46"/>
      <c r="E231" s="47"/>
      <c r="F231" s="47"/>
      <c r="G231" s="47"/>
      <c r="H231" s="46"/>
      <c r="I231" s="47"/>
      <c r="J231" s="47"/>
      <c r="K231" s="47"/>
      <c r="L231" s="47"/>
      <c r="M231" s="47"/>
      <c r="N231" s="47"/>
      <c r="O231" s="47"/>
      <c r="P231" s="45" t="str">
        <f aca="false">IF($A231="","",IF(COUNTIF(Accounts!$C$2:$C$201,$A231)+COUNTIF('Service Principals'!$C$2:$C$201,$A231)+COUNTIF('Managed Identities'!$C$2:$C$201,$A231)&gt;0,"Yes","NOT IN INVENTORY"))</f>
        <v/>
      </c>
    </row>
    <row r="232" customFormat="false" ht="15" hidden="false" customHeight="false" outlineLevel="0" collapsed="false">
      <c r="A232" s="46"/>
      <c r="B232" s="47"/>
      <c r="C232" s="47"/>
      <c r="D232" s="46"/>
      <c r="E232" s="47"/>
      <c r="F232" s="47"/>
      <c r="G232" s="47"/>
      <c r="H232" s="46"/>
      <c r="I232" s="47"/>
      <c r="J232" s="47"/>
      <c r="K232" s="47"/>
      <c r="L232" s="47"/>
      <c r="M232" s="47"/>
      <c r="N232" s="47"/>
      <c r="O232" s="47"/>
      <c r="P232" s="45" t="str">
        <f aca="false">IF($A232="","",IF(COUNTIF(Accounts!$C$2:$C$201,$A232)+COUNTIF('Service Principals'!$C$2:$C$201,$A232)+COUNTIF('Managed Identities'!$C$2:$C$201,$A232)&gt;0,"Yes","NOT IN INVENTORY"))</f>
        <v/>
      </c>
    </row>
    <row r="233" customFormat="false" ht="15" hidden="false" customHeight="false" outlineLevel="0" collapsed="false">
      <c r="A233" s="46"/>
      <c r="B233" s="47"/>
      <c r="C233" s="47"/>
      <c r="D233" s="46"/>
      <c r="E233" s="47"/>
      <c r="F233" s="47"/>
      <c r="G233" s="47"/>
      <c r="H233" s="46"/>
      <c r="I233" s="47"/>
      <c r="J233" s="47"/>
      <c r="K233" s="47"/>
      <c r="L233" s="47"/>
      <c r="M233" s="47"/>
      <c r="N233" s="47"/>
      <c r="O233" s="47"/>
      <c r="P233" s="45" t="str">
        <f aca="false">IF($A233="","",IF(COUNTIF(Accounts!$C$2:$C$201,$A233)+COUNTIF('Service Principals'!$C$2:$C$201,$A233)+COUNTIF('Managed Identities'!$C$2:$C$201,$A233)&gt;0,"Yes","NOT IN INVENTORY"))</f>
        <v/>
      </c>
    </row>
    <row r="234" customFormat="false" ht="15" hidden="false" customHeight="false" outlineLevel="0" collapsed="false">
      <c r="A234" s="46"/>
      <c r="B234" s="47"/>
      <c r="C234" s="47"/>
      <c r="D234" s="46"/>
      <c r="E234" s="47"/>
      <c r="F234" s="47"/>
      <c r="G234" s="47"/>
      <c r="H234" s="46"/>
      <c r="I234" s="47"/>
      <c r="J234" s="47"/>
      <c r="K234" s="47"/>
      <c r="L234" s="47"/>
      <c r="M234" s="47"/>
      <c r="N234" s="47"/>
      <c r="O234" s="47"/>
      <c r="P234" s="45" t="str">
        <f aca="false">IF($A234="","",IF(COUNTIF(Accounts!$C$2:$C$201,$A234)+COUNTIF('Service Principals'!$C$2:$C$201,$A234)+COUNTIF('Managed Identities'!$C$2:$C$201,$A234)&gt;0,"Yes","NOT IN INVENTORY"))</f>
        <v/>
      </c>
    </row>
    <row r="235" customFormat="false" ht="15" hidden="false" customHeight="false" outlineLevel="0" collapsed="false">
      <c r="A235" s="46"/>
      <c r="B235" s="47"/>
      <c r="C235" s="47"/>
      <c r="D235" s="46"/>
      <c r="E235" s="47"/>
      <c r="F235" s="47"/>
      <c r="G235" s="47"/>
      <c r="H235" s="46"/>
      <c r="I235" s="47"/>
      <c r="J235" s="47"/>
      <c r="K235" s="47"/>
      <c r="L235" s="47"/>
      <c r="M235" s="47"/>
      <c r="N235" s="47"/>
      <c r="O235" s="47"/>
      <c r="P235" s="45" t="str">
        <f aca="false">IF($A235="","",IF(COUNTIF(Accounts!$C$2:$C$201,$A235)+COUNTIF('Service Principals'!$C$2:$C$201,$A235)+COUNTIF('Managed Identities'!$C$2:$C$201,$A235)&gt;0,"Yes","NOT IN INVENTORY"))</f>
        <v/>
      </c>
    </row>
    <row r="236" customFormat="false" ht="15" hidden="false" customHeight="false" outlineLevel="0" collapsed="false">
      <c r="A236" s="46"/>
      <c r="B236" s="47"/>
      <c r="C236" s="47"/>
      <c r="D236" s="46"/>
      <c r="E236" s="47"/>
      <c r="F236" s="47"/>
      <c r="G236" s="47"/>
      <c r="H236" s="46"/>
      <c r="I236" s="47"/>
      <c r="J236" s="47"/>
      <c r="K236" s="47"/>
      <c r="L236" s="47"/>
      <c r="M236" s="47"/>
      <c r="N236" s="47"/>
      <c r="O236" s="47"/>
      <c r="P236" s="45" t="str">
        <f aca="false">IF($A236="","",IF(COUNTIF(Accounts!$C$2:$C$201,$A236)+COUNTIF('Service Principals'!$C$2:$C$201,$A236)+COUNTIF('Managed Identities'!$C$2:$C$201,$A236)&gt;0,"Yes","NOT IN INVENTORY"))</f>
        <v/>
      </c>
    </row>
    <row r="237" customFormat="false" ht="15" hidden="false" customHeight="false" outlineLevel="0" collapsed="false">
      <c r="A237" s="46"/>
      <c r="B237" s="47"/>
      <c r="C237" s="47"/>
      <c r="D237" s="46"/>
      <c r="E237" s="47"/>
      <c r="F237" s="47"/>
      <c r="G237" s="47"/>
      <c r="H237" s="46"/>
      <c r="I237" s="47"/>
      <c r="J237" s="47"/>
      <c r="K237" s="47"/>
      <c r="L237" s="47"/>
      <c r="M237" s="47"/>
      <c r="N237" s="47"/>
      <c r="O237" s="47"/>
      <c r="P237" s="45" t="str">
        <f aca="false">IF($A237="","",IF(COUNTIF(Accounts!$C$2:$C$201,$A237)+COUNTIF('Service Principals'!$C$2:$C$201,$A237)+COUNTIF('Managed Identities'!$C$2:$C$201,$A237)&gt;0,"Yes","NOT IN INVENTORY"))</f>
        <v/>
      </c>
    </row>
    <row r="238" customFormat="false" ht="15" hidden="false" customHeight="false" outlineLevel="0" collapsed="false">
      <c r="A238" s="46"/>
      <c r="B238" s="47"/>
      <c r="C238" s="47"/>
      <c r="D238" s="46"/>
      <c r="E238" s="47"/>
      <c r="F238" s="47"/>
      <c r="G238" s="47"/>
      <c r="H238" s="46"/>
      <c r="I238" s="47"/>
      <c r="J238" s="47"/>
      <c r="K238" s="47"/>
      <c r="L238" s="47"/>
      <c r="M238" s="47"/>
      <c r="N238" s="47"/>
      <c r="O238" s="47"/>
      <c r="P238" s="45" t="str">
        <f aca="false">IF($A238="","",IF(COUNTIF(Accounts!$C$2:$C$201,$A238)+COUNTIF('Service Principals'!$C$2:$C$201,$A238)+COUNTIF('Managed Identities'!$C$2:$C$201,$A238)&gt;0,"Yes","NOT IN INVENTORY"))</f>
        <v/>
      </c>
    </row>
    <row r="239" customFormat="false" ht="15" hidden="false" customHeight="false" outlineLevel="0" collapsed="false">
      <c r="A239" s="46"/>
      <c r="B239" s="47"/>
      <c r="C239" s="47"/>
      <c r="D239" s="46"/>
      <c r="E239" s="47"/>
      <c r="F239" s="47"/>
      <c r="G239" s="47"/>
      <c r="H239" s="46"/>
      <c r="I239" s="47"/>
      <c r="J239" s="47"/>
      <c r="K239" s="47"/>
      <c r="L239" s="47"/>
      <c r="M239" s="47"/>
      <c r="N239" s="47"/>
      <c r="O239" s="47"/>
      <c r="P239" s="45" t="str">
        <f aca="false">IF($A239="","",IF(COUNTIF(Accounts!$C$2:$C$201,$A239)+COUNTIF('Service Principals'!$C$2:$C$201,$A239)+COUNTIF('Managed Identities'!$C$2:$C$201,$A239)&gt;0,"Yes","NOT IN INVENTORY"))</f>
        <v/>
      </c>
    </row>
    <row r="240" customFormat="false" ht="15" hidden="false" customHeight="false" outlineLevel="0" collapsed="false">
      <c r="A240" s="46"/>
      <c r="B240" s="47"/>
      <c r="C240" s="47"/>
      <c r="D240" s="46"/>
      <c r="E240" s="47"/>
      <c r="F240" s="47"/>
      <c r="G240" s="47"/>
      <c r="H240" s="46"/>
      <c r="I240" s="47"/>
      <c r="J240" s="47"/>
      <c r="K240" s="47"/>
      <c r="L240" s="47"/>
      <c r="M240" s="47"/>
      <c r="N240" s="47"/>
      <c r="O240" s="47"/>
      <c r="P240" s="45" t="str">
        <f aca="false">IF($A240="","",IF(COUNTIF(Accounts!$C$2:$C$201,$A240)+COUNTIF('Service Principals'!$C$2:$C$201,$A240)+COUNTIF('Managed Identities'!$C$2:$C$201,$A240)&gt;0,"Yes","NOT IN INVENTORY"))</f>
        <v/>
      </c>
    </row>
    <row r="241" customFormat="false" ht="15" hidden="false" customHeight="false" outlineLevel="0" collapsed="false">
      <c r="A241" s="46"/>
      <c r="B241" s="47"/>
      <c r="C241" s="47"/>
      <c r="D241" s="46"/>
      <c r="E241" s="47"/>
      <c r="F241" s="47"/>
      <c r="G241" s="47"/>
      <c r="H241" s="46"/>
      <c r="I241" s="47"/>
      <c r="J241" s="47"/>
      <c r="K241" s="47"/>
      <c r="L241" s="47"/>
      <c r="M241" s="47"/>
      <c r="N241" s="47"/>
      <c r="O241" s="47"/>
      <c r="P241" s="45" t="str">
        <f aca="false">IF($A241="","",IF(COUNTIF(Accounts!$C$2:$C$201,$A241)+COUNTIF('Service Principals'!$C$2:$C$201,$A241)+COUNTIF('Managed Identities'!$C$2:$C$201,$A241)&gt;0,"Yes","NOT IN INVENTORY"))</f>
        <v/>
      </c>
    </row>
    <row r="242" customFormat="false" ht="15" hidden="false" customHeight="false" outlineLevel="0" collapsed="false">
      <c r="A242" s="46"/>
      <c r="B242" s="47"/>
      <c r="C242" s="47"/>
      <c r="D242" s="46"/>
      <c r="E242" s="47"/>
      <c r="F242" s="47"/>
      <c r="G242" s="47"/>
      <c r="H242" s="46"/>
      <c r="I242" s="47"/>
      <c r="J242" s="47"/>
      <c r="K242" s="47"/>
      <c r="L242" s="47"/>
      <c r="M242" s="47"/>
      <c r="N242" s="47"/>
      <c r="O242" s="47"/>
      <c r="P242" s="45" t="str">
        <f aca="false">IF($A242="","",IF(COUNTIF(Accounts!$C$2:$C$201,$A242)+COUNTIF('Service Principals'!$C$2:$C$201,$A242)+COUNTIF('Managed Identities'!$C$2:$C$201,$A242)&gt;0,"Yes","NOT IN INVENTORY"))</f>
        <v/>
      </c>
    </row>
    <row r="243" customFormat="false" ht="15" hidden="false" customHeight="false" outlineLevel="0" collapsed="false">
      <c r="A243" s="46"/>
      <c r="B243" s="47"/>
      <c r="C243" s="47"/>
      <c r="D243" s="46"/>
      <c r="E243" s="47"/>
      <c r="F243" s="47"/>
      <c r="G243" s="47"/>
      <c r="H243" s="46"/>
      <c r="I243" s="47"/>
      <c r="J243" s="47"/>
      <c r="K243" s="47"/>
      <c r="L243" s="47"/>
      <c r="M243" s="47"/>
      <c r="N243" s="47"/>
      <c r="O243" s="47"/>
      <c r="P243" s="45" t="str">
        <f aca="false">IF($A243="","",IF(COUNTIF(Accounts!$C$2:$C$201,$A243)+COUNTIF('Service Principals'!$C$2:$C$201,$A243)+COUNTIF('Managed Identities'!$C$2:$C$201,$A243)&gt;0,"Yes","NOT IN INVENTORY"))</f>
        <v/>
      </c>
    </row>
    <row r="244" customFormat="false" ht="15" hidden="false" customHeight="false" outlineLevel="0" collapsed="false">
      <c r="A244" s="46"/>
      <c r="B244" s="47"/>
      <c r="C244" s="47"/>
      <c r="D244" s="46"/>
      <c r="E244" s="47"/>
      <c r="F244" s="47"/>
      <c r="G244" s="47"/>
      <c r="H244" s="46"/>
      <c r="I244" s="47"/>
      <c r="J244" s="47"/>
      <c r="K244" s="47"/>
      <c r="L244" s="47"/>
      <c r="M244" s="47"/>
      <c r="N244" s="47"/>
      <c r="O244" s="47"/>
      <c r="P244" s="45" t="str">
        <f aca="false">IF($A244="","",IF(COUNTIF(Accounts!$C$2:$C$201,$A244)+COUNTIF('Service Principals'!$C$2:$C$201,$A244)+COUNTIF('Managed Identities'!$C$2:$C$201,$A244)&gt;0,"Yes","NOT IN INVENTORY"))</f>
        <v/>
      </c>
    </row>
    <row r="245" customFormat="false" ht="15" hidden="false" customHeight="false" outlineLevel="0" collapsed="false">
      <c r="A245" s="46"/>
      <c r="B245" s="47"/>
      <c r="C245" s="47"/>
      <c r="D245" s="46"/>
      <c r="E245" s="47"/>
      <c r="F245" s="47"/>
      <c r="G245" s="47"/>
      <c r="H245" s="46"/>
      <c r="I245" s="47"/>
      <c r="J245" s="47"/>
      <c r="K245" s="47"/>
      <c r="L245" s="47"/>
      <c r="M245" s="47"/>
      <c r="N245" s="47"/>
      <c r="O245" s="47"/>
      <c r="P245" s="45" t="str">
        <f aca="false">IF($A245="","",IF(COUNTIF(Accounts!$C$2:$C$201,$A245)+COUNTIF('Service Principals'!$C$2:$C$201,$A245)+COUNTIF('Managed Identities'!$C$2:$C$201,$A245)&gt;0,"Yes","NOT IN INVENTORY"))</f>
        <v/>
      </c>
    </row>
    <row r="246" customFormat="false" ht="15" hidden="false" customHeight="false" outlineLevel="0" collapsed="false">
      <c r="A246" s="46"/>
      <c r="B246" s="47"/>
      <c r="C246" s="47"/>
      <c r="D246" s="46"/>
      <c r="E246" s="47"/>
      <c r="F246" s="47"/>
      <c r="G246" s="47"/>
      <c r="H246" s="46"/>
      <c r="I246" s="47"/>
      <c r="J246" s="47"/>
      <c r="K246" s="47"/>
      <c r="L246" s="47"/>
      <c r="M246" s="47"/>
      <c r="N246" s="47"/>
      <c r="O246" s="47"/>
      <c r="P246" s="45" t="str">
        <f aca="false">IF($A246="","",IF(COUNTIF(Accounts!$C$2:$C$201,$A246)+COUNTIF('Service Principals'!$C$2:$C$201,$A246)+COUNTIF('Managed Identities'!$C$2:$C$201,$A246)&gt;0,"Yes","NOT IN INVENTORY"))</f>
        <v/>
      </c>
    </row>
    <row r="247" customFormat="false" ht="15" hidden="false" customHeight="false" outlineLevel="0" collapsed="false">
      <c r="A247" s="46"/>
      <c r="B247" s="47"/>
      <c r="C247" s="47"/>
      <c r="D247" s="46"/>
      <c r="E247" s="47"/>
      <c r="F247" s="47"/>
      <c r="G247" s="47"/>
      <c r="H247" s="46"/>
      <c r="I247" s="47"/>
      <c r="J247" s="47"/>
      <c r="K247" s="47"/>
      <c r="L247" s="47"/>
      <c r="M247" s="47"/>
      <c r="N247" s="47"/>
      <c r="O247" s="47"/>
      <c r="P247" s="45" t="str">
        <f aca="false">IF($A247="","",IF(COUNTIF(Accounts!$C$2:$C$201,$A247)+COUNTIF('Service Principals'!$C$2:$C$201,$A247)+COUNTIF('Managed Identities'!$C$2:$C$201,$A247)&gt;0,"Yes","NOT IN INVENTORY"))</f>
        <v/>
      </c>
    </row>
    <row r="248" customFormat="false" ht="15" hidden="false" customHeight="false" outlineLevel="0" collapsed="false">
      <c r="A248" s="46"/>
      <c r="B248" s="47"/>
      <c r="C248" s="47"/>
      <c r="D248" s="46"/>
      <c r="E248" s="47"/>
      <c r="F248" s="47"/>
      <c r="G248" s="47"/>
      <c r="H248" s="46"/>
      <c r="I248" s="47"/>
      <c r="J248" s="47"/>
      <c r="K248" s="47"/>
      <c r="L248" s="47"/>
      <c r="M248" s="47"/>
      <c r="N248" s="47"/>
      <c r="O248" s="47"/>
      <c r="P248" s="45" t="str">
        <f aca="false">IF($A248="","",IF(COUNTIF(Accounts!$C$2:$C$201,$A248)+COUNTIF('Service Principals'!$C$2:$C$201,$A248)+COUNTIF('Managed Identities'!$C$2:$C$201,$A248)&gt;0,"Yes","NOT IN INVENTORY"))</f>
        <v/>
      </c>
    </row>
    <row r="249" customFormat="false" ht="15" hidden="false" customHeight="false" outlineLevel="0" collapsed="false">
      <c r="A249" s="46"/>
      <c r="B249" s="47"/>
      <c r="C249" s="47"/>
      <c r="D249" s="46"/>
      <c r="E249" s="47"/>
      <c r="F249" s="47"/>
      <c r="G249" s="47"/>
      <c r="H249" s="46"/>
      <c r="I249" s="47"/>
      <c r="J249" s="47"/>
      <c r="K249" s="47"/>
      <c r="L249" s="47"/>
      <c r="M249" s="47"/>
      <c r="N249" s="47"/>
      <c r="O249" s="47"/>
      <c r="P249" s="45" t="str">
        <f aca="false">IF($A249="","",IF(COUNTIF(Accounts!$C$2:$C$201,$A249)+COUNTIF('Service Principals'!$C$2:$C$201,$A249)+COUNTIF('Managed Identities'!$C$2:$C$201,$A249)&gt;0,"Yes","NOT IN INVENTORY"))</f>
        <v/>
      </c>
    </row>
    <row r="250" customFormat="false" ht="15" hidden="false" customHeight="false" outlineLevel="0" collapsed="false">
      <c r="A250" s="46"/>
      <c r="B250" s="47"/>
      <c r="C250" s="47"/>
      <c r="D250" s="46"/>
      <c r="E250" s="47"/>
      <c r="F250" s="47"/>
      <c r="G250" s="47"/>
      <c r="H250" s="46"/>
      <c r="I250" s="47"/>
      <c r="J250" s="47"/>
      <c r="K250" s="47"/>
      <c r="L250" s="47"/>
      <c r="M250" s="47"/>
      <c r="N250" s="47"/>
      <c r="O250" s="47"/>
      <c r="P250" s="45" t="str">
        <f aca="false">IF($A250="","",IF(COUNTIF(Accounts!$C$2:$C$201,$A250)+COUNTIF('Service Principals'!$C$2:$C$201,$A250)+COUNTIF('Managed Identities'!$C$2:$C$201,$A250)&gt;0,"Yes","NOT IN INVENTORY"))</f>
        <v/>
      </c>
    </row>
    <row r="251" customFormat="false" ht="15" hidden="false" customHeight="false" outlineLevel="0" collapsed="false">
      <c r="A251" s="46"/>
      <c r="B251" s="47"/>
      <c r="C251" s="47"/>
      <c r="D251" s="46"/>
      <c r="E251" s="47"/>
      <c r="F251" s="47"/>
      <c r="G251" s="47"/>
      <c r="H251" s="46"/>
      <c r="I251" s="47"/>
      <c r="J251" s="47"/>
      <c r="K251" s="47"/>
      <c r="L251" s="47"/>
      <c r="M251" s="47"/>
      <c r="N251" s="47"/>
      <c r="O251" s="47"/>
      <c r="P251" s="45" t="str">
        <f aca="false">IF($A251="","",IF(COUNTIF(Accounts!$C$2:$C$201,$A251)+COUNTIF('Service Principals'!$C$2:$C$201,$A251)+COUNTIF('Managed Identities'!$C$2:$C$201,$A251)&gt;0,"Yes","NOT IN INVENTORY"))</f>
        <v/>
      </c>
    </row>
    <row r="252" customFormat="false" ht="15" hidden="false" customHeight="false" outlineLevel="0" collapsed="false">
      <c r="A252" s="46"/>
      <c r="B252" s="47"/>
      <c r="C252" s="47"/>
      <c r="D252" s="46"/>
      <c r="E252" s="47"/>
      <c r="F252" s="47"/>
      <c r="G252" s="47"/>
      <c r="H252" s="46"/>
      <c r="I252" s="47"/>
      <c r="J252" s="47"/>
      <c r="K252" s="47"/>
      <c r="L252" s="47"/>
      <c r="M252" s="47"/>
      <c r="N252" s="47"/>
      <c r="O252" s="47"/>
      <c r="P252" s="45" t="str">
        <f aca="false">IF($A252="","",IF(COUNTIF(Accounts!$C$2:$C$201,$A252)+COUNTIF('Service Principals'!$C$2:$C$201,$A252)+COUNTIF('Managed Identities'!$C$2:$C$201,$A252)&gt;0,"Yes","NOT IN INVENTORY"))</f>
        <v/>
      </c>
    </row>
    <row r="253" customFormat="false" ht="15" hidden="false" customHeight="false" outlineLevel="0" collapsed="false">
      <c r="A253" s="46"/>
      <c r="B253" s="47"/>
      <c r="C253" s="47"/>
      <c r="D253" s="46"/>
      <c r="E253" s="47"/>
      <c r="F253" s="47"/>
      <c r="G253" s="47"/>
      <c r="H253" s="46"/>
      <c r="I253" s="47"/>
      <c r="J253" s="47"/>
      <c r="K253" s="47"/>
      <c r="L253" s="47"/>
      <c r="M253" s="47"/>
      <c r="N253" s="47"/>
      <c r="O253" s="47"/>
      <c r="P253" s="45" t="str">
        <f aca="false">IF($A253="","",IF(COUNTIF(Accounts!$C$2:$C$201,$A253)+COUNTIF('Service Principals'!$C$2:$C$201,$A253)+COUNTIF('Managed Identities'!$C$2:$C$201,$A253)&gt;0,"Yes","NOT IN INVENTORY"))</f>
        <v/>
      </c>
    </row>
    <row r="254" customFormat="false" ht="15" hidden="false" customHeight="false" outlineLevel="0" collapsed="false">
      <c r="A254" s="46"/>
      <c r="B254" s="47"/>
      <c r="C254" s="47"/>
      <c r="D254" s="46"/>
      <c r="E254" s="47"/>
      <c r="F254" s="47"/>
      <c r="G254" s="47"/>
      <c r="H254" s="46"/>
      <c r="I254" s="47"/>
      <c r="J254" s="47"/>
      <c r="K254" s="47"/>
      <c r="L254" s="47"/>
      <c r="M254" s="47"/>
      <c r="N254" s="47"/>
      <c r="O254" s="47"/>
      <c r="P254" s="45" t="str">
        <f aca="false">IF($A254="","",IF(COUNTIF(Accounts!$C$2:$C$201,$A254)+COUNTIF('Service Principals'!$C$2:$C$201,$A254)+COUNTIF('Managed Identities'!$C$2:$C$201,$A254)&gt;0,"Yes","NOT IN INVENTORY"))</f>
        <v/>
      </c>
    </row>
    <row r="255" customFormat="false" ht="15" hidden="false" customHeight="false" outlineLevel="0" collapsed="false">
      <c r="A255" s="46"/>
      <c r="B255" s="47"/>
      <c r="C255" s="47"/>
      <c r="D255" s="46"/>
      <c r="E255" s="47"/>
      <c r="F255" s="47"/>
      <c r="G255" s="47"/>
      <c r="H255" s="46"/>
      <c r="I255" s="47"/>
      <c r="J255" s="47"/>
      <c r="K255" s="47"/>
      <c r="L255" s="47"/>
      <c r="M255" s="47"/>
      <c r="N255" s="47"/>
      <c r="O255" s="47"/>
      <c r="P255" s="45" t="str">
        <f aca="false">IF($A255="","",IF(COUNTIF(Accounts!$C$2:$C$201,$A255)+COUNTIF('Service Principals'!$C$2:$C$201,$A255)+COUNTIF('Managed Identities'!$C$2:$C$201,$A255)&gt;0,"Yes","NOT IN INVENTORY"))</f>
        <v/>
      </c>
    </row>
    <row r="256" customFormat="false" ht="15" hidden="false" customHeight="false" outlineLevel="0" collapsed="false">
      <c r="A256" s="46"/>
      <c r="B256" s="47"/>
      <c r="C256" s="47"/>
      <c r="D256" s="46"/>
      <c r="E256" s="47"/>
      <c r="F256" s="47"/>
      <c r="G256" s="47"/>
      <c r="H256" s="46"/>
      <c r="I256" s="47"/>
      <c r="J256" s="47"/>
      <c r="K256" s="47"/>
      <c r="L256" s="47"/>
      <c r="M256" s="47"/>
      <c r="N256" s="47"/>
      <c r="O256" s="47"/>
      <c r="P256" s="45" t="str">
        <f aca="false">IF($A256="","",IF(COUNTIF(Accounts!$C$2:$C$201,$A256)+COUNTIF('Service Principals'!$C$2:$C$201,$A256)+COUNTIF('Managed Identities'!$C$2:$C$201,$A256)&gt;0,"Yes","NOT IN INVENTORY"))</f>
        <v/>
      </c>
    </row>
    <row r="257" customFormat="false" ht="15" hidden="false" customHeight="false" outlineLevel="0" collapsed="false">
      <c r="A257" s="46"/>
      <c r="B257" s="47"/>
      <c r="C257" s="47"/>
      <c r="D257" s="46"/>
      <c r="E257" s="47"/>
      <c r="F257" s="47"/>
      <c r="G257" s="47"/>
      <c r="H257" s="46"/>
      <c r="I257" s="47"/>
      <c r="J257" s="47"/>
      <c r="K257" s="47"/>
      <c r="L257" s="47"/>
      <c r="M257" s="47"/>
      <c r="N257" s="47"/>
      <c r="O257" s="47"/>
      <c r="P257" s="45" t="str">
        <f aca="false">IF($A257="","",IF(COUNTIF(Accounts!$C$2:$C$201,$A257)+COUNTIF('Service Principals'!$C$2:$C$201,$A257)+COUNTIF('Managed Identities'!$C$2:$C$201,$A257)&gt;0,"Yes","NOT IN INVENTORY"))</f>
        <v/>
      </c>
    </row>
    <row r="258" customFormat="false" ht="15" hidden="false" customHeight="false" outlineLevel="0" collapsed="false">
      <c r="A258" s="46"/>
      <c r="B258" s="47"/>
      <c r="C258" s="47"/>
      <c r="D258" s="46"/>
      <c r="E258" s="47"/>
      <c r="F258" s="47"/>
      <c r="G258" s="47"/>
      <c r="H258" s="46"/>
      <c r="I258" s="47"/>
      <c r="J258" s="47"/>
      <c r="K258" s="47"/>
      <c r="L258" s="47"/>
      <c r="M258" s="47"/>
      <c r="N258" s="47"/>
      <c r="O258" s="47"/>
      <c r="P258" s="45" t="str">
        <f aca="false">IF($A258="","",IF(COUNTIF(Accounts!$C$2:$C$201,$A258)+COUNTIF('Service Principals'!$C$2:$C$201,$A258)+COUNTIF('Managed Identities'!$C$2:$C$201,$A258)&gt;0,"Yes","NOT IN INVENTORY"))</f>
        <v/>
      </c>
    </row>
    <row r="259" customFormat="false" ht="15" hidden="false" customHeight="false" outlineLevel="0" collapsed="false">
      <c r="A259" s="46"/>
      <c r="B259" s="47"/>
      <c r="C259" s="47"/>
      <c r="D259" s="46"/>
      <c r="E259" s="47"/>
      <c r="F259" s="47"/>
      <c r="G259" s="47"/>
      <c r="H259" s="46"/>
      <c r="I259" s="47"/>
      <c r="J259" s="47"/>
      <c r="K259" s="47"/>
      <c r="L259" s="47"/>
      <c r="M259" s="47"/>
      <c r="N259" s="47"/>
      <c r="O259" s="47"/>
      <c r="P259" s="45" t="str">
        <f aca="false">IF($A259="","",IF(COUNTIF(Accounts!$C$2:$C$201,$A259)+COUNTIF('Service Principals'!$C$2:$C$201,$A259)+COUNTIF('Managed Identities'!$C$2:$C$201,$A259)&gt;0,"Yes","NOT IN INVENTORY"))</f>
        <v/>
      </c>
    </row>
    <row r="260" customFormat="false" ht="15" hidden="false" customHeight="false" outlineLevel="0" collapsed="false">
      <c r="A260" s="46"/>
      <c r="B260" s="47"/>
      <c r="C260" s="47"/>
      <c r="D260" s="46"/>
      <c r="E260" s="47"/>
      <c r="F260" s="47"/>
      <c r="G260" s="47"/>
      <c r="H260" s="46"/>
      <c r="I260" s="47"/>
      <c r="J260" s="47"/>
      <c r="K260" s="47"/>
      <c r="L260" s="47"/>
      <c r="M260" s="47"/>
      <c r="N260" s="47"/>
      <c r="O260" s="47"/>
      <c r="P260" s="45" t="str">
        <f aca="false">IF($A260="","",IF(COUNTIF(Accounts!$C$2:$C$201,$A260)+COUNTIF('Service Principals'!$C$2:$C$201,$A260)+COUNTIF('Managed Identities'!$C$2:$C$201,$A260)&gt;0,"Yes","NOT IN INVENTORY"))</f>
        <v/>
      </c>
    </row>
    <row r="261" customFormat="false" ht="15" hidden="false" customHeight="false" outlineLevel="0" collapsed="false">
      <c r="A261" s="46"/>
      <c r="B261" s="47"/>
      <c r="C261" s="47"/>
      <c r="D261" s="46"/>
      <c r="E261" s="47"/>
      <c r="F261" s="47"/>
      <c r="G261" s="47"/>
      <c r="H261" s="46"/>
      <c r="I261" s="47"/>
      <c r="J261" s="47"/>
      <c r="K261" s="47"/>
      <c r="L261" s="47"/>
      <c r="M261" s="47"/>
      <c r="N261" s="47"/>
      <c r="O261" s="47"/>
      <c r="P261" s="45" t="str">
        <f aca="false">IF($A261="","",IF(COUNTIF(Accounts!$C$2:$C$201,$A261)+COUNTIF('Service Principals'!$C$2:$C$201,$A261)+COUNTIF('Managed Identities'!$C$2:$C$201,$A261)&gt;0,"Yes","NOT IN INVENTORY"))</f>
        <v/>
      </c>
    </row>
    <row r="262" customFormat="false" ht="15" hidden="false" customHeight="false" outlineLevel="0" collapsed="false">
      <c r="A262" s="46"/>
      <c r="B262" s="47"/>
      <c r="C262" s="47"/>
      <c r="D262" s="46"/>
      <c r="E262" s="47"/>
      <c r="F262" s="47"/>
      <c r="G262" s="47"/>
      <c r="H262" s="46"/>
      <c r="I262" s="47"/>
      <c r="J262" s="47"/>
      <c r="K262" s="47"/>
      <c r="L262" s="47"/>
      <c r="M262" s="47"/>
      <c r="N262" s="47"/>
      <c r="O262" s="47"/>
      <c r="P262" s="45" t="str">
        <f aca="false">IF($A262="","",IF(COUNTIF(Accounts!$C$2:$C$201,$A262)+COUNTIF('Service Principals'!$C$2:$C$201,$A262)+COUNTIF('Managed Identities'!$C$2:$C$201,$A262)&gt;0,"Yes","NOT IN INVENTORY"))</f>
        <v/>
      </c>
    </row>
    <row r="263" customFormat="false" ht="15" hidden="false" customHeight="false" outlineLevel="0" collapsed="false">
      <c r="A263" s="46"/>
      <c r="B263" s="47"/>
      <c r="C263" s="47"/>
      <c r="D263" s="46"/>
      <c r="E263" s="47"/>
      <c r="F263" s="47"/>
      <c r="G263" s="47"/>
      <c r="H263" s="46"/>
      <c r="I263" s="47"/>
      <c r="J263" s="47"/>
      <c r="K263" s="47"/>
      <c r="L263" s="47"/>
      <c r="M263" s="47"/>
      <c r="N263" s="47"/>
      <c r="O263" s="47"/>
      <c r="P263" s="45" t="str">
        <f aca="false">IF($A263="","",IF(COUNTIF(Accounts!$C$2:$C$201,$A263)+COUNTIF('Service Principals'!$C$2:$C$201,$A263)+COUNTIF('Managed Identities'!$C$2:$C$201,$A263)&gt;0,"Yes","NOT IN INVENTORY"))</f>
        <v/>
      </c>
    </row>
    <row r="264" customFormat="false" ht="15" hidden="false" customHeight="false" outlineLevel="0" collapsed="false">
      <c r="A264" s="46"/>
      <c r="B264" s="47"/>
      <c r="C264" s="47"/>
      <c r="D264" s="46"/>
      <c r="E264" s="47"/>
      <c r="F264" s="47"/>
      <c r="G264" s="47"/>
      <c r="H264" s="46"/>
      <c r="I264" s="47"/>
      <c r="J264" s="47"/>
      <c r="K264" s="47"/>
      <c r="L264" s="47"/>
      <c r="M264" s="47"/>
      <c r="N264" s="47"/>
      <c r="O264" s="47"/>
      <c r="P264" s="45" t="str">
        <f aca="false">IF($A264="","",IF(COUNTIF(Accounts!$C$2:$C$201,$A264)+COUNTIF('Service Principals'!$C$2:$C$201,$A264)+COUNTIF('Managed Identities'!$C$2:$C$201,$A264)&gt;0,"Yes","NOT IN INVENTORY"))</f>
        <v/>
      </c>
    </row>
    <row r="265" customFormat="false" ht="15" hidden="false" customHeight="false" outlineLevel="0" collapsed="false">
      <c r="A265" s="46"/>
      <c r="B265" s="47"/>
      <c r="C265" s="47"/>
      <c r="D265" s="46"/>
      <c r="E265" s="47"/>
      <c r="F265" s="47"/>
      <c r="G265" s="47"/>
      <c r="H265" s="46"/>
      <c r="I265" s="47"/>
      <c r="J265" s="47"/>
      <c r="K265" s="47"/>
      <c r="L265" s="47"/>
      <c r="M265" s="47"/>
      <c r="N265" s="47"/>
      <c r="O265" s="47"/>
      <c r="P265" s="45" t="str">
        <f aca="false">IF($A265="","",IF(COUNTIF(Accounts!$C$2:$C$201,$A265)+COUNTIF('Service Principals'!$C$2:$C$201,$A265)+COUNTIF('Managed Identities'!$C$2:$C$201,$A265)&gt;0,"Yes","NOT IN INVENTORY"))</f>
        <v/>
      </c>
    </row>
    <row r="266" customFormat="false" ht="15" hidden="false" customHeight="false" outlineLevel="0" collapsed="false">
      <c r="A266" s="46"/>
      <c r="B266" s="47"/>
      <c r="C266" s="47"/>
      <c r="D266" s="46"/>
      <c r="E266" s="47"/>
      <c r="F266" s="47"/>
      <c r="G266" s="47"/>
      <c r="H266" s="46"/>
      <c r="I266" s="47"/>
      <c r="J266" s="47"/>
      <c r="K266" s="47"/>
      <c r="L266" s="47"/>
      <c r="M266" s="47"/>
      <c r="N266" s="47"/>
      <c r="O266" s="47"/>
      <c r="P266" s="45" t="str">
        <f aca="false">IF($A266="","",IF(COUNTIF(Accounts!$C$2:$C$201,$A266)+COUNTIF('Service Principals'!$C$2:$C$201,$A266)+COUNTIF('Managed Identities'!$C$2:$C$201,$A266)&gt;0,"Yes","NOT IN INVENTORY"))</f>
        <v/>
      </c>
    </row>
    <row r="267" customFormat="false" ht="15" hidden="false" customHeight="false" outlineLevel="0" collapsed="false">
      <c r="A267" s="46"/>
      <c r="B267" s="47"/>
      <c r="C267" s="47"/>
      <c r="D267" s="46"/>
      <c r="E267" s="47"/>
      <c r="F267" s="47"/>
      <c r="G267" s="47"/>
      <c r="H267" s="46"/>
      <c r="I267" s="47"/>
      <c r="J267" s="47"/>
      <c r="K267" s="47"/>
      <c r="L267" s="47"/>
      <c r="M267" s="47"/>
      <c r="N267" s="47"/>
      <c r="O267" s="47"/>
      <c r="P267" s="45" t="str">
        <f aca="false">IF($A267="","",IF(COUNTIF(Accounts!$C$2:$C$201,$A267)+COUNTIF('Service Principals'!$C$2:$C$201,$A267)+COUNTIF('Managed Identities'!$C$2:$C$201,$A267)&gt;0,"Yes","NOT IN INVENTORY"))</f>
        <v/>
      </c>
    </row>
    <row r="268" customFormat="false" ht="15" hidden="false" customHeight="false" outlineLevel="0" collapsed="false">
      <c r="A268" s="46"/>
      <c r="B268" s="47"/>
      <c r="C268" s="47"/>
      <c r="D268" s="46"/>
      <c r="E268" s="47"/>
      <c r="F268" s="47"/>
      <c r="G268" s="47"/>
      <c r="H268" s="46"/>
      <c r="I268" s="47"/>
      <c r="J268" s="47"/>
      <c r="K268" s="47"/>
      <c r="L268" s="47"/>
      <c r="M268" s="47"/>
      <c r="N268" s="47"/>
      <c r="O268" s="47"/>
      <c r="P268" s="45" t="str">
        <f aca="false">IF($A268="","",IF(COUNTIF(Accounts!$C$2:$C$201,$A268)+COUNTIF('Service Principals'!$C$2:$C$201,$A268)+COUNTIF('Managed Identities'!$C$2:$C$201,$A268)&gt;0,"Yes","NOT IN INVENTORY"))</f>
        <v/>
      </c>
    </row>
    <row r="269" customFormat="false" ht="15" hidden="false" customHeight="false" outlineLevel="0" collapsed="false">
      <c r="A269" s="46"/>
      <c r="B269" s="47"/>
      <c r="C269" s="47"/>
      <c r="D269" s="46"/>
      <c r="E269" s="47"/>
      <c r="F269" s="47"/>
      <c r="G269" s="47"/>
      <c r="H269" s="46"/>
      <c r="I269" s="47"/>
      <c r="J269" s="47"/>
      <c r="K269" s="47"/>
      <c r="L269" s="47"/>
      <c r="M269" s="47"/>
      <c r="N269" s="47"/>
      <c r="O269" s="47"/>
      <c r="P269" s="45" t="str">
        <f aca="false">IF($A269="","",IF(COUNTIF(Accounts!$C$2:$C$201,$A269)+COUNTIF('Service Principals'!$C$2:$C$201,$A269)+COUNTIF('Managed Identities'!$C$2:$C$201,$A269)&gt;0,"Yes","NOT IN INVENTORY"))</f>
        <v/>
      </c>
    </row>
    <row r="270" customFormat="false" ht="15" hidden="false" customHeight="false" outlineLevel="0" collapsed="false">
      <c r="A270" s="46"/>
      <c r="B270" s="47"/>
      <c r="C270" s="47"/>
      <c r="D270" s="46"/>
      <c r="E270" s="47"/>
      <c r="F270" s="47"/>
      <c r="G270" s="47"/>
      <c r="H270" s="46"/>
      <c r="I270" s="47"/>
      <c r="J270" s="47"/>
      <c r="K270" s="47"/>
      <c r="L270" s="47"/>
      <c r="M270" s="47"/>
      <c r="N270" s="47"/>
      <c r="O270" s="47"/>
      <c r="P270" s="45" t="str">
        <f aca="false">IF($A270="","",IF(COUNTIF(Accounts!$C$2:$C$201,$A270)+COUNTIF('Service Principals'!$C$2:$C$201,$A270)+COUNTIF('Managed Identities'!$C$2:$C$201,$A270)&gt;0,"Yes","NOT IN INVENTORY"))</f>
        <v/>
      </c>
    </row>
    <row r="271" customFormat="false" ht="15" hidden="false" customHeight="false" outlineLevel="0" collapsed="false">
      <c r="A271" s="46"/>
      <c r="B271" s="47"/>
      <c r="C271" s="47"/>
      <c r="D271" s="46"/>
      <c r="E271" s="47"/>
      <c r="F271" s="47"/>
      <c r="G271" s="47"/>
      <c r="H271" s="46"/>
      <c r="I271" s="47"/>
      <c r="J271" s="47"/>
      <c r="K271" s="47"/>
      <c r="L271" s="47"/>
      <c r="M271" s="47"/>
      <c r="N271" s="47"/>
      <c r="O271" s="47"/>
      <c r="P271" s="45" t="str">
        <f aca="false">IF($A271="","",IF(COUNTIF(Accounts!$C$2:$C$201,$A271)+COUNTIF('Service Principals'!$C$2:$C$201,$A271)+COUNTIF('Managed Identities'!$C$2:$C$201,$A271)&gt;0,"Yes","NOT IN INVENTORY"))</f>
        <v/>
      </c>
    </row>
    <row r="272" customFormat="false" ht="15" hidden="false" customHeight="false" outlineLevel="0" collapsed="false">
      <c r="A272" s="46"/>
      <c r="B272" s="47"/>
      <c r="C272" s="47"/>
      <c r="D272" s="46"/>
      <c r="E272" s="47"/>
      <c r="F272" s="47"/>
      <c r="G272" s="47"/>
      <c r="H272" s="46"/>
      <c r="I272" s="47"/>
      <c r="J272" s="47"/>
      <c r="K272" s="47"/>
      <c r="L272" s="47"/>
      <c r="M272" s="47"/>
      <c r="N272" s="47"/>
      <c r="O272" s="47"/>
      <c r="P272" s="45" t="str">
        <f aca="false">IF($A272="","",IF(COUNTIF(Accounts!$C$2:$C$201,$A272)+COUNTIF('Service Principals'!$C$2:$C$201,$A272)+COUNTIF('Managed Identities'!$C$2:$C$201,$A272)&gt;0,"Yes","NOT IN INVENTORY"))</f>
        <v/>
      </c>
    </row>
    <row r="273" customFormat="false" ht="15" hidden="false" customHeight="false" outlineLevel="0" collapsed="false">
      <c r="A273" s="46"/>
      <c r="B273" s="47"/>
      <c r="C273" s="47"/>
      <c r="D273" s="46"/>
      <c r="E273" s="47"/>
      <c r="F273" s="47"/>
      <c r="G273" s="47"/>
      <c r="H273" s="46"/>
      <c r="I273" s="47"/>
      <c r="J273" s="47"/>
      <c r="K273" s="47"/>
      <c r="L273" s="47"/>
      <c r="M273" s="47"/>
      <c r="N273" s="47"/>
      <c r="O273" s="47"/>
      <c r="P273" s="45" t="str">
        <f aca="false">IF($A273="","",IF(COUNTIF(Accounts!$C$2:$C$201,$A273)+COUNTIF('Service Principals'!$C$2:$C$201,$A273)+COUNTIF('Managed Identities'!$C$2:$C$201,$A273)&gt;0,"Yes","NOT IN INVENTORY"))</f>
        <v/>
      </c>
    </row>
    <row r="274" customFormat="false" ht="15" hidden="false" customHeight="false" outlineLevel="0" collapsed="false">
      <c r="A274" s="46"/>
      <c r="B274" s="47"/>
      <c r="C274" s="47"/>
      <c r="D274" s="46"/>
      <c r="E274" s="47"/>
      <c r="F274" s="47"/>
      <c r="G274" s="47"/>
      <c r="H274" s="46"/>
      <c r="I274" s="47"/>
      <c r="J274" s="47"/>
      <c r="K274" s="47"/>
      <c r="L274" s="47"/>
      <c r="M274" s="47"/>
      <c r="N274" s="47"/>
      <c r="O274" s="47"/>
      <c r="P274" s="45" t="str">
        <f aca="false">IF($A274="","",IF(COUNTIF(Accounts!$C$2:$C$201,$A274)+COUNTIF('Service Principals'!$C$2:$C$201,$A274)+COUNTIF('Managed Identities'!$C$2:$C$201,$A274)&gt;0,"Yes","NOT IN INVENTORY"))</f>
        <v/>
      </c>
    </row>
    <row r="275" customFormat="false" ht="15" hidden="false" customHeight="false" outlineLevel="0" collapsed="false">
      <c r="A275" s="46"/>
      <c r="B275" s="47"/>
      <c r="C275" s="47"/>
      <c r="D275" s="46"/>
      <c r="E275" s="47"/>
      <c r="F275" s="47"/>
      <c r="G275" s="47"/>
      <c r="H275" s="46"/>
      <c r="I275" s="47"/>
      <c r="J275" s="47"/>
      <c r="K275" s="47"/>
      <c r="L275" s="47"/>
      <c r="M275" s="47"/>
      <c r="N275" s="47"/>
      <c r="O275" s="47"/>
      <c r="P275" s="45" t="str">
        <f aca="false">IF($A275="","",IF(COUNTIF(Accounts!$C$2:$C$201,$A275)+COUNTIF('Service Principals'!$C$2:$C$201,$A275)+COUNTIF('Managed Identities'!$C$2:$C$201,$A275)&gt;0,"Yes","NOT IN INVENTORY"))</f>
        <v/>
      </c>
    </row>
    <row r="276" customFormat="false" ht="15" hidden="false" customHeight="false" outlineLevel="0" collapsed="false">
      <c r="A276" s="46"/>
      <c r="B276" s="47"/>
      <c r="C276" s="47"/>
      <c r="D276" s="46"/>
      <c r="E276" s="47"/>
      <c r="F276" s="47"/>
      <c r="G276" s="47"/>
      <c r="H276" s="46"/>
      <c r="I276" s="47"/>
      <c r="J276" s="47"/>
      <c r="K276" s="47"/>
      <c r="L276" s="47"/>
      <c r="M276" s="47"/>
      <c r="N276" s="47"/>
      <c r="O276" s="47"/>
      <c r="P276" s="45" t="str">
        <f aca="false">IF($A276="","",IF(COUNTIF(Accounts!$C$2:$C$201,$A276)+COUNTIF('Service Principals'!$C$2:$C$201,$A276)+COUNTIF('Managed Identities'!$C$2:$C$201,$A276)&gt;0,"Yes","NOT IN INVENTORY"))</f>
        <v/>
      </c>
    </row>
    <row r="277" customFormat="false" ht="15" hidden="false" customHeight="false" outlineLevel="0" collapsed="false">
      <c r="A277" s="46"/>
      <c r="B277" s="47"/>
      <c r="C277" s="47"/>
      <c r="D277" s="46"/>
      <c r="E277" s="47"/>
      <c r="F277" s="47"/>
      <c r="G277" s="47"/>
      <c r="H277" s="46"/>
      <c r="I277" s="47"/>
      <c r="J277" s="47"/>
      <c r="K277" s="47"/>
      <c r="L277" s="47"/>
      <c r="M277" s="47"/>
      <c r="N277" s="47"/>
      <c r="O277" s="47"/>
      <c r="P277" s="45" t="str">
        <f aca="false">IF($A277="","",IF(COUNTIF(Accounts!$C$2:$C$201,$A277)+COUNTIF('Service Principals'!$C$2:$C$201,$A277)+COUNTIF('Managed Identities'!$C$2:$C$201,$A277)&gt;0,"Yes","NOT IN INVENTORY"))</f>
        <v/>
      </c>
    </row>
    <row r="278" customFormat="false" ht="15" hidden="false" customHeight="false" outlineLevel="0" collapsed="false">
      <c r="A278" s="46"/>
      <c r="B278" s="47"/>
      <c r="C278" s="47"/>
      <c r="D278" s="46"/>
      <c r="E278" s="47"/>
      <c r="F278" s="47"/>
      <c r="G278" s="47"/>
      <c r="H278" s="46"/>
      <c r="I278" s="47"/>
      <c r="J278" s="47"/>
      <c r="K278" s="47"/>
      <c r="L278" s="47"/>
      <c r="M278" s="47"/>
      <c r="N278" s="47"/>
      <c r="O278" s="47"/>
      <c r="P278" s="45" t="str">
        <f aca="false">IF($A278="","",IF(COUNTIF(Accounts!$C$2:$C$201,$A278)+COUNTIF('Service Principals'!$C$2:$C$201,$A278)+COUNTIF('Managed Identities'!$C$2:$C$201,$A278)&gt;0,"Yes","NOT IN INVENTORY"))</f>
        <v/>
      </c>
    </row>
    <row r="279" customFormat="false" ht="15" hidden="false" customHeight="false" outlineLevel="0" collapsed="false">
      <c r="A279" s="46"/>
      <c r="B279" s="47"/>
      <c r="C279" s="47"/>
      <c r="D279" s="46"/>
      <c r="E279" s="47"/>
      <c r="F279" s="47"/>
      <c r="G279" s="47"/>
      <c r="H279" s="46"/>
      <c r="I279" s="47"/>
      <c r="J279" s="47"/>
      <c r="K279" s="47"/>
      <c r="L279" s="47"/>
      <c r="M279" s="47"/>
      <c r="N279" s="47"/>
      <c r="O279" s="47"/>
      <c r="P279" s="45" t="str">
        <f aca="false">IF($A279="","",IF(COUNTIF(Accounts!$C$2:$C$201,$A279)+COUNTIF('Service Principals'!$C$2:$C$201,$A279)+COUNTIF('Managed Identities'!$C$2:$C$201,$A279)&gt;0,"Yes","NOT IN INVENTORY"))</f>
        <v/>
      </c>
    </row>
    <row r="280" customFormat="false" ht="15" hidden="false" customHeight="false" outlineLevel="0" collapsed="false">
      <c r="A280" s="46"/>
      <c r="B280" s="47"/>
      <c r="C280" s="47"/>
      <c r="D280" s="46"/>
      <c r="E280" s="47"/>
      <c r="F280" s="47"/>
      <c r="G280" s="47"/>
      <c r="H280" s="46"/>
      <c r="I280" s="47"/>
      <c r="J280" s="47"/>
      <c r="K280" s="47"/>
      <c r="L280" s="47"/>
      <c r="M280" s="47"/>
      <c r="N280" s="47"/>
      <c r="O280" s="47"/>
      <c r="P280" s="45" t="str">
        <f aca="false">IF($A280="","",IF(COUNTIF(Accounts!$C$2:$C$201,$A280)+COUNTIF('Service Principals'!$C$2:$C$201,$A280)+COUNTIF('Managed Identities'!$C$2:$C$201,$A280)&gt;0,"Yes","NOT IN INVENTORY"))</f>
        <v/>
      </c>
    </row>
    <row r="281" customFormat="false" ht="15" hidden="false" customHeight="false" outlineLevel="0" collapsed="false">
      <c r="A281" s="46"/>
      <c r="B281" s="47"/>
      <c r="C281" s="47"/>
      <c r="D281" s="46"/>
      <c r="E281" s="47"/>
      <c r="F281" s="47"/>
      <c r="G281" s="47"/>
      <c r="H281" s="46"/>
      <c r="I281" s="47"/>
      <c r="J281" s="47"/>
      <c r="K281" s="47"/>
      <c r="L281" s="47"/>
      <c r="M281" s="47"/>
      <c r="N281" s="47"/>
      <c r="O281" s="47"/>
      <c r="P281" s="45" t="str">
        <f aca="false">IF($A281="","",IF(COUNTIF(Accounts!$C$2:$C$201,$A281)+COUNTIF('Service Principals'!$C$2:$C$201,$A281)+COUNTIF('Managed Identities'!$C$2:$C$201,$A281)&gt;0,"Yes","NOT IN INVENTORY"))</f>
        <v/>
      </c>
    </row>
    <row r="282" customFormat="false" ht="15" hidden="false" customHeight="false" outlineLevel="0" collapsed="false">
      <c r="A282" s="46"/>
      <c r="B282" s="47"/>
      <c r="C282" s="47"/>
      <c r="D282" s="46"/>
      <c r="E282" s="47"/>
      <c r="F282" s="47"/>
      <c r="G282" s="47"/>
      <c r="H282" s="46"/>
      <c r="I282" s="47"/>
      <c r="J282" s="47"/>
      <c r="K282" s="47"/>
      <c r="L282" s="47"/>
      <c r="M282" s="47"/>
      <c r="N282" s="47"/>
      <c r="O282" s="47"/>
      <c r="P282" s="45" t="str">
        <f aca="false">IF($A282="","",IF(COUNTIF(Accounts!$C$2:$C$201,$A282)+COUNTIF('Service Principals'!$C$2:$C$201,$A282)+COUNTIF('Managed Identities'!$C$2:$C$201,$A282)&gt;0,"Yes","NOT IN INVENTORY"))</f>
        <v/>
      </c>
    </row>
    <row r="283" customFormat="false" ht="15" hidden="false" customHeight="false" outlineLevel="0" collapsed="false">
      <c r="A283" s="46"/>
      <c r="B283" s="47"/>
      <c r="C283" s="47"/>
      <c r="D283" s="46"/>
      <c r="E283" s="47"/>
      <c r="F283" s="47"/>
      <c r="G283" s="47"/>
      <c r="H283" s="46"/>
      <c r="I283" s="47"/>
      <c r="J283" s="47"/>
      <c r="K283" s="47"/>
      <c r="L283" s="47"/>
      <c r="M283" s="47"/>
      <c r="N283" s="47"/>
      <c r="O283" s="47"/>
      <c r="P283" s="45" t="str">
        <f aca="false">IF($A283="","",IF(COUNTIF(Accounts!$C$2:$C$201,$A283)+COUNTIF('Service Principals'!$C$2:$C$201,$A283)+COUNTIF('Managed Identities'!$C$2:$C$201,$A283)&gt;0,"Yes","NOT IN INVENTORY"))</f>
        <v/>
      </c>
    </row>
    <row r="284" customFormat="false" ht="15" hidden="false" customHeight="false" outlineLevel="0" collapsed="false">
      <c r="A284" s="46"/>
      <c r="B284" s="47"/>
      <c r="C284" s="47"/>
      <c r="D284" s="46"/>
      <c r="E284" s="47"/>
      <c r="F284" s="47"/>
      <c r="G284" s="47"/>
      <c r="H284" s="46"/>
      <c r="I284" s="47"/>
      <c r="J284" s="47"/>
      <c r="K284" s="47"/>
      <c r="L284" s="47"/>
      <c r="M284" s="47"/>
      <c r="N284" s="47"/>
      <c r="O284" s="47"/>
      <c r="P284" s="45" t="str">
        <f aca="false">IF($A284="","",IF(COUNTIF(Accounts!$C$2:$C$201,$A284)+COUNTIF('Service Principals'!$C$2:$C$201,$A284)+COUNTIF('Managed Identities'!$C$2:$C$201,$A284)&gt;0,"Yes","NOT IN INVENTORY"))</f>
        <v/>
      </c>
    </row>
    <row r="285" customFormat="false" ht="15" hidden="false" customHeight="false" outlineLevel="0" collapsed="false">
      <c r="A285" s="46"/>
      <c r="B285" s="47"/>
      <c r="C285" s="47"/>
      <c r="D285" s="46"/>
      <c r="E285" s="47"/>
      <c r="F285" s="47"/>
      <c r="G285" s="47"/>
      <c r="H285" s="46"/>
      <c r="I285" s="47"/>
      <c r="J285" s="47"/>
      <c r="K285" s="47"/>
      <c r="L285" s="47"/>
      <c r="M285" s="47"/>
      <c r="N285" s="47"/>
      <c r="O285" s="47"/>
      <c r="P285" s="45" t="str">
        <f aca="false">IF($A285="","",IF(COUNTIF(Accounts!$C$2:$C$201,$A285)+COUNTIF('Service Principals'!$C$2:$C$201,$A285)+COUNTIF('Managed Identities'!$C$2:$C$201,$A285)&gt;0,"Yes","NOT IN INVENTORY"))</f>
        <v/>
      </c>
    </row>
    <row r="286" customFormat="false" ht="15" hidden="false" customHeight="false" outlineLevel="0" collapsed="false">
      <c r="A286" s="46"/>
      <c r="B286" s="47"/>
      <c r="C286" s="47"/>
      <c r="D286" s="46"/>
      <c r="E286" s="47"/>
      <c r="F286" s="47"/>
      <c r="G286" s="47"/>
      <c r="H286" s="46"/>
      <c r="I286" s="47"/>
      <c r="J286" s="47"/>
      <c r="K286" s="47"/>
      <c r="L286" s="47"/>
      <c r="M286" s="47"/>
      <c r="N286" s="47"/>
      <c r="O286" s="47"/>
      <c r="P286" s="45" t="str">
        <f aca="false">IF($A286="","",IF(COUNTIF(Accounts!$C$2:$C$201,$A286)+COUNTIF('Service Principals'!$C$2:$C$201,$A286)+COUNTIF('Managed Identities'!$C$2:$C$201,$A286)&gt;0,"Yes","NOT IN INVENTORY"))</f>
        <v/>
      </c>
    </row>
    <row r="287" customFormat="false" ht="15" hidden="false" customHeight="false" outlineLevel="0" collapsed="false">
      <c r="A287" s="46"/>
      <c r="B287" s="47"/>
      <c r="C287" s="47"/>
      <c r="D287" s="46"/>
      <c r="E287" s="47"/>
      <c r="F287" s="47"/>
      <c r="G287" s="47"/>
      <c r="H287" s="46"/>
      <c r="I287" s="47"/>
      <c r="J287" s="47"/>
      <c r="K287" s="47"/>
      <c r="L287" s="47"/>
      <c r="M287" s="47"/>
      <c r="N287" s="47"/>
      <c r="O287" s="47"/>
      <c r="P287" s="45" t="str">
        <f aca="false">IF($A287="","",IF(COUNTIF(Accounts!$C$2:$C$201,$A287)+COUNTIF('Service Principals'!$C$2:$C$201,$A287)+COUNTIF('Managed Identities'!$C$2:$C$201,$A287)&gt;0,"Yes","NOT IN INVENTORY"))</f>
        <v/>
      </c>
    </row>
    <row r="288" customFormat="false" ht="15" hidden="false" customHeight="false" outlineLevel="0" collapsed="false">
      <c r="A288" s="46"/>
      <c r="B288" s="47"/>
      <c r="C288" s="47"/>
      <c r="D288" s="46"/>
      <c r="E288" s="47"/>
      <c r="F288" s="47"/>
      <c r="G288" s="47"/>
      <c r="H288" s="46"/>
      <c r="I288" s="47"/>
      <c r="J288" s="47"/>
      <c r="K288" s="47"/>
      <c r="L288" s="47"/>
      <c r="M288" s="47"/>
      <c r="N288" s="47"/>
      <c r="O288" s="47"/>
      <c r="P288" s="45" t="str">
        <f aca="false">IF($A288="","",IF(COUNTIF(Accounts!$C$2:$C$201,$A288)+COUNTIF('Service Principals'!$C$2:$C$201,$A288)+COUNTIF('Managed Identities'!$C$2:$C$201,$A288)&gt;0,"Yes","NOT IN INVENTORY"))</f>
        <v/>
      </c>
    </row>
    <row r="289" customFormat="false" ht="15" hidden="false" customHeight="false" outlineLevel="0" collapsed="false">
      <c r="A289" s="46"/>
      <c r="B289" s="47"/>
      <c r="C289" s="47"/>
      <c r="D289" s="46"/>
      <c r="E289" s="47"/>
      <c r="F289" s="47"/>
      <c r="G289" s="47"/>
      <c r="H289" s="46"/>
      <c r="I289" s="47"/>
      <c r="J289" s="47"/>
      <c r="K289" s="47"/>
      <c r="L289" s="47"/>
      <c r="M289" s="47"/>
      <c r="N289" s="47"/>
      <c r="O289" s="47"/>
      <c r="P289" s="45" t="str">
        <f aca="false">IF($A289="","",IF(COUNTIF(Accounts!$C$2:$C$201,$A289)+COUNTIF('Service Principals'!$C$2:$C$201,$A289)+COUNTIF('Managed Identities'!$C$2:$C$201,$A289)&gt;0,"Yes","NOT IN INVENTORY"))</f>
        <v/>
      </c>
    </row>
    <row r="290" customFormat="false" ht="15" hidden="false" customHeight="false" outlineLevel="0" collapsed="false">
      <c r="A290" s="46"/>
      <c r="B290" s="47"/>
      <c r="C290" s="47"/>
      <c r="D290" s="46"/>
      <c r="E290" s="47"/>
      <c r="F290" s="47"/>
      <c r="G290" s="47"/>
      <c r="H290" s="46"/>
      <c r="I290" s="47"/>
      <c r="J290" s="47"/>
      <c r="K290" s="47"/>
      <c r="L290" s="47"/>
      <c r="M290" s="47"/>
      <c r="N290" s="47"/>
      <c r="O290" s="47"/>
      <c r="P290" s="45" t="str">
        <f aca="false">IF($A290="","",IF(COUNTIF(Accounts!$C$2:$C$201,$A290)+COUNTIF('Service Principals'!$C$2:$C$201,$A290)+COUNTIF('Managed Identities'!$C$2:$C$201,$A290)&gt;0,"Yes","NOT IN INVENTORY"))</f>
        <v/>
      </c>
    </row>
    <row r="291" customFormat="false" ht="15" hidden="false" customHeight="false" outlineLevel="0" collapsed="false">
      <c r="A291" s="46"/>
      <c r="B291" s="47"/>
      <c r="C291" s="47"/>
      <c r="D291" s="46"/>
      <c r="E291" s="47"/>
      <c r="F291" s="47"/>
      <c r="G291" s="47"/>
      <c r="H291" s="46"/>
      <c r="I291" s="47"/>
      <c r="J291" s="47"/>
      <c r="K291" s="47"/>
      <c r="L291" s="47"/>
      <c r="M291" s="47"/>
      <c r="N291" s="47"/>
      <c r="O291" s="47"/>
      <c r="P291" s="45" t="str">
        <f aca="false">IF($A291="","",IF(COUNTIF(Accounts!$C$2:$C$201,$A291)+COUNTIF('Service Principals'!$C$2:$C$201,$A291)+COUNTIF('Managed Identities'!$C$2:$C$201,$A291)&gt;0,"Yes","NOT IN INVENTORY"))</f>
        <v/>
      </c>
    </row>
    <row r="292" customFormat="false" ht="15" hidden="false" customHeight="false" outlineLevel="0" collapsed="false">
      <c r="A292" s="46"/>
      <c r="B292" s="47"/>
      <c r="C292" s="47"/>
      <c r="D292" s="46"/>
      <c r="E292" s="47"/>
      <c r="F292" s="47"/>
      <c r="G292" s="47"/>
      <c r="H292" s="46"/>
      <c r="I292" s="47"/>
      <c r="J292" s="47"/>
      <c r="K292" s="47"/>
      <c r="L292" s="47"/>
      <c r="M292" s="47"/>
      <c r="N292" s="47"/>
      <c r="O292" s="47"/>
      <c r="P292" s="45" t="str">
        <f aca="false">IF($A292="","",IF(COUNTIF(Accounts!$C$2:$C$201,$A292)+COUNTIF('Service Principals'!$C$2:$C$201,$A292)+COUNTIF('Managed Identities'!$C$2:$C$201,$A292)&gt;0,"Yes","NOT IN INVENTORY"))</f>
        <v/>
      </c>
    </row>
    <row r="293" customFormat="false" ht="15" hidden="false" customHeight="false" outlineLevel="0" collapsed="false">
      <c r="A293" s="46"/>
      <c r="B293" s="47"/>
      <c r="C293" s="47"/>
      <c r="D293" s="46"/>
      <c r="E293" s="47"/>
      <c r="F293" s="47"/>
      <c r="G293" s="47"/>
      <c r="H293" s="46"/>
      <c r="I293" s="47"/>
      <c r="J293" s="47"/>
      <c r="K293" s="47"/>
      <c r="L293" s="47"/>
      <c r="M293" s="47"/>
      <c r="N293" s="47"/>
      <c r="O293" s="47"/>
      <c r="P293" s="45" t="str">
        <f aca="false">IF($A293="","",IF(COUNTIF(Accounts!$C$2:$C$201,$A293)+COUNTIF('Service Principals'!$C$2:$C$201,$A293)+COUNTIF('Managed Identities'!$C$2:$C$201,$A293)&gt;0,"Yes","NOT IN INVENTORY"))</f>
        <v/>
      </c>
    </row>
    <row r="294" customFormat="false" ht="15" hidden="false" customHeight="false" outlineLevel="0" collapsed="false">
      <c r="A294" s="46"/>
      <c r="B294" s="47"/>
      <c r="C294" s="47"/>
      <c r="D294" s="46"/>
      <c r="E294" s="47"/>
      <c r="F294" s="47"/>
      <c r="G294" s="47"/>
      <c r="H294" s="46"/>
      <c r="I294" s="47"/>
      <c r="J294" s="47"/>
      <c r="K294" s="47"/>
      <c r="L294" s="47"/>
      <c r="M294" s="47"/>
      <c r="N294" s="47"/>
      <c r="O294" s="47"/>
      <c r="P294" s="45" t="str">
        <f aca="false">IF($A294="","",IF(COUNTIF(Accounts!$C$2:$C$201,$A294)+COUNTIF('Service Principals'!$C$2:$C$201,$A294)+COUNTIF('Managed Identities'!$C$2:$C$201,$A294)&gt;0,"Yes","NOT IN INVENTORY"))</f>
        <v/>
      </c>
    </row>
    <row r="295" customFormat="false" ht="15" hidden="false" customHeight="false" outlineLevel="0" collapsed="false">
      <c r="A295" s="46"/>
      <c r="B295" s="47"/>
      <c r="C295" s="47"/>
      <c r="D295" s="46"/>
      <c r="E295" s="47"/>
      <c r="F295" s="47"/>
      <c r="G295" s="47"/>
      <c r="H295" s="46"/>
      <c r="I295" s="47"/>
      <c r="J295" s="47"/>
      <c r="K295" s="47"/>
      <c r="L295" s="47"/>
      <c r="M295" s="47"/>
      <c r="N295" s="47"/>
      <c r="O295" s="47"/>
      <c r="P295" s="45" t="str">
        <f aca="false">IF($A295="","",IF(COUNTIF(Accounts!$C$2:$C$201,$A295)+COUNTIF('Service Principals'!$C$2:$C$201,$A295)+COUNTIF('Managed Identities'!$C$2:$C$201,$A295)&gt;0,"Yes","NOT IN INVENTORY"))</f>
        <v/>
      </c>
    </row>
    <row r="296" customFormat="false" ht="15" hidden="false" customHeight="false" outlineLevel="0" collapsed="false">
      <c r="A296" s="46"/>
      <c r="B296" s="47"/>
      <c r="C296" s="47"/>
      <c r="D296" s="46"/>
      <c r="E296" s="47"/>
      <c r="F296" s="47"/>
      <c r="G296" s="47"/>
      <c r="H296" s="46"/>
      <c r="I296" s="47"/>
      <c r="J296" s="47"/>
      <c r="K296" s="47"/>
      <c r="L296" s="47"/>
      <c r="M296" s="47"/>
      <c r="N296" s="47"/>
      <c r="O296" s="47"/>
      <c r="P296" s="45" t="str">
        <f aca="false">IF($A296="","",IF(COUNTIF(Accounts!$C$2:$C$201,$A296)+COUNTIF('Service Principals'!$C$2:$C$201,$A296)+COUNTIF('Managed Identities'!$C$2:$C$201,$A296)&gt;0,"Yes","NOT IN INVENTORY"))</f>
        <v/>
      </c>
    </row>
    <row r="297" customFormat="false" ht="15" hidden="false" customHeight="false" outlineLevel="0" collapsed="false">
      <c r="A297" s="46"/>
      <c r="B297" s="47"/>
      <c r="C297" s="47"/>
      <c r="D297" s="46"/>
      <c r="E297" s="47"/>
      <c r="F297" s="47"/>
      <c r="G297" s="47"/>
      <c r="H297" s="46"/>
      <c r="I297" s="47"/>
      <c r="J297" s="47"/>
      <c r="K297" s="47"/>
      <c r="L297" s="47"/>
      <c r="M297" s="47"/>
      <c r="N297" s="47"/>
      <c r="O297" s="47"/>
      <c r="P297" s="45" t="str">
        <f aca="false">IF($A297="","",IF(COUNTIF(Accounts!$C$2:$C$201,$A297)+COUNTIF('Service Principals'!$C$2:$C$201,$A297)+COUNTIF('Managed Identities'!$C$2:$C$201,$A297)&gt;0,"Yes","NOT IN INVENTORY"))</f>
        <v/>
      </c>
    </row>
    <row r="298" customFormat="false" ht="15" hidden="false" customHeight="false" outlineLevel="0" collapsed="false">
      <c r="A298" s="46"/>
      <c r="B298" s="47"/>
      <c r="C298" s="47"/>
      <c r="D298" s="46"/>
      <c r="E298" s="47"/>
      <c r="F298" s="47"/>
      <c r="G298" s="47"/>
      <c r="H298" s="46"/>
      <c r="I298" s="47"/>
      <c r="J298" s="47"/>
      <c r="K298" s="47"/>
      <c r="L298" s="47"/>
      <c r="M298" s="47"/>
      <c r="N298" s="47"/>
      <c r="O298" s="47"/>
      <c r="P298" s="45" t="str">
        <f aca="false">IF($A298="","",IF(COUNTIF(Accounts!$C$2:$C$201,$A298)+COUNTIF('Service Principals'!$C$2:$C$201,$A298)+COUNTIF('Managed Identities'!$C$2:$C$201,$A298)&gt;0,"Yes","NOT IN INVENTORY"))</f>
        <v/>
      </c>
    </row>
    <row r="299" customFormat="false" ht="15" hidden="false" customHeight="false" outlineLevel="0" collapsed="false">
      <c r="A299" s="46"/>
      <c r="B299" s="47"/>
      <c r="C299" s="47"/>
      <c r="D299" s="46"/>
      <c r="E299" s="47"/>
      <c r="F299" s="47"/>
      <c r="G299" s="47"/>
      <c r="H299" s="46"/>
      <c r="I299" s="47"/>
      <c r="J299" s="47"/>
      <c r="K299" s="47"/>
      <c r="L299" s="47"/>
      <c r="M299" s="47"/>
      <c r="N299" s="47"/>
      <c r="O299" s="47"/>
      <c r="P299" s="45" t="str">
        <f aca="false">IF($A299="","",IF(COUNTIF(Accounts!$C$2:$C$201,$A299)+COUNTIF('Service Principals'!$C$2:$C$201,$A299)+COUNTIF('Managed Identities'!$C$2:$C$201,$A299)&gt;0,"Yes","NOT IN INVENTORY"))</f>
        <v/>
      </c>
    </row>
    <row r="300" customFormat="false" ht="15" hidden="false" customHeight="false" outlineLevel="0" collapsed="false">
      <c r="A300" s="46"/>
      <c r="B300" s="47"/>
      <c r="C300" s="47"/>
      <c r="D300" s="46"/>
      <c r="E300" s="47"/>
      <c r="F300" s="47"/>
      <c r="G300" s="47"/>
      <c r="H300" s="46"/>
      <c r="I300" s="47"/>
      <c r="J300" s="47"/>
      <c r="K300" s="47"/>
      <c r="L300" s="47"/>
      <c r="M300" s="47"/>
      <c r="N300" s="47"/>
      <c r="O300" s="47"/>
      <c r="P300" s="45" t="str">
        <f aca="false">IF($A300="","",IF(COUNTIF(Accounts!$C$2:$C$201,$A300)+COUNTIF('Service Principals'!$C$2:$C$201,$A300)+COUNTIF('Managed Identities'!$C$2:$C$201,$A300)&gt;0,"Yes","NOT IN INVENTORY"))</f>
        <v/>
      </c>
    </row>
    <row r="301" customFormat="false" ht="15" hidden="false" customHeight="false" outlineLevel="0" collapsed="false">
      <c r="A301" s="46"/>
      <c r="B301" s="47"/>
      <c r="C301" s="47"/>
      <c r="D301" s="46"/>
      <c r="E301" s="47"/>
      <c r="F301" s="47"/>
      <c r="G301" s="47"/>
      <c r="H301" s="46"/>
      <c r="I301" s="47"/>
      <c r="J301" s="47"/>
      <c r="K301" s="47"/>
      <c r="L301" s="47"/>
      <c r="M301" s="47"/>
      <c r="N301" s="47"/>
      <c r="O301" s="47"/>
      <c r="P301" s="45" t="str">
        <f aca="false">IF($A301="","",IF(COUNTIF(Accounts!$C$2:$C$201,$A301)+COUNTIF('Service Principals'!$C$2:$C$201,$A301)+COUNTIF('Managed Identities'!$C$2:$C$201,$A301)&gt;0,"Yes","NOT IN INVENTORY"))</f>
        <v/>
      </c>
    </row>
    <row r="302" customFormat="false" ht="15" hidden="false" customHeight="false" outlineLevel="0" collapsed="false">
      <c r="A302" s="46"/>
      <c r="B302" s="47"/>
      <c r="C302" s="47"/>
      <c r="D302" s="46"/>
      <c r="E302" s="47"/>
      <c r="F302" s="47"/>
      <c r="G302" s="47"/>
      <c r="H302" s="46"/>
      <c r="I302" s="47"/>
      <c r="J302" s="47"/>
      <c r="K302" s="47"/>
      <c r="L302" s="47"/>
      <c r="M302" s="47"/>
      <c r="N302" s="47"/>
      <c r="O302" s="47"/>
      <c r="P302" s="45" t="str">
        <f aca="false">IF($A302="","",IF(COUNTIF(Accounts!$C$2:$C$201,$A302)+COUNTIF('Service Principals'!$C$2:$C$201,$A302)+COUNTIF('Managed Identities'!$C$2:$C$201,$A302)&gt;0,"Yes","NOT IN INVENTORY"))</f>
        <v/>
      </c>
    </row>
    <row r="303" customFormat="false" ht="15" hidden="false" customHeight="false" outlineLevel="0" collapsed="false">
      <c r="A303" s="46"/>
      <c r="B303" s="47"/>
      <c r="C303" s="47"/>
      <c r="D303" s="46"/>
      <c r="E303" s="47"/>
      <c r="F303" s="47"/>
      <c r="G303" s="47"/>
      <c r="H303" s="46"/>
      <c r="I303" s="47"/>
      <c r="J303" s="47"/>
      <c r="K303" s="47"/>
      <c r="L303" s="47"/>
      <c r="M303" s="47"/>
      <c r="N303" s="47"/>
      <c r="O303" s="47"/>
      <c r="P303" s="45" t="str">
        <f aca="false">IF($A303="","",IF(COUNTIF(Accounts!$C$2:$C$201,$A303)+COUNTIF('Service Principals'!$C$2:$C$201,$A303)+COUNTIF('Managed Identities'!$C$2:$C$201,$A303)&gt;0,"Yes","NOT IN INVENTORY"))</f>
        <v/>
      </c>
    </row>
    <row r="304" customFormat="false" ht="15" hidden="false" customHeight="false" outlineLevel="0" collapsed="false">
      <c r="A304" s="46"/>
      <c r="B304" s="47"/>
      <c r="C304" s="47"/>
      <c r="D304" s="46"/>
      <c r="E304" s="47"/>
      <c r="F304" s="47"/>
      <c r="G304" s="47"/>
      <c r="H304" s="46"/>
      <c r="I304" s="47"/>
      <c r="J304" s="47"/>
      <c r="K304" s="47"/>
      <c r="L304" s="47"/>
      <c r="M304" s="47"/>
      <c r="N304" s="47"/>
      <c r="O304" s="47"/>
      <c r="P304" s="45" t="str">
        <f aca="false">IF($A304="","",IF(COUNTIF(Accounts!$C$2:$C$201,$A304)+COUNTIF('Service Principals'!$C$2:$C$201,$A304)+COUNTIF('Managed Identities'!$C$2:$C$201,$A304)&gt;0,"Yes","NOT IN INVENTORY"))</f>
        <v/>
      </c>
    </row>
    <row r="305" customFormat="false" ht="15" hidden="false" customHeight="false" outlineLevel="0" collapsed="false">
      <c r="A305" s="46"/>
      <c r="B305" s="47"/>
      <c r="C305" s="47"/>
      <c r="D305" s="46"/>
      <c r="E305" s="47"/>
      <c r="F305" s="47"/>
      <c r="G305" s="47"/>
      <c r="H305" s="46"/>
      <c r="I305" s="47"/>
      <c r="J305" s="47"/>
      <c r="K305" s="47"/>
      <c r="L305" s="47"/>
      <c r="M305" s="47"/>
      <c r="N305" s="47"/>
      <c r="O305" s="47"/>
      <c r="P305" s="45" t="str">
        <f aca="false">IF($A305="","",IF(COUNTIF(Accounts!$C$2:$C$201,$A305)+COUNTIF('Service Principals'!$C$2:$C$201,$A305)+COUNTIF('Managed Identities'!$C$2:$C$201,$A305)&gt;0,"Yes","NOT IN INVENTORY"))</f>
        <v/>
      </c>
    </row>
    <row r="306" customFormat="false" ht="15" hidden="false" customHeight="false" outlineLevel="0" collapsed="false">
      <c r="A306" s="46"/>
      <c r="B306" s="47"/>
      <c r="C306" s="47"/>
      <c r="D306" s="46"/>
      <c r="E306" s="47"/>
      <c r="F306" s="47"/>
      <c r="G306" s="47"/>
      <c r="H306" s="46"/>
      <c r="I306" s="47"/>
      <c r="J306" s="47"/>
      <c r="K306" s="47"/>
      <c r="L306" s="47"/>
      <c r="M306" s="47"/>
      <c r="N306" s="47"/>
      <c r="O306" s="47"/>
      <c r="P306" s="45" t="str">
        <f aca="false">IF($A306="","",IF(COUNTIF(Accounts!$C$2:$C$201,$A306)+COUNTIF('Service Principals'!$C$2:$C$201,$A306)+COUNTIF('Managed Identities'!$C$2:$C$201,$A306)&gt;0,"Yes","NOT IN INVENTORY"))</f>
        <v/>
      </c>
    </row>
    <row r="307" customFormat="false" ht="15" hidden="false" customHeight="false" outlineLevel="0" collapsed="false">
      <c r="A307" s="46"/>
      <c r="B307" s="47"/>
      <c r="C307" s="47"/>
      <c r="D307" s="46"/>
      <c r="E307" s="47"/>
      <c r="F307" s="47"/>
      <c r="G307" s="47"/>
      <c r="H307" s="46"/>
      <c r="I307" s="47"/>
      <c r="J307" s="47"/>
      <c r="K307" s="47"/>
      <c r="L307" s="47"/>
      <c r="M307" s="47"/>
      <c r="N307" s="47"/>
      <c r="O307" s="47"/>
      <c r="P307" s="45" t="str">
        <f aca="false">IF($A307="","",IF(COUNTIF(Accounts!$C$2:$C$201,$A307)+COUNTIF('Service Principals'!$C$2:$C$201,$A307)+COUNTIF('Managed Identities'!$C$2:$C$201,$A307)&gt;0,"Yes","NOT IN INVENTORY"))</f>
        <v/>
      </c>
    </row>
    <row r="308" customFormat="false" ht="15" hidden="false" customHeight="false" outlineLevel="0" collapsed="false">
      <c r="A308" s="46"/>
      <c r="B308" s="47"/>
      <c r="C308" s="47"/>
      <c r="D308" s="46"/>
      <c r="E308" s="47"/>
      <c r="F308" s="47"/>
      <c r="G308" s="47"/>
      <c r="H308" s="46"/>
      <c r="I308" s="47"/>
      <c r="J308" s="47"/>
      <c r="K308" s="47"/>
      <c r="L308" s="47"/>
      <c r="M308" s="47"/>
      <c r="N308" s="47"/>
      <c r="O308" s="47"/>
      <c r="P308" s="45" t="str">
        <f aca="false">IF($A308="","",IF(COUNTIF(Accounts!$C$2:$C$201,$A308)+COUNTIF('Service Principals'!$C$2:$C$201,$A308)+COUNTIF('Managed Identities'!$C$2:$C$201,$A308)&gt;0,"Yes","NOT IN INVENTORY"))</f>
        <v/>
      </c>
    </row>
    <row r="309" customFormat="false" ht="15" hidden="false" customHeight="false" outlineLevel="0" collapsed="false">
      <c r="A309" s="46"/>
      <c r="B309" s="47"/>
      <c r="C309" s="47"/>
      <c r="D309" s="46"/>
      <c r="E309" s="47"/>
      <c r="F309" s="47"/>
      <c r="G309" s="47"/>
      <c r="H309" s="46"/>
      <c r="I309" s="47"/>
      <c r="J309" s="47"/>
      <c r="K309" s="47"/>
      <c r="L309" s="47"/>
      <c r="M309" s="47"/>
      <c r="N309" s="47"/>
      <c r="O309" s="47"/>
      <c r="P309" s="45" t="str">
        <f aca="false">IF($A309="","",IF(COUNTIF(Accounts!$C$2:$C$201,$A309)+COUNTIF('Service Principals'!$C$2:$C$201,$A309)+COUNTIF('Managed Identities'!$C$2:$C$201,$A309)&gt;0,"Yes","NOT IN INVENTORY"))</f>
        <v/>
      </c>
    </row>
    <row r="310" customFormat="false" ht="15" hidden="false" customHeight="false" outlineLevel="0" collapsed="false">
      <c r="A310" s="46"/>
      <c r="B310" s="47"/>
      <c r="C310" s="47"/>
      <c r="D310" s="46"/>
      <c r="E310" s="47"/>
      <c r="F310" s="47"/>
      <c r="G310" s="47"/>
      <c r="H310" s="46"/>
      <c r="I310" s="47"/>
      <c r="J310" s="47"/>
      <c r="K310" s="47"/>
      <c r="L310" s="47"/>
      <c r="M310" s="47"/>
      <c r="N310" s="47"/>
      <c r="O310" s="47"/>
      <c r="P310" s="45" t="str">
        <f aca="false">IF($A310="","",IF(COUNTIF(Accounts!$C$2:$C$201,$A310)+COUNTIF('Service Principals'!$C$2:$C$201,$A310)+COUNTIF('Managed Identities'!$C$2:$C$201,$A310)&gt;0,"Yes","NOT IN INVENTORY"))</f>
        <v/>
      </c>
    </row>
    <row r="311" customFormat="false" ht="15" hidden="false" customHeight="false" outlineLevel="0" collapsed="false">
      <c r="A311" s="46"/>
      <c r="B311" s="47"/>
      <c r="C311" s="47"/>
      <c r="D311" s="46"/>
      <c r="E311" s="47"/>
      <c r="F311" s="47"/>
      <c r="G311" s="47"/>
      <c r="H311" s="46"/>
      <c r="I311" s="47"/>
      <c r="J311" s="47"/>
      <c r="K311" s="47"/>
      <c r="L311" s="47"/>
      <c r="M311" s="47"/>
      <c r="N311" s="47"/>
      <c r="O311" s="47"/>
      <c r="P311" s="45" t="str">
        <f aca="false">IF($A311="","",IF(COUNTIF(Accounts!$C$2:$C$201,$A311)+COUNTIF('Service Principals'!$C$2:$C$201,$A311)+COUNTIF('Managed Identities'!$C$2:$C$201,$A311)&gt;0,"Yes","NOT IN INVENTORY"))</f>
        <v/>
      </c>
    </row>
    <row r="312" customFormat="false" ht="15" hidden="false" customHeight="false" outlineLevel="0" collapsed="false">
      <c r="A312" s="46"/>
      <c r="B312" s="47"/>
      <c r="C312" s="47"/>
      <c r="D312" s="46"/>
      <c r="E312" s="47"/>
      <c r="F312" s="47"/>
      <c r="G312" s="47"/>
      <c r="H312" s="46"/>
      <c r="I312" s="47"/>
      <c r="J312" s="47"/>
      <c r="K312" s="47"/>
      <c r="L312" s="47"/>
      <c r="M312" s="47"/>
      <c r="N312" s="47"/>
      <c r="O312" s="47"/>
      <c r="P312" s="45" t="str">
        <f aca="false">IF($A312="","",IF(COUNTIF(Accounts!$C$2:$C$201,$A312)+COUNTIF('Service Principals'!$C$2:$C$201,$A312)+COUNTIF('Managed Identities'!$C$2:$C$201,$A312)&gt;0,"Yes","NOT IN INVENTORY"))</f>
        <v/>
      </c>
    </row>
    <row r="313" customFormat="false" ht="15" hidden="false" customHeight="false" outlineLevel="0" collapsed="false">
      <c r="A313" s="46"/>
      <c r="B313" s="47"/>
      <c r="C313" s="47"/>
      <c r="D313" s="46"/>
      <c r="E313" s="47"/>
      <c r="F313" s="47"/>
      <c r="G313" s="47"/>
      <c r="H313" s="46"/>
      <c r="I313" s="47"/>
      <c r="J313" s="47"/>
      <c r="K313" s="47"/>
      <c r="L313" s="47"/>
      <c r="M313" s="47"/>
      <c r="N313" s="47"/>
      <c r="O313" s="47"/>
      <c r="P313" s="45" t="str">
        <f aca="false">IF($A313="","",IF(COUNTIF(Accounts!$C$2:$C$201,$A313)+COUNTIF('Service Principals'!$C$2:$C$201,$A313)+COUNTIF('Managed Identities'!$C$2:$C$201,$A313)&gt;0,"Yes","NOT IN INVENTORY"))</f>
        <v/>
      </c>
    </row>
    <row r="314" customFormat="false" ht="15" hidden="false" customHeight="false" outlineLevel="0" collapsed="false">
      <c r="A314" s="46"/>
      <c r="B314" s="47"/>
      <c r="C314" s="47"/>
      <c r="D314" s="46"/>
      <c r="E314" s="47"/>
      <c r="F314" s="47"/>
      <c r="G314" s="47"/>
      <c r="H314" s="46"/>
      <c r="I314" s="47"/>
      <c r="J314" s="47"/>
      <c r="K314" s="47"/>
      <c r="L314" s="47"/>
      <c r="M314" s="47"/>
      <c r="N314" s="47"/>
      <c r="O314" s="47"/>
      <c r="P314" s="45" t="str">
        <f aca="false">IF($A314="","",IF(COUNTIF(Accounts!$C$2:$C$201,$A314)+COUNTIF('Service Principals'!$C$2:$C$201,$A314)+COUNTIF('Managed Identities'!$C$2:$C$201,$A314)&gt;0,"Yes","NOT IN INVENTORY"))</f>
        <v/>
      </c>
    </row>
    <row r="315" customFormat="false" ht="15" hidden="false" customHeight="false" outlineLevel="0" collapsed="false">
      <c r="A315" s="46"/>
      <c r="B315" s="47"/>
      <c r="C315" s="47"/>
      <c r="D315" s="46"/>
      <c r="E315" s="47"/>
      <c r="F315" s="47"/>
      <c r="G315" s="47"/>
      <c r="H315" s="46"/>
      <c r="I315" s="47"/>
      <c r="J315" s="47"/>
      <c r="K315" s="47"/>
      <c r="L315" s="47"/>
      <c r="M315" s="47"/>
      <c r="N315" s="47"/>
      <c r="O315" s="47"/>
      <c r="P315" s="45" t="str">
        <f aca="false">IF($A315="","",IF(COUNTIF(Accounts!$C$2:$C$201,$A315)+COUNTIF('Service Principals'!$C$2:$C$201,$A315)+COUNTIF('Managed Identities'!$C$2:$C$201,$A315)&gt;0,"Yes","NOT IN INVENTORY"))</f>
        <v/>
      </c>
    </row>
    <row r="316" customFormat="false" ht="15" hidden="false" customHeight="false" outlineLevel="0" collapsed="false">
      <c r="A316" s="46"/>
      <c r="B316" s="47"/>
      <c r="C316" s="47"/>
      <c r="D316" s="46"/>
      <c r="E316" s="47"/>
      <c r="F316" s="47"/>
      <c r="G316" s="47"/>
      <c r="H316" s="46"/>
      <c r="I316" s="47"/>
      <c r="J316" s="47"/>
      <c r="K316" s="47"/>
      <c r="L316" s="47"/>
      <c r="M316" s="47"/>
      <c r="N316" s="47"/>
      <c r="O316" s="47"/>
      <c r="P316" s="45" t="str">
        <f aca="false">IF($A316="","",IF(COUNTIF(Accounts!$C$2:$C$201,$A316)+COUNTIF('Service Principals'!$C$2:$C$201,$A316)+COUNTIF('Managed Identities'!$C$2:$C$201,$A316)&gt;0,"Yes","NOT IN INVENTORY"))</f>
        <v/>
      </c>
    </row>
    <row r="317" customFormat="false" ht="15" hidden="false" customHeight="false" outlineLevel="0" collapsed="false">
      <c r="A317" s="46"/>
      <c r="B317" s="47"/>
      <c r="C317" s="47"/>
      <c r="D317" s="46"/>
      <c r="E317" s="47"/>
      <c r="F317" s="47"/>
      <c r="G317" s="47"/>
      <c r="H317" s="46"/>
      <c r="I317" s="47"/>
      <c r="J317" s="47"/>
      <c r="K317" s="47"/>
      <c r="L317" s="47"/>
      <c r="M317" s="47"/>
      <c r="N317" s="47"/>
      <c r="O317" s="47"/>
      <c r="P317" s="45" t="str">
        <f aca="false">IF($A317="","",IF(COUNTIF(Accounts!$C$2:$C$201,$A317)+COUNTIF('Service Principals'!$C$2:$C$201,$A317)+COUNTIF('Managed Identities'!$C$2:$C$201,$A317)&gt;0,"Yes","NOT IN INVENTORY"))</f>
        <v/>
      </c>
    </row>
    <row r="318" customFormat="false" ht="15" hidden="false" customHeight="false" outlineLevel="0" collapsed="false">
      <c r="A318" s="46"/>
      <c r="B318" s="47"/>
      <c r="C318" s="47"/>
      <c r="D318" s="46"/>
      <c r="E318" s="47"/>
      <c r="F318" s="47"/>
      <c r="G318" s="47"/>
      <c r="H318" s="46"/>
      <c r="I318" s="47"/>
      <c r="J318" s="47"/>
      <c r="K318" s="47"/>
      <c r="L318" s="47"/>
      <c r="M318" s="47"/>
      <c r="N318" s="47"/>
      <c r="O318" s="47"/>
      <c r="P318" s="45" t="str">
        <f aca="false">IF($A318="","",IF(COUNTIF(Accounts!$C$2:$C$201,$A318)+COUNTIF('Service Principals'!$C$2:$C$201,$A318)+COUNTIF('Managed Identities'!$C$2:$C$201,$A318)&gt;0,"Yes","NOT IN INVENTORY"))</f>
        <v/>
      </c>
    </row>
    <row r="319" customFormat="false" ht="15" hidden="false" customHeight="false" outlineLevel="0" collapsed="false">
      <c r="A319" s="46"/>
      <c r="B319" s="47"/>
      <c r="C319" s="47"/>
      <c r="D319" s="46"/>
      <c r="E319" s="47"/>
      <c r="F319" s="47"/>
      <c r="G319" s="47"/>
      <c r="H319" s="46"/>
      <c r="I319" s="47"/>
      <c r="J319" s="47"/>
      <c r="K319" s="47"/>
      <c r="L319" s="47"/>
      <c r="M319" s="47"/>
      <c r="N319" s="47"/>
      <c r="O319" s="47"/>
      <c r="P319" s="45" t="str">
        <f aca="false">IF($A319="","",IF(COUNTIF(Accounts!$C$2:$C$201,$A319)+COUNTIF('Service Principals'!$C$2:$C$201,$A319)+COUNTIF('Managed Identities'!$C$2:$C$201,$A319)&gt;0,"Yes","NOT IN INVENTORY"))</f>
        <v/>
      </c>
    </row>
    <row r="320" customFormat="false" ht="15" hidden="false" customHeight="false" outlineLevel="0" collapsed="false">
      <c r="A320" s="46"/>
      <c r="B320" s="47"/>
      <c r="C320" s="47"/>
      <c r="D320" s="46"/>
      <c r="E320" s="47"/>
      <c r="F320" s="47"/>
      <c r="G320" s="47"/>
      <c r="H320" s="46"/>
      <c r="I320" s="47"/>
      <c r="J320" s="47"/>
      <c r="K320" s="47"/>
      <c r="L320" s="47"/>
      <c r="M320" s="47"/>
      <c r="N320" s="47"/>
      <c r="O320" s="47"/>
      <c r="P320" s="45" t="str">
        <f aca="false">IF($A320="","",IF(COUNTIF(Accounts!$C$2:$C$201,$A320)+COUNTIF('Service Principals'!$C$2:$C$201,$A320)+COUNTIF('Managed Identities'!$C$2:$C$201,$A320)&gt;0,"Yes","NOT IN INVENTORY"))</f>
        <v/>
      </c>
    </row>
    <row r="321" customFormat="false" ht="15" hidden="false" customHeight="false" outlineLevel="0" collapsed="false">
      <c r="A321" s="46"/>
      <c r="B321" s="47"/>
      <c r="C321" s="47"/>
      <c r="D321" s="46"/>
      <c r="E321" s="47"/>
      <c r="F321" s="47"/>
      <c r="G321" s="47"/>
      <c r="H321" s="46"/>
      <c r="I321" s="47"/>
      <c r="J321" s="47"/>
      <c r="K321" s="47"/>
      <c r="L321" s="47"/>
      <c r="M321" s="47"/>
      <c r="N321" s="47"/>
      <c r="O321" s="47"/>
      <c r="P321" s="45" t="str">
        <f aca="false">IF($A321="","",IF(COUNTIF(Accounts!$C$2:$C$201,$A321)+COUNTIF('Service Principals'!$C$2:$C$201,$A321)+COUNTIF('Managed Identities'!$C$2:$C$201,$A321)&gt;0,"Yes","NOT IN INVENTORY"))</f>
        <v/>
      </c>
    </row>
    <row r="322" customFormat="false" ht="15" hidden="false" customHeight="false" outlineLevel="0" collapsed="false">
      <c r="A322" s="46"/>
      <c r="B322" s="47"/>
      <c r="C322" s="47"/>
      <c r="D322" s="46"/>
      <c r="E322" s="47"/>
      <c r="F322" s="47"/>
      <c r="G322" s="47"/>
      <c r="H322" s="46"/>
      <c r="I322" s="47"/>
      <c r="J322" s="47"/>
      <c r="K322" s="47"/>
      <c r="L322" s="47"/>
      <c r="M322" s="47"/>
      <c r="N322" s="47"/>
      <c r="O322" s="47"/>
      <c r="P322" s="45" t="str">
        <f aca="false">IF($A322="","",IF(COUNTIF(Accounts!$C$2:$C$201,$A322)+COUNTIF('Service Principals'!$C$2:$C$201,$A322)+COUNTIF('Managed Identities'!$C$2:$C$201,$A322)&gt;0,"Yes","NOT IN INVENTORY"))</f>
        <v/>
      </c>
    </row>
    <row r="323" customFormat="false" ht="15" hidden="false" customHeight="false" outlineLevel="0" collapsed="false">
      <c r="A323" s="46"/>
      <c r="B323" s="47"/>
      <c r="C323" s="47"/>
      <c r="D323" s="46"/>
      <c r="E323" s="47"/>
      <c r="F323" s="47"/>
      <c r="G323" s="47"/>
      <c r="H323" s="46"/>
      <c r="I323" s="47"/>
      <c r="J323" s="47"/>
      <c r="K323" s="47"/>
      <c r="L323" s="47"/>
      <c r="M323" s="47"/>
      <c r="N323" s="47"/>
      <c r="O323" s="47"/>
      <c r="P323" s="45" t="str">
        <f aca="false">IF($A323="","",IF(COUNTIF(Accounts!$C$2:$C$201,$A323)+COUNTIF('Service Principals'!$C$2:$C$201,$A323)+COUNTIF('Managed Identities'!$C$2:$C$201,$A323)&gt;0,"Yes","NOT IN INVENTORY"))</f>
        <v/>
      </c>
    </row>
    <row r="324" customFormat="false" ht="15" hidden="false" customHeight="false" outlineLevel="0" collapsed="false">
      <c r="A324" s="46"/>
      <c r="B324" s="47"/>
      <c r="C324" s="47"/>
      <c r="D324" s="46"/>
      <c r="E324" s="47"/>
      <c r="F324" s="47"/>
      <c r="G324" s="47"/>
      <c r="H324" s="46"/>
      <c r="I324" s="47"/>
      <c r="J324" s="47"/>
      <c r="K324" s="47"/>
      <c r="L324" s="47"/>
      <c r="M324" s="47"/>
      <c r="N324" s="47"/>
      <c r="O324" s="47"/>
      <c r="P324" s="45" t="str">
        <f aca="false">IF($A324="","",IF(COUNTIF(Accounts!$C$2:$C$201,$A324)+COUNTIF('Service Principals'!$C$2:$C$201,$A324)+COUNTIF('Managed Identities'!$C$2:$C$201,$A324)&gt;0,"Yes","NOT IN INVENTORY"))</f>
        <v/>
      </c>
    </row>
    <row r="325" customFormat="false" ht="15" hidden="false" customHeight="false" outlineLevel="0" collapsed="false">
      <c r="A325" s="46"/>
      <c r="B325" s="47"/>
      <c r="C325" s="47"/>
      <c r="D325" s="46"/>
      <c r="E325" s="47"/>
      <c r="F325" s="47"/>
      <c r="G325" s="47"/>
      <c r="H325" s="46"/>
      <c r="I325" s="47"/>
      <c r="J325" s="47"/>
      <c r="K325" s="47"/>
      <c r="L325" s="47"/>
      <c r="M325" s="47"/>
      <c r="N325" s="47"/>
      <c r="O325" s="47"/>
      <c r="P325" s="45" t="str">
        <f aca="false">IF($A325="","",IF(COUNTIF(Accounts!$C$2:$C$201,$A325)+COUNTIF('Service Principals'!$C$2:$C$201,$A325)+COUNTIF('Managed Identities'!$C$2:$C$201,$A325)&gt;0,"Yes","NOT IN INVENTORY"))</f>
        <v/>
      </c>
    </row>
    <row r="326" customFormat="false" ht="15" hidden="false" customHeight="false" outlineLevel="0" collapsed="false">
      <c r="A326" s="46"/>
      <c r="B326" s="47"/>
      <c r="C326" s="47"/>
      <c r="D326" s="46"/>
      <c r="E326" s="47"/>
      <c r="F326" s="47"/>
      <c r="G326" s="47"/>
      <c r="H326" s="46"/>
      <c r="I326" s="47"/>
      <c r="J326" s="47"/>
      <c r="K326" s="47"/>
      <c r="L326" s="47"/>
      <c r="M326" s="47"/>
      <c r="N326" s="47"/>
      <c r="O326" s="47"/>
      <c r="P326" s="45" t="str">
        <f aca="false">IF($A326="","",IF(COUNTIF(Accounts!$C$2:$C$201,$A326)+COUNTIF('Service Principals'!$C$2:$C$201,$A326)+COUNTIF('Managed Identities'!$C$2:$C$201,$A326)&gt;0,"Yes","NOT IN INVENTORY"))</f>
        <v/>
      </c>
    </row>
    <row r="327" customFormat="false" ht="15" hidden="false" customHeight="false" outlineLevel="0" collapsed="false">
      <c r="A327" s="46"/>
      <c r="B327" s="47"/>
      <c r="C327" s="47"/>
      <c r="D327" s="46"/>
      <c r="E327" s="47"/>
      <c r="F327" s="47"/>
      <c r="G327" s="47"/>
      <c r="H327" s="46"/>
      <c r="I327" s="47"/>
      <c r="J327" s="47"/>
      <c r="K327" s="47"/>
      <c r="L327" s="47"/>
      <c r="M327" s="47"/>
      <c r="N327" s="47"/>
      <c r="O327" s="47"/>
      <c r="P327" s="45" t="str">
        <f aca="false">IF($A327="","",IF(COUNTIF(Accounts!$C$2:$C$201,$A327)+COUNTIF('Service Principals'!$C$2:$C$201,$A327)+COUNTIF('Managed Identities'!$C$2:$C$201,$A327)&gt;0,"Yes","NOT IN INVENTORY"))</f>
        <v/>
      </c>
    </row>
    <row r="328" customFormat="false" ht="15" hidden="false" customHeight="false" outlineLevel="0" collapsed="false">
      <c r="A328" s="46"/>
      <c r="B328" s="47"/>
      <c r="C328" s="47"/>
      <c r="D328" s="46"/>
      <c r="E328" s="47"/>
      <c r="F328" s="47"/>
      <c r="G328" s="47"/>
      <c r="H328" s="46"/>
      <c r="I328" s="47"/>
      <c r="J328" s="47"/>
      <c r="K328" s="47"/>
      <c r="L328" s="47"/>
      <c r="M328" s="47"/>
      <c r="N328" s="47"/>
      <c r="O328" s="47"/>
      <c r="P328" s="45" t="str">
        <f aca="false">IF($A328="","",IF(COUNTIF(Accounts!$C$2:$C$201,$A328)+COUNTIF('Service Principals'!$C$2:$C$201,$A328)+COUNTIF('Managed Identities'!$C$2:$C$201,$A328)&gt;0,"Yes","NOT IN INVENTORY"))</f>
        <v/>
      </c>
    </row>
    <row r="329" customFormat="false" ht="15" hidden="false" customHeight="false" outlineLevel="0" collapsed="false">
      <c r="A329" s="46"/>
      <c r="B329" s="47"/>
      <c r="C329" s="47"/>
      <c r="D329" s="46"/>
      <c r="E329" s="47"/>
      <c r="F329" s="47"/>
      <c r="G329" s="47"/>
      <c r="H329" s="46"/>
      <c r="I329" s="47"/>
      <c r="J329" s="47"/>
      <c r="K329" s="47"/>
      <c r="L329" s="47"/>
      <c r="M329" s="47"/>
      <c r="N329" s="47"/>
      <c r="O329" s="47"/>
      <c r="P329" s="45" t="str">
        <f aca="false">IF($A329="","",IF(COUNTIF(Accounts!$C$2:$C$201,$A329)+COUNTIF('Service Principals'!$C$2:$C$201,$A329)+COUNTIF('Managed Identities'!$C$2:$C$201,$A329)&gt;0,"Yes","NOT IN INVENTORY"))</f>
        <v/>
      </c>
    </row>
    <row r="330" customFormat="false" ht="15" hidden="false" customHeight="false" outlineLevel="0" collapsed="false">
      <c r="A330" s="46"/>
      <c r="B330" s="47"/>
      <c r="C330" s="47"/>
      <c r="D330" s="46"/>
      <c r="E330" s="47"/>
      <c r="F330" s="47"/>
      <c r="G330" s="47"/>
      <c r="H330" s="46"/>
      <c r="I330" s="47"/>
      <c r="J330" s="47"/>
      <c r="K330" s="47"/>
      <c r="L330" s="47"/>
      <c r="M330" s="47"/>
      <c r="N330" s="47"/>
      <c r="O330" s="47"/>
      <c r="P330" s="45" t="str">
        <f aca="false">IF($A330="","",IF(COUNTIF(Accounts!$C$2:$C$201,$A330)+COUNTIF('Service Principals'!$C$2:$C$201,$A330)+COUNTIF('Managed Identities'!$C$2:$C$201,$A330)&gt;0,"Yes","NOT IN INVENTORY"))</f>
        <v/>
      </c>
    </row>
    <row r="331" customFormat="false" ht="15" hidden="false" customHeight="false" outlineLevel="0" collapsed="false">
      <c r="A331" s="46"/>
      <c r="B331" s="47"/>
      <c r="C331" s="47"/>
      <c r="D331" s="46"/>
      <c r="E331" s="47"/>
      <c r="F331" s="47"/>
      <c r="G331" s="47"/>
      <c r="H331" s="46"/>
      <c r="I331" s="47"/>
      <c r="J331" s="47"/>
      <c r="K331" s="47"/>
      <c r="L331" s="47"/>
      <c r="M331" s="47"/>
      <c r="N331" s="47"/>
      <c r="O331" s="47"/>
      <c r="P331" s="45" t="str">
        <f aca="false">IF($A331="","",IF(COUNTIF(Accounts!$C$2:$C$201,$A331)+COUNTIF('Service Principals'!$C$2:$C$201,$A331)+COUNTIF('Managed Identities'!$C$2:$C$201,$A331)&gt;0,"Yes","NOT IN INVENTORY"))</f>
        <v/>
      </c>
    </row>
    <row r="332" customFormat="false" ht="15" hidden="false" customHeight="false" outlineLevel="0" collapsed="false">
      <c r="A332" s="46"/>
      <c r="B332" s="47"/>
      <c r="C332" s="47"/>
      <c r="D332" s="46"/>
      <c r="E332" s="47"/>
      <c r="F332" s="47"/>
      <c r="G332" s="47"/>
      <c r="H332" s="46"/>
      <c r="I332" s="47"/>
      <c r="J332" s="47"/>
      <c r="K332" s="47"/>
      <c r="L332" s="47"/>
      <c r="M332" s="47"/>
      <c r="N332" s="47"/>
      <c r="O332" s="47"/>
      <c r="P332" s="45" t="str">
        <f aca="false">IF($A332="","",IF(COUNTIF(Accounts!$C$2:$C$201,$A332)+COUNTIF('Service Principals'!$C$2:$C$201,$A332)+COUNTIF('Managed Identities'!$C$2:$C$201,$A332)&gt;0,"Yes","NOT IN INVENTORY"))</f>
        <v/>
      </c>
    </row>
    <row r="333" customFormat="false" ht="15" hidden="false" customHeight="false" outlineLevel="0" collapsed="false">
      <c r="A333" s="46"/>
      <c r="B333" s="47"/>
      <c r="C333" s="47"/>
      <c r="D333" s="46"/>
      <c r="E333" s="47"/>
      <c r="F333" s="47"/>
      <c r="G333" s="47"/>
      <c r="H333" s="46"/>
      <c r="I333" s="47"/>
      <c r="J333" s="47"/>
      <c r="K333" s="47"/>
      <c r="L333" s="47"/>
      <c r="M333" s="47"/>
      <c r="N333" s="47"/>
      <c r="O333" s="47"/>
      <c r="P333" s="45" t="str">
        <f aca="false">IF($A333="","",IF(COUNTIF(Accounts!$C$2:$C$201,$A333)+COUNTIF('Service Principals'!$C$2:$C$201,$A333)+COUNTIF('Managed Identities'!$C$2:$C$201,$A333)&gt;0,"Yes","NOT IN INVENTORY"))</f>
        <v/>
      </c>
    </row>
    <row r="334" customFormat="false" ht="15" hidden="false" customHeight="false" outlineLevel="0" collapsed="false">
      <c r="A334" s="46"/>
      <c r="B334" s="47"/>
      <c r="C334" s="47"/>
      <c r="D334" s="46"/>
      <c r="E334" s="47"/>
      <c r="F334" s="47"/>
      <c r="G334" s="47"/>
      <c r="H334" s="46"/>
      <c r="I334" s="47"/>
      <c r="J334" s="47"/>
      <c r="K334" s="47"/>
      <c r="L334" s="47"/>
      <c r="M334" s="47"/>
      <c r="N334" s="47"/>
      <c r="O334" s="47"/>
      <c r="P334" s="45" t="str">
        <f aca="false">IF($A334="","",IF(COUNTIF(Accounts!$C$2:$C$201,$A334)+COUNTIF('Service Principals'!$C$2:$C$201,$A334)+COUNTIF('Managed Identities'!$C$2:$C$201,$A334)&gt;0,"Yes","NOT IN INVENTORY"))</f>
        <v/>
      </c>
    </row>
    <row r="335" customFormat="false" ht="15" hidden="false" customHeight="false" outlineLevel="0" collapsed="false">
      <c r="A335" s="46"/>
      <c r="B335" s="47"/>
      <c r="C335" s="47"/>
      <c r="D335" s="46"/>
      <c r="E335" s="47"/>
      <c r="F335" s="47"/>
      <c r="G335" s="47"/>
      <c r="H335" s="46"/>
      <c r="I335" s="47"/>
      <c r="J335" s="47"/>
      <c r="K335" s="47"/>
      <c r="L335" s="47"/>
      <c r="M335" s="47"/>
      <c r="N335" s="47"/>
      <c r="O335" s="47"/>
      <c r="P335" s="45" t="str">
        <f aca="false">IF($A335="","",IF(COUNTIF(Accounts!$C$2:$C$201,$A335)+COUNTIF('Service Principals'!$C$2:$C$201,$A335)+COUNTIF('Managed Identities'!$C$2:$C$201,$A335)&gt;0,"Yes","NOT IN INVENTORY"))</f>
        <v/>
      </c>
    </row>
    <row r="336" customFormat="false" ht="15" hidden="false" customHeight="false" outlineLevel="0" collapsed="false">
      <c r="A336" s="46"/>
      <c r="B336" s="47"/>
      <c r="C336" s="47"/>
      <c r="D336" s="46"/>
      <c r="E336" s="47"/>
      <c r="F336" s="47"/>
      <c r="G336" s="47"/>
      <c r="H336" s="46"/>
      <c r="I336" s="47"/>
      <c r="J336" s="47"/>
      <c r="K336" s="47"/>
      <c r="L336" s="47"/>
      <c r="M336" s="47"/>
      <c r="N336" s="47"/>
      <c r="O336" s="47"/>
      <c r="P336" s="45" t="str">
        <f aca="false">IF($A336="","",IF(COUNTIF(Accounts!$C$2:$C$201,$A336)+COUNTIF('Service Principals'!$C$2:$C$201,$A336)+COUNTIF('Managed Identities'!$C$2:$C$201,$A336)&gt;0,"Yes","NOT IN INVENTORY"))</f>
        <v/>
      </c>
    </row>
    <row r="337" customFormat="false" ht="15" hidden="false" customHeight="false" outlineLevel="0" collapsed="false">
      <c r="A337" s="46"/>
      <c r="B337" s="47"/>
      <c r="C337" s="47"/>
      <c r="D337" s="46"/>
      <c r="E337" s="47"/>
      <c r="F337" s="47"/>
      <c r="G337" s="47"/>
      <c r="H337" s="46"/>
      <c r="I337" s="47"/>
      <c r="J337" s="47"/>
      <c r="K337" s="47"/>
      <c r="L337" s="47"/>
      <c r="M337" s="47"/>
      <c r="N337" s="47"/>
      <c r="O337" s="47"/>
      <c r="P337" s="45" t="str">
        <f aca="false">IF($A337="","",IF(COUNTIF(Accounts!$C$2:$C$201,$A337)+COUNTIF('Service Principals'!$C$2:$C$201,$A337)+COUNTIF('Managed Identities'!$C$2:$C$201,$A337)&gt;0,"Yes","NOT IN INVENTORY"))</f>
        <v/>
      </c>
    </row>
    <row r="338" customFormat="false" ht="15" hidden="false" customHeight="false" outlineLevel="0" collapsed="false">
      <c r="A338" s="46"/>
      <c r="B338" s="47"/>
      <c r="C338" s="47"/>
      <c r="D338" s="46"/>
      <c r="E338" s="47"/>
      <c r="F338" s="47"/>
      <c r="G338" s="47"/>
      <c r="H338" s="46"/>
      <c r="I338" s="47"/>
      <c r="J338" s="47"/>
      <c r="K338" s="47"/>
      <c r="L338" s="47"/>
      <c r="M338" s="47"/>
      <c r="N338" s="47"/>
      <c r="O338" s="47"/>
      <c r="P338" s="45" t="str">
        <f aca="false">IF($A338="","",IF(COUNTIF(Accounts!$C$2:$C$201,$A338)+COUNTIF('Service Principals'!$C$2:$C$201,$A338)+COUNTIF('Managed Identities'!$C$2:$C$201,$A338)&gt;0,"Yes","NOT IN INVENTORY"))</f>
        <v/>
      </c>
    </row>
    <row r="339" customFormat="false" ht="15" hidden="false" customHeight="false" outlineLevel="0" collapsed="false">
      <c r="A339" s="46"/>
      <c r="B339" s="47"/>
      <c r="C339" s="47"/>
      <c r="D339" s="46"/>
      <c r="E339" s="47"/>
      <c r="F339" s="47"/>
      <c r="G339" s="47"/>
      <c r="H339" s="46"/>
      <c r="I339" s="47"/>
      <c r="J339" s="47"/>
      <c r="K339" s="47"/>
      <c r="L339" s="47"/>
      <c r="M339" s="47"/>
      <c r="N339" s="47"/>
      <c r="O339" s="47"/>
      <c r="P339" s="45" t="str">
        <f aca="false">IF($A339="","",IF(COUNTIF(Accounts!$C$2:$C$201,$A339)+COUNTIF('Service Principals'!$C$2:$C$201,$A339)+COUNTIF('Managed Identities'!$C$2:$C$201,$A339)&gt;0,"Yes","NOT IN INVENTORY"))</f>
        <v/>
      </c>
    </row>
    <row r="340" customFormat="false" ht="15" hidden="false" customHeight="false" outlineLevel="0" collapsed="false">
      <c r="A340" s="46"/>
      <c r="B340" s="47"/>
      <c r="C340" s="47"/>
      <c r="D340" s="46"/>
      <c r="E340" s="47"/>
      <c r="F340" s="47"/>
      <c r="G340" s="47"/>
      <c r="H340" s="46"/>
      <c r="I340" s="47"/>
      <c r="J340" s="47"/>
      <c r="K340" s="47"/>
      <c r="L340" s="47"/>
      <c r="M340" s="47"/>
      <c r="N340" s="47"/>
      <c r="O340" s="47"/>
      <c r="P340" s="45" t="str">
        <f aca="false">IF($A340="","",IF(COUNTIF(Accounts!$C$2:$C$201,$A340)+COUNTIF('Service Principals'!$C$2:$C$201,$A340)+COUNTIF('Managed Identities'!$C$2:$C$201,$A340)&gt;0,"Yes","NOT IN INVENTORY"))</f>
        <v/>
      </c>
    </row>
    <row r="341" customFormat="false" ht="15" hidden="false" customHeight="false" outlineLevel="0" collapsed="false">
      <c r="A341" s="46"/>
      <c r="B341" s="47"/>
      <c r="C341" s="47"/>
      <c r="D341" s="46"/>
      <c r="E341" s="47"/>
      <c r="F341" s="47"/>
      <c r="G341" s="47"/>
      <c r="H341" s="46"/>
      <c r="I341" s="47"/>
      <c r="J341" s="47"/>
      <c r="K341" s="47"/>
      <c r="L341" s="47"/>
      <c r="M341" s="47"/>
      <c r="N341" s="47"/>
      <c r="O341" s="47"/>
      <c r="P341" s="45" t="str">
        <f aca="false">IF($A341="","",IF(COUNTIF(Accounts!$C$2:$C$201,$A341)+COUNTIF('Service Principals'!$C$2:$C$201,$A341)+COUNTIF('Managed Identities'!$C$2:$C$201,$A341)&gt;0,"Yes","NOT IN INVENTORY"))</f>
        <v/>
      </c>
    </row>
    <row r="342" customFormat="false" ht="15" hidden="false" customHeight="false" outlineLevel="0" collapsed="false">
      <c r="A342" s="46"/>
      <c r="B342" s="47"/>
      <c r="C342" s="47"/>
      <c r="D342" s="46"/>
      <c r="E342" s="47"/>
      <c r="F342" s="47"/>
      <c r="G342" s="47"/>
      <c r="H342" s="46"/>
      <c r="I342" s="47"/>
      <c r="J342" s="47"/>
      <c r="K342" s="47"/>
      <c r="L342" s="47"/>
      <c r="M342" s="47"/>
      <c r="N342" s="47"/>
      <c r="O342" s="47"/>
      <c r="P342" s="45" t="str">
        <f aca="false">IF($A342="","",IF(COUNTIF(Accounts!$C$2:$C$201,$A342)+COUNTIF('Service Principals'!$C$2:$C$201,$A342)+COUNTIF('Managed Identities'!$C$2:$C$201,$A342)&gt;0,"Yes","NOT IN INVENTORY"))</f>
        <v/>
      </c>
    </row>
    <row r="343" customFormat="false" ht="15" hidden="false" customHeight="false" outlineLevel="0" collapsed="false">
      <c r="A343" s="46"/>
      <c r="B343" s="47"/>
      <c r="C343" s="47"/>
      <c r="D343" s="46"/>
      <c r="E343" s="47"/>
      <c r="F343" s="47"/>
      <c r="G343" s="47"/>
      <c r="H343" s="46"/>
      <c r="I343" s="47"/>
      <c r="J343" s="47"/>
      <c r="K343" s="47"/>
      <c r="L343" s="47"/>
      <c r="M343" s="47"/>
      <c r="N343" s="47"/>
      <c r="O343" s="47"/>
      <c r="P343" s="45" t="str">
        <f aca="false">IF($A343="","",IF(COUNTIF(Accounts!$C$2:$C$201,$A343)+COUNTIF('Service Principals'!$C$2:$C$201,$A343)+COUNTIF('Managed Identities'!$C$2:$C$201,$A343)&gt;0,"Yes","NOT IN INVENTORY"))</f>
        <v/>
      </c>
    </row>
    <row r="344" customFormat="false" ht="15" hidden="false" customHeight="false" outlineLevel="0" collapsed="false">
      <c r="A344" s="46"/>
      <c r="B344" s="47"/>
      <c r="C344" s="47"/>
      <c r="D344" s="46"/>
      <c r="E344" s="47"/>
      <c r="F344" s="47"/>
      <c r="G344" s="47"/>
      <c r="H344" s="46"/>
      <c r="I344" s="47"/>
      <c r="J344" s="47"/>
      <c r="K344" s="47"/>
      <c r="L344" s="47"/>
      <c r="M344" s="47"/>
      <c r="N344" s="47"/>
      <c r="O344" s="47"/>
      <c r="P344" s="45" t="str">
        <f aca="false">IF($A344="","",IF(COUNTIF(Accounts!$C$2:$C$201,$A344)+COUNTIF('Service Principals'!$C$2:$C$201,$A344)+COUNTIF('Managed Identities'!$C$2:$C$201,$A344)&gt;0,"Yes","NOT IN INVENTORY"))</f>
        <v/>
      </c>
    </row>
    <row r="345" customFormat="false" ht="15" hidden="false" customHeight="false" outlineLevel="0" collapsed="false">
      <c r="A345" s="46"/>
      <c r="B345" s="47"/>
      <c r="C345" s="47"/>
      <c r="D345" s="46"/>
      <c r="E345" s="47"/>
      <c r="F345" s="47"/>
      <c r="G345" s="47"/>
      <c r="H345" s="46"/>
      <c r="I345" s="47"/>
      <c r="J345" s="47"/>
      <c r="K345" s="47"/>
      <c r="L345" s="47"/>
      <c r="M345" s="47"/>
      <c r="N345" s="47"/>
      <c r="O345" s="47"/>
      <c r="P345" s="45" t="str">
        <f aca="false">IF($A345="","",IF(COUNTIF(Accounts!$C$2:$C$201,$A345)+COUNTIF('Service Principals'!$C$2:$C$201,$A345)+COUNTIF('Managed Identities'!$C$2:$C$201,$A345)&gt;0,"Yes","NOT IN INVENTORY"))</f>
        <v/>
      </c>
    </row>
    <row r="346" customFormat="false" ht="15" hidden="false" customHeight="false" outlineLevel="0" collapsed="false">
      <c r="A346" s="46"/>
      <c r="B346" s="47"/>
      <c r="C346" s="47"/>
      <c r="D346" s="46"/>
      <c r="E346" s="47"/>
      <c r="F346" s="47"/>
      <c r="G346" s="47"/>
      <c r="H346" s="46"/>
      <c r="I346" s="47"/>
      <c r="J346" s="47"/>
      <c r="K346" s="47"/>
      <c r="L346" s="47"/>
      <c r="M346" s="47"/>
      <c r="N346" s="47"/>
      <c r="O346" s="47"/>
      <c r="P346" s="45" t="str">
        <f aca="false">IF($A346="","",IF(COUNTIF(Accounts!$C$2:$C$201,$A346)+COUNTIF('Service Principals'!$C$2:$C$201,$A346)+COUNTIF('Managed Identities'!$C$2:$C$201,$A346)&gt;0,"Yes","NOT IN INVENTORY"))</f>
        <v/>
      </c>
    </row>
    <row r="347" customFormat="false" ht="15" hidden="false" customHeight="false" outlineLevel="0" collapsed="false">
      <c r="A347" s="46"/>
      <c r="B347" s="47"/>
      <c r="C347" s="47"/>
      <c r="D347" s="46"/>
      <c r="E347" s="47"/>
      <c r="F347" s="47"/>
      <c r="G347" s="47"/>
      <c r="H347" s="46"/>
      <c r="I347" s="47"/>
      <c r="J347" s="47"/>
      <c r="K347" s="47"/>
      <c r="L347" s="47"/>
      <c r="M347" s="47"/>
      <c r="N347" s="47"/>
      <c r="O347" s="47"/>
      <c r="P347" s="45" t="str">
        <f aca="false">IF($A347="","",IF(COUNTIF(Accounts!$C$2:$C$201,$A347)+COUNTIF('Service Principals'!$C$2:$C$201,$A347)+COUNTIF('Managed Identities'!$C$2:$C$201,$A347)&gt;0,"Yes","NOT IN INVENTORY"))</f>
        <v/>
      </c>
    </row>
    <row r="348" customFormat="false" ht="15" hidden="false" customHeight="false" outlineLevel="0" collapsed="false">
      <c r="A348" s="46"/>
      <c r="B348" s="47"/>
      <c r="C348" s="47"/>
      <c r="D348" s="46"/>
      <c r="E348" s="47"/>
      <c r="F348" s="47"/>
      <c r="G348" s="47"/>
      <c r="H348" s="46"/>
      <c r="I348" s="47"/>
      <c r="J348" s="47"/>
      <c r="K348" s="47"/>
      <c r="L348" s="47"/>
      <c r="M348" s="47"/>
      <c r="N348" s="47"/>
      <c r="O348" s="47"/>
      <c r="P348" s="45" t="str">
        <f aca="false">IF($A348="","",IF(COUNTIF(Accounts!$C$2:$C$201,$A348)+COUNTIF('Service Principals'!$C$2:$C$201,$A348)+COUNTIF('Managed Identities'!$C$2:$C$201,$A348)&gt;0,"Yes","NOT IN INVENTORY"))</f>
        <v/>
      </c>
    </row>
    <row r="349" customFormat="false" ht="15" hidden="false" customHeight="false" outlineLevel="0" collapsed="false">
      <c r="A349" s="46"/>
      <c r="B349" s="47"/>
      <c r="C349" s="47"/>
      <c r="D349" s="46"/>
      <c r="E349" s="47"/>
      <c r="F349" s="47"/>
      <c r="G349" s="47"/>
      <c r="H349" s="46"/>
      <c r="I349" s="47"/>
      <c r="J349" s="47"/>
      <c r="K349" s="47"/>
      <c r="L349" s="47"/>
      <c r="M349" s="47"/>
      <c r="N349" s="47"/>
      <c r="O349" s="47"/>
      <c r="P349" s="45" t="str">
        <f aca="false">IF($A349="","",IF(COUNTIF(Accounts!$C$2:$C$201,$A349)+COUNTIF('Service Principals'!$C$2:$C$201,$A349)+COUNTIF('Managed Identities'!$C$2:$C$201,$A349)&gt;0,"Yes","NOT IN INVENTORY"))</f>
        <v/>
      </c>
    </row>
    <row r="350" customFormat="false" ht="15" hidden="false" customHeight="false" outlineLevel="0" collapsed="false">
      <c r="A350" s="46"/>
      <c r="B350" s="47"/>
      <c r="C350" s="47"/>
      <c r="D350" s="46"/>
      <c r="E350" s="47"/>
      <c r="F350" s="47"/>
      <c r="G350" s="47"/>
      <c r="H350" s="46"/>
      <c r="I350" s="47"/>
      <c r="J350" s="47"/>
      <c r="K350" s="47"/>
      <c r="L350" s="47"/>
      <c r="M350" s="47"/>
      <c r="N350" s="47"/>
      <c r="O350" s="47"/>
      <c r="P350" s="45" t="str">
        <f aca="false">IF($A350="","",IF(COUNTIF(Accounts!$C$2:$C$201,$A350)+COUNTIF('Service Principals'!$C$2:$C$201,$A350)+COUNTIF('Managed Identities'!$C$2:$C$201,$A350)&gt;0,"Yes","NOT IN INVENTORY"))</f>
        <v/>
      </c>
    </row>
    <row r="351" customFormat="false" ht="15" hidden="false" customHeight="false" outlineLevel="0" collapsed="false">
      <c r="A351" s="46"/>
      <c r="B351" s="47"/>
      <c r="C351" s="47"/>
      <c r="D351" s="46"/>
      <c r="E351" s="47"/>
      <c r="F351" s="47"/>
      <c r="G351" s="47"/>
      <c r="H351" s="46"/>
      <c r="I351" s="47"/>
      <c r="J351" s="47"/>
      <c r="K351" s="47"/>
      <c r="L351" s="47"/>
      <c r="M351" s="47"/>
      <c r="N351" s="47"/>
      <c r="O351" s="47"/>
      <c r="P351" s="45" t="str">
        <f aca="false">IF($A351="","",IF(COUNTIF(Accounts!$C$2:$C$201,$A351)+COUNTIF('Service Principals'!$C$2:$C$201,$A351)+COUNTIF('Managed Identities'!$C$2:$C$201,$A351)&gt;0,"Yes","NOT IN INVENTORY"))</f>
        <v/>
      </c>
    </row>
    <row r="352" customFormat="false" ht="15" hidden="false" customHeight="false" outlineLevel="0" collapsed="false">
      <c r="A352" s="46"/>
      <c r="B352" s="47"/>
      <c r="C352" s="47"/>
      <c r="D352" s="46"/>
      <c r="E352" s="47"/>
      <c r="F352" s="47"/>
      <c r="G352" s="47"/>
      <c r="H352" s="46"/>
      <c r="I352" s="47"/>
      <c r="J352" s="47"/>
      <c r="K352" s="47"/>
      <c r="L352" s="47"/>
      <c r="M352" s="47"/>
      <c r="N352" s="47"/>
      <c r="O352" s="47"/>
      <c r="P352" s="45" t="str">
        <f aca="false">IF($A352="","",IF(COUNTIF(Accounts!$C$2:$C$201,$A352)+COUNTIF('Service Principals'!$C$2:$C$201,$A352)+COUNTIF('Managed Identities'!$C$2:$C$201,$A352)&gt;0,"Yes","NOT IN INVENTORY"))</f>
        <v/>
      </c>
    </row>
    <row r="353" customFormat="false" ht="15" hidden="false" customHeight="false" outlineLevel="0" collapsed="false">
      <c r="A353" s="46"/>
      <c r="B353" s="47"/>
      <c r="C353" s="47"/>
      <c r="D353" s="46"/>
      <c r="E353" s="47"/>
      <c r="F353" s="47"/>
      <c r="G353" s="47"/>
      <c r="H353" s="46"/>
      <c r="I353" s="47"/>
      <c r="J353" s="47"/>
      <c r="K353" s="47"/>
      <c r="L353" s="47"/>
      <c r="M353" s="47"/>
      <c r="N353" s="47"/>
      <c r="O353" s="47"/>
      <c r="P353" s="45" t="str">
        <f aca="false">IF($A353="","",IF(COUNTIF(Accounts!$C$2:$C$201,$A353)+COUNTIF('Service Principals'!$C$2:$C$201,$A353)+COUNTIF('Managed Identities'!$C$2:$C$201,$A353)&gt;0,"Yes","NOT IN INVENTORY"))</f>
        <v/>
      </c>
    </row>
    <row r="354" customFormat="false" ht="15" hidden="false" customHeight="false" outlineLevel="0" collapsed="false">
      <c r="A354" s="46"/>
      <c r="B354" s="47"/>
      <c r="C354" s="47"/>
      <c r="D354" s="46"/>
      <c r="E354" s="47"/>
      <c r="F354" s="47"/>
      <c r="G354" s="47"/>
      <c r="H354" s="46"/>
      <c r="I354" s="47"/>
      <c r="J354" s="47"/>
      <c r="K354" s="47"/>
      <c r="L354" s="47"/>
      <c r="M354" s="47"/>
      <c r="N354" s="47"/>
      <c r="O354" s="47"/>
      <c r="P354" s="45" t="str">
        <f aca="false">IF($A354="","",IF(COUNTIF(Accounts!$C$2:$C$201,$A354)+COUNTIF('Service Principals'!$C$2:$C$201,$A354)+COUNTIF('Managed Identities'!$C$2:$C$201,$A354)&gt;0,"Yes","NOT IN INVENTORY"))</f>
        <v/>
      </c>
    </row>
    <row r="355" customFormat="false" ht="15" hidden="false" customHeight="false" outlineLevel="0" collapsed="false">
      <c r="A355" s="46"/>
      <c r="B355" s="47"/>
      <c r="C355" s="47"/>
      <c r="D355" s="46"/>
      <c r="E355" s="47"/>
      <c r="F355" s="47"/>
      <c r="G355" s="47"/>
      <c r="H355" s="46"/>
      <c r="I355" s="47"/>
      <c r="J355" s="47"/>
      <c r="K355" s="47"/>
      <c r="L355" s="47"/>
      <c r="M355" s="47"/>
      <c r="N355" s="47"/>
      <c r="O355" s="47"/>
      <c r="P355" s="45" t="str">
        <f aca="false">IF($A355="","",IF(COUNTIF(Accounts!$C$2:$C$201,$A355)+COUNTIF('Service Principals'!$C$2:$C$201,$A355)+COUNTIF('Managed Identities'!$C$2:$C$201,$A355)&gt;0,"Yes","NOT IN INVENTORY"))</f>
        <v/>
      </c>
    </row>
    <row r="356" customFormat="false" ht="15" hidden="false" customHeight="false" outlineLevel="0" collapsed="false">
      <c r="A356" s="46"/>
      <c r="B356" s="47"/>
      <c r="C356" s="47"/>
      <c r="D356" s="46"/>
      <c r="E356" s="47"/>
      <c r="F356" s="47"/>
      <c r="G356" s="47"/>
      <c r="H356" s="46"/>
      <c r="I356" s="47"/>
      <c r="J356" s="47"/>
      <c r="K356" s="47"/>
      <c r="L356" s="47"/>
      <c r="M356" s="47"/>
      <c r="N356" s="47"/>
      <c r="O356" s="47"/>
      <c r="P356" s="45" t="str">
        <f aca="false">IF($A356="","",IF(COUNTIF(Accounts!$C$2:$C$201,$A356)+COUNTIF('Service Principals'!$C$2:$C$201,$A356)+COUNTIF('Managed Identities'!$C$2:$C$201,$A356)&gt;0,"Yes","NOT IN INVENTORY"))</f>
        <v/>
      </c>
    </row>
    <row r="357" customFormat="false" ht="15" hidden="false" customHeight="false" outlineLevel="0" collapsed="false">
      <c r="A357" s="46"/>
      <c r="B357" s="47"/>
      <c r="C357" s="47"/>
      <c r="D357" s="46"/>
      <c r="E357" s="47"/>
      <c r="F357" s="47"/>
      <c r="G357" s="47"/>
      <c r="H357" s="46"/>
      <c r="I357" s="47"/>
      <c r="J357" s="47"/>
      <c r="K357" s="47"/>
      <c r="L357" s="47"/>
      <c r="M357" s="47"/>
      <c r="N357" s="47"/>
      <c r="O357" s="47"/>
      <c r="P357" s="45" t="str">
        <f aca="false">IF($A357="","",IF(COUNTIF(Accounts!$C$2:$C$201,$A357)+COUNTIF('Service Principals'!$C$2:$C$201,$A357)+COUNTIF('Managed Identities'!$C$2:$C$201,$A357)&gt;0,"Yes","NOT IN INVENTORY"))</f>
        <v/>
      </c>
    </row>
    <row r="358" customFormat="false" ht="15" hidden="false" customHeight="false" outlineLevel="0" collapsed="false">
      <c r="A358" s="46"/>
      <c r="B358" s="47"/>
      <c r="C358" s="47"/>
      <c r="D358" s="46"/>
      <c r="E358" s="47"/>
      <c r="F358" s="47"/>
      <c r="G358" s="47"/>
      <c r="H358" s="46"/>
      <c r="I358" s="47"/>
      <c r="J358" s="47"/>
      <c r="K358" s="47"/>
      <c r="L358" s="47"/>
      <c r="M358" s="47"/>
      <c r="N358" s="47"/>
      <c r="O358" s="47"/>
      <c r="P358" s="45" t="str">
        <f aca="false">IF($A358="","",IF(COUNTIF(Accounts!$C$2:$C$201,$A358)+COUNTIF('Service Principals'!$C$2:$C$201,$A358)+COUNTIF('Managed Identities'!$C$2:$C$201,$A358)&gt;0,"Yes","NOT IN INVENTORY"))</f>
        <v/>
      </c>
    </row>
    <row r="359" customFormat="false" ht="15" hidden="false" customHeight="false" outlineLevel="0" collapsed="false">
      <c r="A359" s="46"/>
      <c r="B359" s="47"/>
      <c r="C359" s="47"/>
      <c r="D359" s="46"/>
      <c r="E359" s="47"/>
      <c r="F359" s="47"/>
      <c r="G359" s="47"/>
      <c r="H359" s="46"/>
      <c r="I359" s="47"/>
      <c r="J359" s="47"/>
      <c r="K359" s="47"/>
      <c r="L359" s="47"/>
      <c r="M359" s="47"/>
      <c r="N359" s="47"/>
      <c r="O359" s="47"/>
      <c r="P359" s="45" t="str">
        <f aca="false">IF($A359="","",IF(COUNTIF(Accounts!$C$2:$C$201,$A359)+COUNTIF('Service Principals'!$C$2:$C$201,$A359)+COUNTIF('Managed Identities'!$C$2:$C$201,$A359)&gt;0,"Yes","NOT IN INVENTORY"))</f>
        <v/>
      </c>
    </row>
    <row r="360" customFormat="false" ht="15" hidden="false" customHeight="false" outlineLevel="0" collapsed="false">
      <c r="A360" s="46"/>
      <c r="B360" s="47"/>
      <c r="C360" s="47"/>
      <c r="D360" s="46"/>
      <c r="E360" s="47"/>
      <c r="F360" s="47"/>
      <c r="G360" s="47"/>
      <c r="H360" s="46"/>
      <c r="I360" s="47"/>
      <c r="J360" s="47"/>
      <c r="K360" s="47"/>
      <c r="L360" s="47"/>
      <c r="M360" s="47"/>
      <c r="N360" s="47"/>
      <c r="O360" s="47"/>
      <c r="P360" s="45" t="str">
        <f aca="false">IF($A360="","",IF(COUNTIF(Accounts!$C$2:$C$201,$A360)+COUNTIF('Service Principals'!$C$2:$C$201,$A360)+COUNTIF('Managed Identities'!$C$2:$C$201,$A360)&gt;0,"Yes","NOT IN INVENTORY"))</f>
        <v/>
      </c>
    </row>
    <row r="361" customFormat="false" ht="15" hidden="false" customHeight="false" outlineLevel="0" collapsed="false">
      <c r="A361" s="46"/>
      <c r="B361" s="47"/>
      <c r="C361" s="47"/>
      <c r="D361" s="46"/>
      <c r="E361" s="47"/>
      <c r="F361" s="47"/>
      <c r="G361" s="47"/>
      <c r="H361" s="46"/>
      <c r="I361" s="47"/>
      <c r="J361" s="47"/>
      <c r="K361" s="47"/>
      <c r="L361" s="47"/>
      <c r="M361" s="47"/>
      <c r="N361" s="47"/>
      <c r="O361" s="47"/>
      <c r="P361" s="45" t="str">
        <f aca="false">IF($A361="","",IF(COUNTIF(Accounts!$C$2:$C$201,$A361)+COUNTIF('Service Principals'!$C$2:$C$201,$A361)+COUNTIF('Managed Identities'!$C$2:$C$201,$A361)&gt;0,"Yes","NOT IN INVENTORY"))</f>
        <v/>
      </c>
    </row>
    <row r="362" customFormat="false" ht="15" hidden="false" customHeight="false" outlineLevel="0" collapsed="false">
      <c r="A362" s="46"/>
      <c r="B362" s="47"/>
      <c r="C362" s="47"/>
      <c r="D362" s="46"/>
      <c r="E362" s="47"/>
      <c r="F362" s="47"/>
      <c r="G362" s="47"/>
      <c r="H362" s="46"/>
      <c r="I362" s="47"/>
      <c r="J362" s="47"/>
      <c r="K362" s="47"/>
      <c r="L362" s="47"/>
      <c r="M362" s="47"/>
      <c r="N362" s="47"/>
      <c r="O362" s="47"/>
      <c r="P362" s="45" t="str">
        <f aca="false">IF($A362="","",IF(COUNTIF(Accounts!$C$2:$C$201,$A362)+COUNTIF('Service Principals'!$C$2:$C$201,$A362)+COUNTIF('Managed Identities'!$C$2:$C$201,$A362)&gt;0,"Yes","NOT IN INVENTORY"))</f>
        <v/>
      </c>
    </row>
    <row r="363" customFormat="false" ht="15" hidden="false" customHeight="false" outlineLevel="0" collapsed="false">
      <c r="A363" s="46"/>
      <c r="B363" s="47"/>
      <c r="C363" s="47"/>
      <c r="D363" s="46"/>
      <c r="E363" s="47"/>
      <c r="F363" s="47"/>
      <c r="G363" s="47"/>
      <c r="H363" s="46"/>
      <c r="I363" s="47"/>
      <c r="J363" s="47"/>
      <c r="K363" s="47"/>
      <c r="L363" s="47"/>
      <c r="M363" s="47"/>
      <c r="N363" s="47"/>
      <c r="O363" s="47"/>
      <c r="P363" s="45" t="str">
        <f aca="false">IF($A363="","",IF(COUNTIF(Accounts!$C$2:$C$201,$A363)+COUNTIF('Service Principals'!$C$2:$C$201,$A363)+COUNTIF('Managed Identities'!$C$2:$C$201,$A363)&gt;0,"Yes","NOT IN INVENTORY"))</f>
        <v/>
      </c>
    </row>
    <row r="364" customFormat="false" ht="15" hidden="false" customHeight="false" outlineLevel="0" collapsed="false">
      <c r="A364" s="46"/>
      <c r="B364" s="47"/>
      <c r="C364" s="47"/>
      <c r="D364" s="46"/>
      <c r="E364" s="47"/>
      <c r="F364" s="47"/>
      <c r="G364" s="47"/>
      <c r="H364" s="46"/>
      <c r="I364" s="47"/>
      <c r="J364" s="47"/>
      <c r="K364" s="47"/>
      <c r="L364" s="47"/>
      <c r="M364" s="47"/>
      <c r="N364" s="47"/>
      <c r="O364" s="47"/>
      <c r="P364" s="45" t="str">
        <f aca="false">IF($A364="","",IF(COUNTIF(Accounts!$C$2:$C$201,$A364)+COUNTIF('Service Principals'!$C$2:$C$201,$A364)+COUNTIF('Managed Identities'!$C$2:$C$201,$A364)&gt;0,"Yes","NOT IN INVENTORY"))</f>
        <v/>
      </c>
    </row>
    <row r="365" customFormat="false" ht="15" hidden="false" customHeight="false" outlineLevel="0" collapsed="false">
      <c r="A365" s="46"/>
      <c r="B365" s="47"/>
      <c r="C365" s="47"/>
      <c r="D365" s="46"/>
      <c r="E365" s="47"/>
      <c r="F365" s="47"/>
      <c r="G365" s="47"/>
      <c r="H365" s="46"/>
      <c r="I365" s="47"/>
      <c r="J365" s="47"/>
      <c r="K365" s="47"/>
      <c r="L365" s="47"/>
      <c r="M365" s="47"/>
      <c r="N365" s="47"/>
      <c r="O365" s="47"/>
      <c r="P365" s="45" t="str">
        <f aca="false">IF($A365="","",IF(COUNTIF(Accounts!$C$2:$C$201,$A365)+COUNTIF('Service Principals'!$C$2:$C$201,$A365)+COUNTIF('Managed Identities'!$C$2:$C$201,$A365)&gt;0,"Yes","NOT IN INVENTORY"))</f>
        <v/>
      </c>
    </row>
    <row r="366" customFormat="false" ht="15" hidden="false" customHeight="false" outlineLevel="0" collapsed="false">
      <c r="A366" s="46"/>
      <c r="B366" s="47"/>
      <c r="C366" s="47"/>
      <c r="D366" s="46"/>
      <c r="E366" s="47"/>
      <c r="F366" s="47"/>
      <c r="G366" s="47"/>
      <c r="H366" s="46"/>
      <c r="I366" s="47"/>
      <c r="J366" s="47"/>
      <c r="K366" s="47"/>
      <c r="L366" s="47"/>
      <c r="M366" s="47"/>
      <c r="N366" s="47"/>
      <c r="O366" s="47"/>
      <c r="P366" s="45" t="str">
        <f aca="false">IF($A366="","",IF(COUNTIF(Accounts!$C$2:$C$201,$A366)+COUNTIF('Service Principals'!$C$2:$C$201,$A366)+COUNTIF('Managed Identities'!$C$2:$C$201,$A366)&gt;0,"Yes","NOT IN INVENTORY"))</f>
        <v/>
      </c>
    </row>
    <row r="367" customFormat="false" ht="15" hidden="false" customHeight="false" outlineLevel="0" collapsed="false">
      <c r="A367" s="46"/>
      <c r="B367" s="47"/>
      <c r="C367" s="47"/>
      <c r="D367" s="46"/>
      <c r="E367" s="47"/>
      <c r="F367" s="47"/>
      <c r="G367" s="47"/>
      <c r="H367" s="46"/>
      <c r="I367" s="47"/>
      <c r="J367" s="47"/>
      <c r="K367" s="47"/>
      <c r="L367" s="47"/>
      <c r="M367" s="47"/>
      <c r="N367" s="47"/>
      <c r="O367" s="47"/>
      <c r="P367" s="45" t="str">
        <f aca="false">IF($A367="","",IF(COUNTIF(Accounts!$C$2:$C$201,$A367)+COUNTIF('Service Principals'!$C$2:$C$201,$A367)+COUNTIF('Managed Identities'!$C$2:$C$201,$A367)&gt;0,"Yes","NOT IN INVENTORY"))</f>
        <v/>
      </c>
    </row>
    <row r="368" customFormat="false" ht="15" hidden="false" customHeight="false" outlineLevel="0" collapsed="false">
      <c r="A368" s="46"/>
      <c r="B368" s="47"/>
      <c r="C368" s="47"/>
      <c r="D368" s="46"/>
      <c r="E368" s="47"/>
      <c r="F368" s="47"/>
      <c r="G368" s="47"/>
      <c r="H368" s="46"/>
      <c r="I368" s="47"/>
      <c r="J368" s="47"/>
      <c r="K368" s="47"/>
      <c r="L368" s="47"/>
      <c r="M368" s="47"/>
      <c r="N368" s="47"/>
      <c r="O368" s="47"/>
      <c r="P368" s="45" t="str">
        <f aca="false">IF($A368="","",IF(COUNTIF(Accounts!$C$2:$C$201,$A368)+COUNTIF('Service Principals'!$C$2:$C$201,$A368)+COUNTIF('Managed Identities'!$C$2:$C$201,$A368)&gt;0,"Yes","NOT IN INVENTORY"))</f>
        <v/>
      </c>
    </row>
    <row r="369" customFormat="false" ht="15" hidden="false" customHeight="false" outlineLevel="0" collapsed="false">
      <c r="A369" s="46"/>
      <c r="B369" s="47"/>
      <c r="C369" s="47"/>
      <c r="D369" s="46"/>
      <c r="E369" s="47"/>
      <c r="F369" s="47"/>
      <c r="G369" s="47"/>
      <c r="H369" s="46"/>
      <c r="I369" s="47"/>
      <c r="J369" s="47"/>
      <c r="K369" s="47"/>
      <c r="L369" s="47"/>
      <c r="M369" s="47"/>
      <c r="N369" s="47"/>
      <c r="O369" s="47"/>
      <c r="P369" s="45" t="str">
        <f aca="false">IF($A369="","",IF(COUNTIF(Accounts!$C$2:$C$201,$A369)+COUNTIF('Service Principals'!$C$2:$C$201,$A369)+COUNTIF('Managed Identities'!$C$2:$C$201,$A369)&gt;0,"Yes","NOT IN INVENTORY"))</f>
        <v/>
      </c>
    </row>
    <row r="370" customFormat="false" ht="15" hidden="false" customHeight="false" outlineLevel="0" collapsed="false">
      <c r="A370" s="46"/>
      <c r="B370" s="47"/>
      <c r="C370" s="47"/>
      <c r="D370" s="46"/>
      <c r="E370" s="47"/>
      <c r="F370" s="47"/>
      <c r="G370" s="47"/>
      <c r="H370" s="46"/>
      <c r="I370" s="47"/>
      <c r="J370" s="47"/>
      <c r="K370" s="47"/>
      <c r="L370" s="47"/>
      <c r="M370" s="47"/>
      <c r="N370" s="47"/>
      <c r="O370" s="47"/>
      <c r="P370" s="45" t="str">
        <f aca="false">IF($A370="","",IF(COUNTIF(Accounts!$C$2:$C$201,$A370)+COUNTIF('Service Principals'!$C$2:$C$201,$A370)+COUNTIF('Managed Identities'!$C$2:$C$201,$A370)&gt;0,"Yes","NOT IN INVENTORY"))</f>
        <v/>
      </c>
    </row>
    <row r="371" customFormat="false" ht="15" hidden="false" customHeight="false" outlineLevel="0" collapsed="false">
      <c r="A371" s="46"/>
      <c r="B371" s="47"/>
      <c r="C371" s="47"/>
      <c r="D371" s="46"/>
      <c r="E371" s="47"/>
      <c r="F371" s="47"/>
      <c r="G371" s="47"/>
      <c r="H371" s="46"/>
      <c r="I371" s="47"/>
      <c r="J371" s="47"/>
      <c r="K371" s="47"/>
      <c r="L371" s="47"/>
      <c r="M371" s="47"/>
      <c r="N371" s="47"/>
      <c r="O371" s="47"/>
      <c r="P371" s="45" t="str">
        <f aca="false">IF($A371="","",IF(COUNTIF(Accounts!$C$2:$C$201,$A371)+COUNTIF('Service Principals'!$C$2:$C$201,$A371)+COUNTIF('Managed Identities'!$C$2:$C$201,$A371)&gt;0,"Yes","NOT IN INVENTORY"))</f>
        <v/>
      </c>
    </row>
    <row r="372" customFormat="false" ht="15" hidden="false" customHeight="false" outlineLevel="0" collapsed="false">
      <c r="A372" s="46"/>
      <c r="B372" s="47"/>
      <c r="C372" s="47"/>
      <c r="D372" s="46"/>
      <c r="E372" s="47"/>
      <c r="F372" s="47"/>
      <c r="G372" s="47"/>
      <c r="H372" s="46"/>
      <c r="I372" s="47"/>
      <c r="J372" s="47"/>
      <c r="K372" s="47"/>
      <c r="L372" s="47"/>
      <c r="M372" s="47"/>
      <c r="N372" s="47"/>
      <c r="O372" s="47"/>
      <c r="P372" s="45" t="str">
        <f aca="false">IF($A372="","",IF(COUNTIF(Accounts!$C$2:$C$201,$A372)+COUNTIF('Service Principals'!$C$2:$C$201,$A372)+COUNTIF('Managed Identities'!$C$2:$C$201,$A372)&gt;0,"Yes","NOT IN INVENTORY"))</f>
        <v/>
      </c>
    </row>
    <row r="373" customFormat="false" ht="15" hidden="false" customHeight="false" outlineLevel="0" collapsed="false">
      <c r="A373" s="46"/>
      <c r="B373" s="47"/>
      <c r="C373" s="47"/>
      <c r="D373" s="46"/>
      <c r="E373" s="47"/>
      <c r="F373" s="47"/>
      <c r="G373" s="47"/>
      <c r="H373" s="46"/>
      <c r="I373" s="47"/>
      <c r="J373" s="47"/>
      <c r="K373" s="47"/>
      <c r="L373" s="47"/>
      <c r="M373" s="47"/>
      <c r="N373" s="47"/>
      <c r="O373" s="47"/>
      <c r="P373" s="45" t="str">
        <f aca="false">IF($A373="","",IF(COUNTIF(Accounts!$C$2:$C$201,$A373)+COUNTIF('Service Principals'!$C$2:$C$201,$A373)+COUNTIF('Managed Identities'!$C$2:$C$201,$A373)&gt;0,"Yes","NOT IN INVENTORY"))</f>
        <v/>
      </c>
    </row>
    <row r="374" customFormat="false" ht="15" hidden="false" customHeight="false" outlineLevel="0" collapsed="false">
      <c r="A374" s="46"/>
      <c r="B374" s="47"/>
      <c r="C374" s="47"/>
      <c r="D374" s="46"/>
      <c r="E374" s="47"/>
      <c r="F374" s="47"/>
      <c r="G374" s="47"/>
      <c r="H374" s="46"/>
      <c r="I374" s="47"/>
      <c r="J374" s="47"/>
      <c r="K374" s="47"/>
      <c r="L374" s="47"/>
      <c r="M374" s="47"/>
      <c r="N374" s="47"/>
      <c r="O374" s="47"/>
      <c r="P374" s="45" t="str">
        <f aca="false">IF($A374="","",IF(COUNTIF(Accounts!$C$2:$C$201,$A374)+COUNTIF('Service Principals'!$C$2:$C$201,$A374)+COUNTIF('Managed Identities'!$C$2:$C$201,$A374)&gt;0,"Yes","NOT IN INVENTORY"))</f>
        <v/>
      </c>
    </row>
    <row r="375" customFormat="false" ht="15" hidden="false" customHeight="false" outlineLevel="0" collapsed="false">
      <c r="A375" s="46"/>
      <c r="B375" s="47"/>
      <c r="C375" s="47"/>
      <c r="D375" s="46"/>
      <c r="E375" s="47"/>
      <c r="F375" s="47"/>
      <c r="G375" s="47"/>
      <c r="H375" s="46"/>
      <c r="I375" s="47"/>
      <c r="J375" s="47"/>
      <c r="K375" s="47"/>
      <c r="L375" s="47"/>
      <c r="M375" s="47"/>
      <c r="N375" s="47"/>
      <c r="O375" s="47"/>
      <c r="P375" s="45" t="str">
        <f aca="false">IF($A375="","",IF(COUNTIF(Accounts!$C$2:$C$201,$A375)+COUNTIF('Service Principals'!$C$2:$C$201,$A375)+COUNTIF('Managed Identities'!$C$2:$C$201,$A375)&gt;0,"Yes","NOT IN INVENTORY"))</f>
        <v/>
      </c>
    </row>
    <row r="376" customFormat="false" ht="15" hidden="false" customHeight="false" outlineLevel="0" collapsed="false">
      <c r="A376" s="46"/>
      <c r="B376" s="47"/>
      <c r="C376" s="47"/>
      <c r="D376" s="46"/>
      <c r="E376" s="47"/>
      <c r="F376" s="47"/>
      <c r="G376" s="47"/>
      <c r="H376" s="46"/>
      <c r="I376" s="47"/>
      <c r="J376" s="47"/>
      <c r="K376" s="47"/>
      <c r="L376" s="47"/>
      <c r="M376" s="47"/>
      <c r="N376" s="47"/>
      <c r="O376" s="47"/>
      <c r="P376" s="45" t="str">
        <f aca="false">IF($A376="","",IF(COUNTIF(Accounts!$C$2:$C$201,$A376)+COUNTIF('Service Principals'!$C$2:$C$201,$A376)+COUNTIF('Managed Identities'!$C$2:$C$201,$A376)&gt;0,"Yes","NOT IN INVENTORY"))</f>
        <v/>
      </c>
    </row>
    <row r="377" customFormat="false" ht="15" hidden="false" customHeight="false" outlineLevel="0" collapsed="false">
      <c r="A377" s="46"/>
      <c r="B377" s="47"/>
      <c r="C377" s="47"/>
      <c r="D377" s="46"/>
      <c r="E377" s="47"/>
      <c r="F377" s="47"/>
      <c r="G377" s="47"/>
      <c r="H377" s="46"/>
      <c r="I377" s="47"/>
      <c r="J377" s="47"/>
      <c r="K377" s="47"/>
      <c r="L377" s="47"/>
      <c r="M377" s="47"/>
      <c r="N377" s="47"/>
      <c r="O377" s="47"/>
      <c r="P377" s="45" t="str">
        <f aca="false">IF($A377="","",IF(COUNTIF(Accounts!$C$2:$C$201,$A377)+COUNTIF('Service Principals'!$C$2:$C$201,$A377)+COUNTIF('Managed Identities'!$C$2:$C$201,$A377)&gt;0,"Yes","NOT IN INVENTORY"))</f>
        <v/>
      </c>
    </row>
    <row r="378" customFormat="false" ht="15" hidden="false" customHeight="false" outlineLevel="0" collapsed="false">
      <c r="A378" s="46"/>
      <c r="B378" s="47"/>
      <c r="C378" s="47"/>
      <c r="D378" s="46"/>
      <c r="E378" s="47"/>
      <c r="F378" s="47"/>
      <c r="G378" s="47"/>
      <c r="H378" s="46"/>
      <c r="I378" s="47"/>
      <c r="J378" s="47"/>
      <c r="K378" s="47"/>
      <c r="L378" s="47"/>
      <c r="M378" s="47"/>
      <c r="N378" s="47"/>
      <c r="O378" s="47"/>
      <c r="P378" s="45" t="str">
        <f aca="false">IF($A378="","",IF(COUNTIF(Accounts!$C$2:$C$201,$A378)+COUNTIF('Service Principals'!$C$2:$C$201,$A378)+COUNTIF('Managed Identities'!$C$2:$C$201,$A378)&gt;0,"Yes","NOT IN INVENTORY"))</f>
        <v/>
      </c>
    </row>
    <row r="379" customFormat="false" ht="15" hidden="false" customHeight="false" outlineLevel="0" collapsed="false">
      <c r="A379" s="46"/>
      <c r="B379" s="47"/>
      <c r="C379" s="47"/>
      <c r="D379" s="46"/>
      <c r="E379" s="47"/>
      <c r="F379" s="47"/>
      <c r="G379" s="47"/>
      <c r="H379" s="46"/>
      <c r="I379" s="47"/>
      <c r="J379" s="47"/>
      <c r="K379" s="47"/>
      <c r="L379" s="47"/>
      <c r="M379" s="47"/>
      <c r="N379" s="47"/>
      <c r="O379" s="47"/>
      <c r="P379" s="45" t="str">
        <f aca="false">IF($A379="","",IF(COUNTIF(Accounts!$C$2:$C$201,$A379)+COUNTIF('Service Principals'!$C$2:$C$201,$A379)+COUNTIF('Managed Identities'!$C$2:$C$201,$A379)&gt;0,"Yes","NOT IN INVENTORY"))</f>
        <v/>
      </c>
    </row>
    <row r="380" customFormat="false" ht="15" hidden="false" customHeight="false" outlineLevel="0" collapsed="false">
      <c r="A380" s="46"/>
      <c r="B380" s="47"/>
      <c r="C380" s="47"/>
      <c r="D380" s="46"/>
      <c r="E380" s="47"/>
      <c r="F380" s="47"/>
      <c r="G380" s="47"/>
      <c r="H380" s="46"/>
      <c r="I380" s="47"/>
      <c r="J380" s="47"/>
      <c r="K380" s="47"/>
      <c r="L380" s="47"/>
      <c r="M380" s="47"/>
      <c r="N380" s="47"/>
      <c r="O380" s="47"/>
      <c r="P380" s="45" t="str">
        <f aca="false">IF($A380="","",IF(COUNTIF(Accounts!$C$2:$C$201,$A380)+COUNTIF('Service Principals'!$C$2:$C$201,$A380)+COUNTIF('Managed Identities'!$C$2:$C$201,$A380)&gt;0,"Yes","NOT IN INVENTORY"))</f>
        <v/>
      </c>
    </row>
    <row r="381" customFormat="false" ht="15" hidden="false" customHeight="false" outlineLevel="0" collapsed="false">
      <c r="A381" s="46"/>
      <c r="B381" s="47"/>
      <c r="C381" s="47"/>
      <c r="D381" s="46"/>
      <c r="E381" s="47"/>
      <c r="F381" s="47"/>
      <c r="G381" s="47"/>
      <c r="H381" s="46"/>
      <c r="I381" s="47"/>
      <c r="J381" s="47"/>
      <c r="K381" s="47"/>
      <c r="L381" s="47"/>
      <c r="M381" s="47"/>
      <c r="N381" s="47"/>
      <c r="O381" s="47"/>
      <c r="P381" s="45" t="str">
        <f aca="false">IF($A381="","",IF(COUNTIF(Accounts!$C$2:$C$201,$A381)+COUNTIF('Service Principals'!$C$2:$C$201,$A381)+COUNTIF('Managed Identities'!$C$2:$C$201,$A381)&gt;0,"Yes","NOT IN INVENTORY"))</f>
        <v/>
      </c>
    </row>
    <row r="382" customFormat="false" ht="15" hidden="false" customHeight="false" outlineLevel="0" collapsed="false">
      <c r="A382" s="46"/>
      <c r="B382" s="47"/>
      <c r="C382" s="47"/>
      <c r="D382" s="46"/>
      <c r="E382" s="47"/>
      <c r="F382" s="47"/>
      <c r="G382" s="47"/>
      <c r="H382" s="46"/>
      <c r="I382" s="47"/>
      <c r="J382" s="47"/>
      <c r="K382" s="47"/>
      <c r="L382" s="47"/>
      <c r="M382" s="47"/>
      <c r="N382" s="47"/>
      <c r="O382" s="47"/>
      <c r="P382" s="45" t="str">
        <f aca="false">IF($A382="","",IF(COUNTIF(Accounts!$C$2:$C$201,$A382)+COUNTIF('Service Principals'!$C$2:$C$201,$A382)+COUNTIF('Managed Identities'!$C$2:$C$201,$A382)&gt;0,"Yes","NOT IN INVENTORY"))</f>
        <v/>
      </c>
    </row>
    <row r="383" customFormat="false" ht="15" hidden="false" customHeight="false" outlineLevel="0" collapsed="false">
      <c r="A383" s="46"/>
      <c r="B383" s="47"/>
      <c r="C383" s="47"/>
      <c r="D383" s="46"/>
      <c r="E383" s="47"/>
      <c r="F383" s="47"/>
      <c r="G383" s="47"/>
      <c r="H383" s="46"/>
      <c r="I383" s="47"/>
      <c r="J383" s="47"/>
      <c r="K383" s="47"/>
      <c r="L383" s="47"/>
      <c r="M383" s="47"/>
      <c r="N383" s="47"/>
      <c r="O383" s="47"/>
      <c r="P383" s="45" t="str">
        <f aca="false">IF($A383="","",IF(COUNTIF(Accounts!$C$2:$C$201,$A383)+COUNTIF('Service Principals'!$C$2:$C$201,$A383)+COUNTIF('Managed Identities'!$C$2:$C$201,$A383)&gt;0,"Yes","NOT IN INVENTORY"))</f>
        <v/>
      </c>
    </row>
    <row r="384" customFormat="false" ht="15" hidden="false" customHeight="false" outlineLevel="0" collapsed="false">
      <c r="A384" s="46"/>
      <c r="B384" s="47"/>
      <c r="C384" s="47"/>
      <c r="D384" s="46"/>
      <c r="E384" s="47"/>
      <c r="F384" s="47"/>
      <c r="G384" s="47"/>
      <c r="H384" s="46"/>
      <c r="I384" s="47"/>
      <c r="J384" s="47"/>
      <c r="K384" s="47"/>
      <c r="L384" s="47"/>
      <c r="M384" s="47"/>
      <c r="N384" s="47"/>
      <c r="O384" s="47"/>
      <c r="P384" s="45" t="str">
        <f aca="false">IF($A384="","",IF(COUNTIF(Accounts!$C$2:$C$201,$A384)+COUNTIF('Service Principals'!$C$2:$C$201,$A384)+COUNTIF('Managed Identities'!$C$2:$C$201,$A384)&gt;0,"Yes","NOT IN INVENTORY"))</f>
        <v/>
      </c>
    </row>
    <row r="385" customFormat="false" ht="15" hidden="false" customHeight="false" outlineLevel="0" collapsed="false">
      <c r="A385" s="46"/>
      <c r="B385" s="47"/>
      <c r="C385" s="47"/>
      <c r="D385" s="46"/>
      <c r="E385" s="47"/>
      <c r="F385" s="47"/>
      <c r="G385" s="47"/>
      <c r="H385" s="46"/>
      <c r="I385" s="47"/>
      <c r="J385" s="47"/>
      <c r="K385" s="47"/>
      <c r="L385" s="47"/>
      <c r="M385" s="47"/>
      <c r="N385" s="47"/>
      <c r="O385" s="47"/>
      <c r="P385" s="45" t="str">
        <f aca="false">IF($A385="","",IF(COUNTIF(Accounts!$C$2:$C$201,$A385)+COUNTIF('Service Principals'!$C$2:$C$201,$A385)+COUNTIF('Managed Identities'!$C$2:$C$201,$A385)&gt;0,"Yes","NOT IN INVENTORY"))</f>
        <v/>
      </c>
    </row>
    <row r="386" customFormat="false" ht="15" hidden="false" customHeight="false" outlineLevel="0" collapsed="false">
      <c r="A386" s="46"/>
      <c r="B386" s="47"/>
      <c r="C386" s="47"/>
      <c r="D386" s="46"/>
      <c r="E386" s="47"/>
      <c r="F386" s="47"/>
      <c r="G386" s="47"/>
      <c r="H386" s="46"/>
      <c r="I386" s="47"/>
      <c r="J386" s="47"/>
      <c r="K386" s="47"/>
      <c r="L386" s="47"/>
      <c r="M386" s="47"/>
      <c r="N386" s="47"/>
      <c r="O386" s="47"/>
      <c r="P386" s="45" t="str">
        <f aca="false">IF($A386="","",IF(COUNTIF(Accounts!$C$2:$C$201,$A386)+COUNTIF('Service Principals'!$C$2:$C$201,$A386)+COUNTIF('Managed Identities'!$C$2:$C$201,$A386)&gt;0,"Yes","NOT IN INVENTORY"))</f>
        <v/>
      </c>
    </row>
    <row r="387" customFormat="false" ht="15" hidden="false" customHeight="false" outlineLevel="0" collapsed="false">
      <c r="A387" s="46"/>
      <c r="B387" s="47"/>
      <c r="C387" s="47"/>
      <c r="D387" s="46"/>
      <c r="E387" s="47"/>
      <c r="F387" s="47"/>
      <c r="G387" s="47"/>
      <c r="H387" s="46"/>
      <c r="I387" s="47"/>
      <c r="J387" s="47"/>
      <c r="K387" s="47"/>
      <c r="L387" s="47"/>
      <c r="M387" s="47"/>
      <c r="N387" s="47"/>
      <c r="O387" s="47"/>
      <c r="P387" s="45" t="str">
        <f aca="false">IF($A387="","",IF(COUNTIF(Accounts!$C$2:$C$201,$A387)+COUNTIF('Service Principals'!$C$2:$C$201,$A387)+COUNTIF('Managed Identities'!$C$2:$C$201,$A387)&gt;0,"Yes","NOT IN INVENTORY"))</f>
        <v/>
      </c>
    </row>
    <row r="388" customFormat="false" ht="15" hidden="false" customHeight="false" outlineLevel="0" collapsed="false">
      <c r="A388" s="46"/>
      <c r="B388" s="47"/>
      <c r="C388" s="47"/>
      <c r="D388" s="46"/>
      <c r="E388" s="47"/>
      <c r="F388" s="47"/>
      <c r="G388" s="47"/>
      <c r="H388" s="46"/>
      <c r="I388" s="47"/>
      <c r="J388" s="47"/>
      <c r="K388" s="47"/>
      <c r="L388" s="47"/>
      <c r="M388" s="47"/>
      <c r="N388" s="47"/>
      <c r="O388" s="47"/>
      <c r="P388" s="45" t="str">
        <f aca="false">IF($A388="","",IF(COUNTIF(Accounts!$C$2:$C$201,$A388)+COUNTIF('Service Principals'!$C$2:$C$201,$A388)+COUNTIF('Managed Identities'!$C$2:$C$201,$A388)&gt;0,"Yes","NOT IN INVENTORY"))</f>
        <v/>
      </c>
    </row>
    <row r="389" customFormat="false" ht="15" hidden="false" customHeight="false" outlineLevel="0" collapsed="false">
      <c r="A389" s="46"/>
      <c r="B389" s="47"/>
      <c r="C389" s="47"/>
      <c r="D389" s="46"/>
      <c r="E389" s="47"/>
      <c r="F389" s="47"/>
      <c r="G389" s="47"/>
      <c r="H389" s="46"/>
      <c r="I389" s="47"/>
      <c r="J389" s="47"/>
      <c r="K389" s="47"/>
      <c r="L389" s="47"/>
      <c r="M389" s="47"/>
      <c r="N389" s="47"/>
      <c r="O389" s="47"/>
      <c r="P389" s="45" t="str">
        <f aca="false">IF($A389="","",IF(COUNTIF(Accounts!$C$2:$C$201,$A389)+COUNTIF('Service Principals'!$C$2:$C$201,$A389)+COUNTIF('Managed Identities'!$C$2:$C$201,$A389)&gt;0,"Yes","NOT IN INVENTORY"))</f>
        <v/>
      </c>
    </row>
    <row r="390" customFormat="false" ht="15" hidden="false" customHeight="false" outlineLevel="0" collapsed="false">
      <c r="A390" s="46"/>
      <c r="B390" s="47"/>
      <c r="C390" s="47"/>
      <c r="D390" s="46"/>
      <c r="E390" s="47"/>
      <c r="F390" s="47"/>
      <c r="G390" s="47"/>
      <c r="H390" s="46"/>
      <c r="I390" s="47"/>
      <c r="J390" s="47"/>
      <c r="K390" s="47"/>
      <c r="L390" s="47"/>
      <c r="M390" s="47"/>
      <c r="N390" s="47"/>
      <c r="O390" s="47"/>
      <c r="P390" s="45" t="str">
        <f aca="false">IF($A390="","",IF(COUNTIF(Accounts!$C$2:$C$201,$A390)+COUNTIF('Service Principals'!$C$2:$C$201,$A390)+COUNTIF('Managed Identities'!$C$2:$C$201,$A390)&gt;0,"Yes","NOT IN INVENTORY"))</f>
        <v/>
      </c>
    </row>
    <row r="391" customFormat="false" ht="15" hidden="false" customHeight="false" outlineLevel="0" collapsed="false">
      <c r="A391" s="46"/>
      <c r="B391" s="47"/>
      <c r="C391" s="47"/>
      <c r="D391" s="46"/>
      <c r="E391" s="47"/>
      <c r="F391" s="47"/>
      <c r="G391" s="47"/>
      <c r="H391" s="46"/>
      <c r="I391" s="47"/>
      <c r="J391" s="47"/>
      <c r="K391" s="47"/>
      <c r="L391" s="47"/>
      <c r="M391" s="47"/>
      <c r="N391" s="47"/>
      <c r="O391" s="47"/>
      <c r="P391" s="45" t="str">
        <f aca="false">IF($A391="","",IF(COUNTIF(Accounts!$C$2:$C$201,$A391)+COUNTIF('Service Principals'!$C$2:$C$201,$A391)+COUNTIF('Managed Identities'!$C$2:$C$201,$A391)&gt;0,"Yes","NOT IN INVENTORY"))</f>
        <v/>
      </c>
    </row>
    <row r="392" customFormat="false" ht="15" hidden="false" customHeight="false" outlineLevel="0" collapsed="false">
      <c r="A392" s="46"/>
      <c r="B392" s="47"/>
      <c r="C392" s="47"/>
      <c r="D392" s="46"/>
      <c r="E392" s="47"/>
      <c r="F392" s="47"/>
      <c r="G392" s="47"/>
      <c r="H392" s="46"/>
      <c r="I392" s="47"/>
      <c r="J392" s="47"/>
      <c r="K392" s="47"/>
      <c r="L392" s="47"/>
      <c r="M392" s="47"/>
      <c r="N392" s="47"/>
      <c r="O392" s="47"/>
      <c r="P392" s="45" t="str">
        <f aca="false">IF($A392="","",IF(COUNTIF(Accounts!$C$2:$C$201,$A392)+COUNTIF('Service Principals'!$C$2:$C$201,$A392)+COUNTIF('Managed Identities'!$C$2:$C$201,$A392)&gt;0,"Yes","NOT IN INVENTORY"))</f>
        <v/>
      </c>
    </row>
    <row r="393" customFormat="false" ht="15" hidden="false" customHeight="false" outlineLevel="0" collapsed="false">
      <c r="A393" s="46"/>
      <c r="B393" s="47"/>
      <c r="C393" s="47"/>
      <c r="D393" s="46"/>
      <c r="E393" s="47"/>
      <c r="F393" s="47"/>
      <c r="G393" s="47"/>
      <c r="H393" s="46"/>
      <c r="I393" s="47"/>
      <c r="J393" s="47"/>
      <c r="K393" s="47"/>
      <c r="L393" s="47"/>
      <c r="M393" s="47"/>
      <c r="N393" s="47"/>
      <c r="O393" s="47"/>
      <c r="P393" s="45" t="str">
        <f aca="false">IF($A393="","",IF(COUNTIF(Accounts!$C$2:$C$201,$A393)+COUNTIF('Service Principals'!$C$2:$C$201,$A393)+COUNTIF('Managed Identities'!$C$2:$C$201,$A393)&gt;0,"Yes","NOT IN INVENTORY"))</f>
        <v/>
      </c>
    </row>
    <row r="394" customFormat="false" ht="15" hidden="false" customHeight="false" outlineLevel="0" collapsed="false">
      <c r="A394" s="46"/>
      <c r="B394" s="47"/>
      <c r="C394" s="47"/>
      <c r="D394" s="46"/>
      <c r="E394" s="47"/>
      <c r="F394" s="47"/>
      <c r="G394" s="47"/>
      <c r="H394" s="46"/>
      <c r="I394" s="47"/>
      <c r="J394" s="47"/>
      <c r="K394" s="47"/>
      <c r="L394" s="47"/>
      <c r="M394" s="47"/>
      <c r="N394" s="47"/>
      <c r="O394" s="47"/>
      <c r="P394" s="45" t="str">
        <f aca="false">IF($A394="","",IF(COUNTIF(Accounts!$C$2:$C$201,$A394)+COUNTIF('Service Principals'!$C$2:$C$201,$A394)+COUNTIF('Managed Identities'!$C$2:$C$201,$A394)&gt;0,"Yes","NOT IN INVENTORY"))</f>
        <v/>
      </c>
    </row>
    <row r="395" customFormat="false" ht="15" hidden="false" customHeight="false" outlineLevel="0" collapsed="false">
      <c r="A395" s="46"/>
      <c r="B395" s="47"/>
      <c r="C395" s="47"/>
      <c r="D395" s="46"/>
      <c r="E395" s="47"/>
      <c r="F395" s="47"/>
      <c r="G395" s="47"/>
      <c r="H395" s="46"/>
      <c r="I395" s="47"/>
      <c r="J395" s="47"/>
      <c r="K395" s="47"/>
      <c r="L395" s="47"/>
      <c r="M395" s="47"/>
      <c r="N395" s="47"/>
      <c r="O395" s="47"/>
      <c r="P395" s="45" t="str">
        <f aca="false">IF($A395="","",IF(COUNTIF(Accounts!$C$2:$C$201,$A395)+COUNTIF('Service Principals'!$C$2:$C$201,$A395)+COUNTIF('Managed Identities'!$C$2:$C$201,$A395)&gt;0,"Yes","NOT IN INVENTORY"))</f>
        <v/>
      </c>
    </row>
    <row r="396" customFormat="false" ht="15" hidden="false" customHeight="false" outlineLevel="0" collapsed="false">
      <c r="A396" s="46"/>
      <c r="B396" s="47"/>
      <c r="C396" s="47"/>
      <c r="D396" s="46"/>
      <c r="E396" s="47"/>
      <c r="F396" s="47"/>
      <c r="G396" s="47"/>
      <c r="H396" s="46"/>
      <c r="I396" s="47"/>
      <c r="J396" s="47"/>
      <c r="K396" s="47"/>
      <c r="L396" s="47"/>
      <c r="M396" s="47"/>
      <c r="N396" s="47"/>
      <c r="O396" s="47"/>
      <c r="P396" s="45" t="str">
        <f aca="false">IF($A396="","",IF(COUNTIF(Accounts!$C$2:$C$201,$A396)+COUNTIF('Service Principals'!$C$2:$C$201,$A396)+COUNTIF('Managed Identities'!$C$2:$C$201,$A396)&gt;0,"Yes","NOT IN INVENTORY"))</f>
        <v/>
      </c>
    </row>
    <row r="397" customFormat="false" ht="15" hidden="false" customHeight="false" outlineLevel="0" collapsed="false">
      <c r="A397" s="46"/>
      <c r="B397" s="47"/>
      <c r="C397" s="47"/>
      <c r="D397" s="46"/>
      <c r="E397" s="47"/>
      <c r="F397" s="47"/>
      <c r="G397" s="47"/>
      <c r="H397" s="46"/>
      <c r="I397" s="47"/>
      <c r="J397" s="47"/>
      <c r="K397" s="47"/>
      <c r="L397" s="47"/>
      <c r="M397" s="47"/>
      <c r="N397" s="47"/>
      <c r="O397" s="47"/>
      <c r="P397" s="45" t="str">
        <f aca="false">IF($A397="","",IF(COUNTIF(Accounts!$C$2:$C$201,$A397)+COUNTIF('Service Principals'!$C$2:$C$201,$A397)+COUNTIF('Managed Identities'!$C$2:$C$201,$A397)&gt;0,"Yes","NOT IN INVENTORY"))</f>
        <v/>
      </c>
    </row>
    <row r="398" customFormat="false" ht="15" hidden="false" customHeight="false" outlineLevel="0" collapsed="false">
      <c r="A398" s="46"/>
      <c r="B398" s="47"/>
      <c r="C398" s="47"/>
      <c r="D398" s="46"/>
      <c r="E398" s="47"/>
      <c r="F398" s="47"/>
      <c r="G398" s="47"/>
      <c r="H398" s="46"/>
      <c r="I398" s="47"/>
      <c r="J398" s="47"/>
      <c r="K398" s="47"/>
      <c r="L398" s="47"/>
      <c r="M398" s="47"/>
      <c r="N398" s="47"/>
      <c r="O398" s="47"/>
      <c r="P398" s="45" t="str">
        <f aca="false">IF($A398="","",IF(COUNTIF(Accounts!$C$2:$C$201,$A398)+COUNTIF('Service Principals'!$C$2:$C$201,$A398)+COUNTIF('Managed Identities'!$C$2:$C$201,$A398)&gt;0,"Yes","NOT IN INVENTORY"))</f>
        <v/>
      </c>
    </row>
    <row r="399" customFormat="false" ht="15" hidden="false" customHeight="false" outlineLevel="0" collapsed="false">
      <c r="A399" s="46"/>
      <c r="B399" s="47"/>
      <c r="C399" s="47"/>
      <c r="D399" s="46"/>
      <c r="E399" s="47"/>
      <c r="F399" s="47"/>
      <c r="G399" s="47"/>
      <c r="H399" s="46"/>
      <c r="I399" s="47"/>
      <c r="J399" s="47"/>
      <c r="K399" s="47"/>
      <c r="L399" s="47"/>
      <c r="M399" s="47"/>
      <c r="N399" s="47"/>
      <c r="O399" s="47"/>
      <c r="P399" s="45" t="str">
        <f aca="false">IF($A399="","",IF(COUNTIF(Accounts!$C$2:$C$201,$A399)+COUNTIF('Service Principals'!$C$2:$C$201,$A399)+COUNTIF('Managed Identities'!$C$2:$C$201,$A399)&gt;0,"Yes","NOT IN INVENTORY"))</f>
        <v/>
      </c>
    </row>
    <row r="400" customFormat="false" ht="15" hidden="false" customHeight="false" outlineLevel="0" collapsed="false">
      <c r="A400" s="46"/>
      <c r="B400" s="47"/>
      <c r="C400" s="47"/>
      <c r="D400" s="46"/>
      <c r="E400" s="47"/>
      <c r="F400" s="47"/>
      <c r="G400" s="47"/>
      <c r="H400" s="46"/>
      <c r="I400" s="47"/>
      <c r="J400" s="47"/>
      <c r="K400" s="47"/>
      <c r="L400" s="47"/>
      <c r="M400" s="47"/>
      <c r="N400" s="47"/>
      <c r="O400" s="47"/>
      <c r="P400" s="45" t="str">
        <f aca="false">IF($A400="","",IF(COUNTIF(Accounts!$C$2:$C$201,$A400)+COUNTIF('Service Principals'!$C$2:$C$201,$A400)+COUNTIF('Managed Identities'!$C$2:$C$201,$A400)&gt;0,"Yes","NOT IN INVENTORY"))</f>
        <v/>
      </c>
    </row>
    <row r="401" customFormat="false" ht="15" hidden="false" customHeight="false" outlineLevel="0" collapsed="false">
      <c r="A401" s="46"/>
      <c r="B401" s="47"/>
      <c r="C401" s="47"/>
      <c r="D401" s="46"/>
      <c r="E401" s="47"/>
      <c r="F401" s="47"/>
      <c r="G401" s="47"/>
      <c r="H401" s="46"/>
      <c r="I401" s="47"/>
      <c r="J401" s="47"/>
      <c r="K401" s="47"/>
      <c r="L401" s="47"/>
      <c r="M401" s="47"/>
      <c r="N401" s="47"/>
      <c r="O401" s="47"/>
      <c r="P401" s="45" t="str">
        <f aca="false">IF($A401="","",IF(COUNTIF(Accounts!$C$2:$C$201,$A401)+COUNTIF('Service Principals'!$C$2:$C$201,$A401)+COUNTIF('Managed Identities'!$C$2:$C$201,$A401)&gt;0,"Yes","NOT IN INVENTORY"))</f>
        <v/>
      </c>
    </row>
    <row r="402" customFormat="false" ht="15" hidden="false" customHeight="false" outlineLevel="0" collapsed="false">
      <c r="A402" s="46"/>
      <c r="B402" s="47"/>
      <c r="C402" s="47"/>
      <c r="D402" s="46"/>
      <c r="E402" s="47"/>
      <c r="F402" s="47"/>
      <c r="G402" s="47"/>
      <c r="H402" s="46"/>
      <c r="I402" s="47"/>
      <c r="J402" s="47"/>
      <c r="K402" s="47"/>
      <c r="L402" s="47"/>
      <c r="M402" s="47"/>
      <c r="N402" s="47"/>
      <c r="O402" s="47"/>
      <c r="P402" s="45" t="str">
        <f aca="false">IF($A402="","",IF(COUNTIF(Accounts!$C$2:$C$201,$A402)+COUNTIF('Service Principals'!$C$2:$C$201,$A402)+COUNTIF('Managed Identities'!$C$2:$C$201,$A402)&gt;0,"Yes","NOT IN INVENTORY"))</f>
        <v/>
      </c>
    </row>
    <row r="403" customFormat="false" ht="15" hidden="false" customHeight="false" outlineLevel="0" collapsed="false">
      <c r="A403" s="46"/>
      <c r="B403" s="47"/>
      <c r="C403" s="47"/>
      <c r="D403" s="46"/>
      <c r="E403" s="47"/>
      <c r="F403" s="47"/>
      <c r="G403" s="47"/>
      <c r="H403" s="46"/>
      <c r="I403" s="47"/>
      <c r="J403" s="47"/>
      <c r="K403" s="47"/>
      <c r="L403" s="47"/>
      <c r="M403" s="47"/>
      <c r="N403" s="47"/>
      <c r="O403" s="47"/>
      <c r="P403" s="45" t="str">
        <f aca="false">IF($A403="","",IF(COUNTIF(Accounts!$C$2:$C$201,$A403)+COUNTIF('Service Principals'!$C$2:$C$201,$A403)+COUNTIF('Managed Identities'!$C$2:$C$201,$A403)&gt;0,"Yes","NOT IN INVENTORY"))</f>
        <v/>
      </c>
    </row>
    <row r="404" customFormat="false" ht="15" hidden="false" customHeight="false" outlineLevel="0" collapsed="false">
      <c r="A404" s="46"/>
      <c r="B404" s="47"/>
      <c r="C404" s="47"/>
      <c r="D404" s="46"/>
      <c r="E404" s="47"/>
      <c r="F404" s="47"/>
      <c r="G404" s="47"/>
      <c r="H404" s="46"/>
      <c r="I404" s="47"/>
      <c r="J404" s="47"/>
      <c r="K404" s="47"/>
      <c r="L404" s="47"/>
      <c r="M404" s="47"/>
      <c r="N404" s="47"/>
      <c r="O404" s="47"/>
      <c r="P404" s="45" t="str">
        <f aca="false">IF($A404="","",IF(COUNTIF(Accounts!$C$2:$C$201,$A404)+COUNTIF('Service Principals'!$C$2:$C$201,$A404)+COUNTIF('Managed Identities'!$C$2:$C$201,$A404)&gt;0,"Yes","NOT IN INVENTORY"))</f>
        <v/>
      </c>
    </row>
    <row r="405" customFormat="false" ht="15" hidden="false" customHeight="false" outlineLevel="0" collapsed="false">
      <c r="A405" s="46"/>
      <c r="B405" s="47"/>
      <c r="C405" s="47"/>
      <c r="D405" s="46"/>
      <c r="E405" s="47"/>
      <c r="F405" s="47"/>
      <c r="G405" s="47"/>
      <c r="H405" s="46"/>
      <c r="I405" s="47"/>
      <c r="J405" s="47"/>
      <c r="K405" s="47"/>
      <c r="L405" s="47"/>
      <c r="M405" s="47"/>
      <c r="N405" s="47"/>
      <c r="O405" s="47"/>
      <c r="P405" s="45" t="str">
        <f aca="false">IF($A405="","",IF(COUNTIF(Accounts!$C$2:$C$201,$A405)+COUNTIF('Service Principals'!$C$2:$C$201,$A405)+COUNTIF('Managed Identities'!$C$2:$C$201,$A405)&gt;0,"Yes","NOT IN INVENTORY"))</f>
        <v/>
      </c>
    </row>
    <row r="406" customFormat="false" ht="15" hidden="false" customHeight="false" outlineLevel="0" collapsed="false">
      <c r="A406" s="46"/>
      <c r="B406" s="47"/>
      <c r="C406" s="47"/>
      <c r="D406" s="46"/>
      <c r="E406" s="47"/>
      <c r="F406" s="47"/>
      <c r="G406" s="47"/>
      <c r="H406" s="46"/>
      <c r="I406" s="47"/>
      <c r="J406" s="47"/>
      <c r="K406" s="47"/>
      <c r="L406" s="47"/>
      <c r="M406" s="47"/>
      <c r="N406" s="47"/>
      <c r="O406" s="47"/>
      <c r="P406" s="45" t="str">
        <f aca="false">IF($A406="","",IF(COUNTIF(Accounts!$C$2:$C$201,$A406)+COUNTIF('Service Principals'!$C$2:$C$201,$A406)+COUNTIF('Managed Identities'!$C$2:$C$201,$A406)&gt;0,"Yes","NOT IN INVENTORY"))</f>
        <v/>
      </c>
    </row>
    <row r="407" customFormat="false" ht="15" hidden="false" customHeight="false" outlineLevel="0" collapsed="false">
      <c r="A407" s="46"/>
      <c r="B407" s="47"/>
      <c r="C407" s="47"/>
      <c r="D407" s="46"/>
      <c r="E407" s="47"/>
      <c r="F407" s="47"/>
      <c r="G407" s="47"/>
      <c r="H407" s="46"/>
      <c r="I407" s="47"/>
      <c r="J407" s="47"/>
      <c r="K407" s="47"/>
      <c r="L407" s="47"/>
      <c r="M407" s="47"/>
      <c r="N407" s="47"/>
      <c r="O407" s="47"/>
      <c r="P407" s="45" t="str">
        <f aca="false">IF($A407="","",IF(COUNTIF(Accounts!$C$2:$C$201,$A407)+COUNTIF('Service Principals'!$C$2:$C$201,$A407)+COUNTIF('Managed Identities'!$C$2:$C$201,$A407)&gt;0,"Yes","NOT IN INVENTORY"))</f>
        <v/>
      </c>
    </row>
    <row r="408" customFormat="false" ht="15" hidden="false" customHeight="false" outlineLevel="0" collapsed="false">
      <c r="A408" s="46"/>
      <c r="B408" s="47"/>
      <c r="C408" s="47"/>
      <c r="D408" s="46"/>
      <c r="E408" s="47"/>
      <c r="F408" s="47"/>
      <c r="G408" s="47"/>
      <c r="H408" s="46"/>
      <c r="I408" s="47"/>
      <c r="J408" s="47"/>
      <c r="K408" s="47"/>
      <c r="L408" s="47"/>
      <c r="M408" s="47"/>
      <c r="N408" s="47"/>
      <c r="O408" s="47"/>
      <c r="P408" s="45" t="str">
        <f aca="false">IF($A408="","",IF(COUNTIF(Accounts!$C$2:$C$201,$A408)+COUNTIF('Service Principals'!$C$2:$C$201,$A408)+COUNTIF('Managed Identities'!$C$2:$C$201,$A408)&gt;0,"Yes","NOT IN INVENTORY"))</f>
        <v/>
      </c>
    </row>
    <row r="409" customFormat="false" ht="15" hidden="false" customHeight="false" outlineLevel="0" collapsed="false">
      <c r="A409" s="46"/>
      <c r="B409" s="47"/>
      <c r="C409" s="47"/>
      <c r="D409" s="46"/>
      <c r="E409" s="47"/>
      <c r="F409" s="47"/>
      <c r="G409" s="47"/>
      <c r="H409" s="46"/>
      <c r="I409" s="47"/>
      <c r="J409" s="47"/>
      <c r="K409" s="47"/>
      <c r="L409" s="47"/>
      <c r="M409" s="47"/>
      <c r="N409" s="47"/>
      <c r="O409" s="47"/>
      <c r="P409" s="45" t="str">
        <f aca="false">IF($A409="","",IF(COUNTIF(Accounts!$C$2:$C$201,$A409)+COUNTIF('Service Principals'!$C$2:$C$201,$A409)+COUNTIF('Managed Identities'!$C$2:$C$201,$A409)&gt;0,"Yes","NOT IN INVENTORY"))</f>
        <v/>
      </c>
    </row>
    <row r="410" customFormat="false" ht="15" hidden="false" customHeight="false" outlineLevel="0" collapsed="false">
      <c r="A410" s="46"/>
      <c r="B410" s="47"/>
      <c r="C410" s="47"/>
      <c r="D410" s="46"/>
      <c r="E410" s="47"/>
      <c r="F410" s="47"/>
      <c r="G410" s="47"/>
      <c r="H410" s="46"/>
      <c r="I410" s="47"/>
      <c r="J410" s="47"/>
      <c r="K410" s="47"/>
      <c r="L410" s="47"/>
      <c r="M410" s="47"/>
      <c r="N410" s="47"/>
      <c r="O410" s="47"/>
      <c r="P410" s="45" t="str">
        <f aca="false">IF($A410="","",IF(COUNTIF(Accounts!$C$2:$C$201,$A410)+COUNTIF('Service Principals'!$C$2:$C$201,$A410)+COUNTIF('Managed Identities'!$C$2:$C$201,$A410)&gt;0,"Yes","NOT IN INVENTORY"))</f>
        <v/>
      </c>
    </row>
    <row r="411" customFormat="false" ht="15" hidden="false" customHeight="false" outlineLevel="0" collapsed="false">
      <c r="A411" s="46"/>
      <c r="B411" s="47"/>
      <c r="C411" s="47"/>
      <c r="D411" s="46"/>
      <c r="E411" s="47"/>
      <c r="F411" s="47"/>
      <c r="G411" s="47"/>
      <c r="H411" s="46"/>
      <c r="I411" s="47"/>
      <c r="J411" s="47"/>
      <c r="K411" s="47"/>
      <c r="L411" s="47"/>
      <c r="M411" s="47"/>
      <c r="N411" s="47"/>
      <c r="O411" s="47"/>
      <c r="P411" s="45" t="str">
        <f aca="false">IF($A411="","",IF(COUNTIF(Accounts!$C$2:$C$201,$A411)+COUNTIF('Service Principals'!$C$2:$C$201,$A411)+COUNTIF('Managed Identities'!$C$2:$C$201,$A411)&gt;0,"Yes","NOT IN INVENTORY"))</f>
        <v/>
      </c>
    </row>
    <row r="412" customFormat="false" ht="15" hidden="false" customHeight="false" outlineLevel="0" collapsed="false">
      <c r="A412" s="46"/>
      <c r="B412" s="47"/>
      <c r="C412" s="47"/>
      <c r="D412" s="46"/>
      <c r="E412" s="47"/>
      <c r="F412" s="47"/>
      <c r="G412" s="47"/>
      <c r="H412" s="46"/>
      <c r="I412" s="47"/>
      <c r="J412" s="47"/>
      <c r="K412" s="47"/>
      <c r="L412" s="47"/>
      <c r="M412" s="47"/>
      <c r="N412" s="47"/>
      <c r="O412" s="47"/>
      <c r="P412" s="45" t="str">
        <f aca="false">IF($A412="","",IF(COUNTIF(Accounts!$C$2:$C$201,$A412)+COUNTIF('Service Principals'!$C$2:$C$201,$A412)+COUNTIF('Managed Identities'!$C$2:$C$201,$A412)&gt;0,"Yes","NOT IN INVENTORY"))</f>
        <v/>
      </c>
    </row>
    <row r="413" customFormat="false" ht="15" hidden="false" customHeight="false" outlineLevel="0" collapsed="false">
      <c r="A413" s="46"/>
      <c r="B413" s="47"/>
      <c r="C413" s="47"/>
      <c r="D413" s="46"/>
      <c r="E413" s="47"/>
      <c r="F413" s="47"/>
      <c r="G413" s="47"/>
      <c r="H413" s="46"/>
      <c r="I413" s="47"/>
      <c r="J413" s="47"/>
      <c r="K413" s="47"/>
      <c r="L413" s="47"/>
      <c r="M413" s="47"/>
      <c r="N413" s="47"/>
      <c r="O413" s="47"/>
      <c r="P413" s="45" t="str">
        <f aca="false">IF($A413="","",IF(COUNTIF(Accounts!$C$2:$C$201,$A413)+COUNTIF('Service Principals'!$C$2:$C$201,$A413)+COUNTIF('Managed Identities'!$C$2:$C$201,$A413)&gt;0,"Yes","NOT IN INVENTORY"))</f>
        <v/>
      </c>
    </row>
    <row r="414" customFormat="false" ht="15" hidden="false" customHeight="false" outlineLevel="0" collapsed="false">
      <c r="A414" s="46"/>
      <c r="B414" s="47"/>
      <c r="C414" s="47"/>
      <c r="D414" s="46"/>
      <c r="E414" s="47"/>
      <c r="F414" s="47"/>
      <c r="G414" s="47"/>
      <c r="H414" s="46"/>
      <c r="I414" s="47"/>
      <c r="J414" s="47"/>
      <c r="K414" s="47"/>
      <c r="L414" s="47"/>
      <c r="M414" s="47"/>
      <c r="N414" s="47"/>
      <c r="O414" s="47"/>
      <c r="P414" s="45" t="str">
        <f aca="false">IF($A414="","",IF(COUNTIF(Accounts!$C$2:$C$201,$A414)+COUNTIF('Service Principals'!$C$2:$C$201,$A414)+COUNTIF('Managed Identities'!$C$2:$C$201,$A414)&gt;0,"Yes","NOT IN INVENTORY"))</f>
        <v/>
      </c>
    </row>
    <row r="415" customFormat="false" ht="15" hidden="false" customHeight="false" outlineLevel="0" collapsed="false">
      <c r="A415" s="46"/>
      <c r="B415" s="47"/>
      <c r="C415" s="47"/>
      <c r="D415" s="46"/>
      <c r="E415" s="47"/>
      <c r="F415" s="47"/>
      <c r="G415" s="47"/>
      <c r="H415" s="46"/>
      <c r="I415" s="47"/>
      <c r="J415" s="47"/>
      <c r="K415" s="47"/>
      <c r="L415" s="47"/>
      <c r="M415" s="47"/>
      <c r="N415" s="47"/>
      <c r="O415" s="47"/>
      <c r="P415" s="45" t="str">
        <f aca="false">IF($A415="","",IF(COUNTIF(Accounts!$C$2:$C$201,$A415)+COUNTIF('Service Principals'!$C$2:$C$201,$A415)+COUNTIF('Managed Identities'!$C$2:$C$201,$A415)&gt;0,"Yes","NOT IN INVENTORY"))</f>
        <v/>
      </c>
    </row>
    <row r="416" customFormat="false" ht="15" hidden="false" customHeight="false" outlineLevel="0" collapsed="false">
      <c r="A416" s="46"/>
      <c r="B416" s="47"/>
      <c r="C416" s="47"/>
      <c r="D416" s="46"/>
      <c r="E416" s="47"/>
      <c r="F416" s="47"/>
      <c r="G416" s="47"/>
      <c r="H416" s="46"/>
      <c r="I416" s="47"/>
      <c r="J416" s="47"/>
      <c r="K416" s="47"/>
      <c r="L416" s="47"/>
      <c r="M416" s="47"/>
      <c r="N416" s="47"/>
      <c r="O416" s="47"/>
      <c r="P416" s="45" t="str">
        <f aca="false">IF($A416="","",IF(COUNTIF(Accounts!$C$2:$C$201,$A416)+COUNTIF('Service Principals'!$C$2:$C$201,$A416)+COUNTIF('Managed Identities'!$C$2:$C$201,$A416)&gt;0,"Yes","NOT IN INVENTORY"))</f>
        <v/>
      </c>
    </row>
    <row r="417" customFormat="false" ht="15" hidden="false" customHeight="false" outlineLevel="0" collapsed="false">
      <c r="A417" s="46"/>
      <c r="B417" s="47"/>
      <c r="C417" s="47"/>
      <c r="D417" s="46"/>
      <c r="E417" s="47"/>
      <c r="F417" s="47"/>
      <c r="G417" s="47"/>
      <c r="H417" s="46"/>
      <c r="I417" s="47"/>
      <c r="J417" s="47"/>
      <c r="K417" s="47"/>
      <c r="L417" s="47"/>
      <c r="M417" s="47"/>
      <c r="N417" s="47"/>
      <c r="O417" s="47"/>
      <c r="P417" s="45" t="str">
        <f aca="false">IF($A417="","",IF(COUNTIF(Accounts!$C$2:$C$201,$A417)+COUNTIF('Service Principals'!$C$2:$C$201,$A417)+COUNTIF('Managed Identities'!$C$2:$C$201,$A417)&gt;0,"Yes","NOT IN INVENTORY"))</f>
        <v/>
      </c>
    </row>
    <row r="418" customFormat="false" ht="15" hidden="false" customHeight="false" outlineLevel="0" collapsed="false">
      <c r="A418" s="46"/>
      <c r="B418" s="47"/>
      <c r="C418" s="47"/>
      <c r="D418" s="46"/>
      <c r="E418" s="47"/>
      <c r="F418" s="47"/>
      <c r="G418" s="47"/>
      <c r="H418" s="46"/>
      <c r="I418" s="47"/>
      <c r="J418" s="47"/>
      <c r="K418" s="47"/>
      <c r="L418" s="47"/>
      <c r="M418" s="47"/>
      <c r="N418" s="47"/>
      <c r="O418" s="47"/>
      <c r="P418" s="45" t="str">
        <f aca="false">IF($A418="","",IF(COUNTIF(Accounts!$C$2:$C$201,$A418)+COUNTIF('Service Principals'!$C$2:$C$201,$A418)+COUNTIF('Managed Identities'!$C$2:$C$201,$A418)&gt;0,"Yes","NOT IN INVENTORY"))</f>
        <v/>
      </c>
    </row>
    <row r="419" customFormat="false" ht="15" hidden="false" customHeight="false" outlineLevel="0" collapsed="false">
      <c r="A419" s="46"/>
      <c r="B419" s="47"/>
      <c r="C419" s="47"/>
      <c r="D419" s="46"/>
      <c r="E419" s="47"/>
      <c r="F419" s="47"/>
      <c r="G419" s="47"/>
      <c r="H419" s="46"/>
      <c r="I419" s="47"/>
      <c r="J419" s="47"/>
      <c r="K419" s="47"/>
      <c r="L419" s="47"/>
      <c r="M419" s="47"/>
      <c r="N419" s="47"/>
      <c r="O419" s="47"/>
      <c r="P419" s="45" t="str">
        <f aca="false">IF($A419="","",IF(COUNTIF(Accounts!$C$2:$C$201,$A419)+COUNTIF('Service Principals'!$C$2:$C$201,$A419)+COUNTIF('Managed Identities'!$C$2:$C$201,$A419)&gt;0,"Yes","NOT IN INVENTORY"))</f>
        <v/>
      </c>
    </row>
    <row r="420" customFormat="false" ht="15" hidden="false" customHeight="false" outlineLevel="0" collapsed="false">
      <c r="A420" s="46"/>
      <c r="B420" s="47"/>
      <c r="C420" s="47"/>
      <c r="D420" s="46"/>
      <c r="E420" s="47"/>
      <c r="F420" s="47"/>
      <c r="G420" s="47"/>
      <c r="H420" s="46"/>
      <c r="I420" s="47"/>
      <c r="J420" s="47"/>
      <c r="K420" s="47"/>
      <c r="L420" s="47"/>
      <c r="M420" s="47"/>
      <c r="N420" s="47"/>
      <c r="O420" s="47"/>
      <c r="P420" s="45" t="str">
        <f aca="false">IF($A420="","",IF(COUNTIF(Accounts!$C$2:$C$201,$A420)+COUNTIF('Service Principals'!$C$2:$C$201,$A420)+COUNTIF('Managed Identities'!$C$2:$C$201,$A420)&gt;0,"Yes","NOT IN INVENTORY"))</f>
        <v/>
      </c>
    </row>
    <row r="421" customFormat="false" ht="15" hidden="false" customHeight="false" outlineLevel="0" collapsed="false">
      <c r="A421" s="46"/>
      <c r="B421" s="47"/>
      <c r="C421" s="47"/>
      <c r="D421" s="46"/>
      <c r="E421" s="47"/>
      <c r="F421" s="47"/>
      <c r="G421" s="47"/>
      <c r="H421" s="46"/>
      <c r="I421" s="47"/>
      <c r="J421" s="47"/>
      <c r="K421" s="47"/>
      <c r="L421" s="47"/>
      <c r="M421" s="47"/>
      <c r="N421" s="47"/>
      <c r="O421" s="47"/>
      <c r="P421" s="45" t="str">
        <f aca="false">IF($A421="","",IF(COUNTIF(Accounts!$C$2:$C$201,$A421)+COUNTIF('Service Principals'!$C$2:$C$201,$A421)+COUNTIF('Managed Identities'!$C$2:$C$201,$A421)&gt;0,"Yes","NOT IN INVENTORY"))</f>
        <v/>
      </c>
    </row>
    <row r="422" customFormat="false" ht="15" hidden="false" customHeight="false" outlineLevel="0" collapsed="false">
      <c r="A422" s="46"/>
      <c r="B422" s="47"/>
      <c r="C422" s="47"/>
      <c r="D422" s="46"/>
      <c r="E422" s="47"/>
      <c r="F422" s="47"/>
      <c r="G422" s="47"/>
      <c r="H422" s="46"/>
      <c r="I422" s="47"/>
      <c r="J422" s="47"/>
      <c r="K422" s="47"/>
      <c r="L422" s="47"/>
      <c r="M422" s="47"/>
      <c r="N422" s="47"/>
      <c r="O422" s="47"/>
      <c r="P422" s="45" t="str">
        <f aca="false">IF($A422="","",IF(COUNTIF(Accounts!$C$2:$C$201,$A422)+COUNTIF('Service Principals'!$C$2:$C$201,$A422)+COUNTIF('Managed Identities'!$C$2:$C$201,$A422)&gt;0,"Yes","NOT IN INVENTORY"))</f>
        <v/>
      </c>
    </row>
    <row r="423" customFormat="false" ht="15" hidden="false" customHeight="false" outlineLevel="0" collapsed="false">
      <c r="A423" s="46"/>
      <c r="B423" s="47"/>
      <c r="C423" s="47"/>
      <c r="D423" s="46"/>
      <c r="E423" s="47"/>
      <c r="F423" s="47"/>
      <c r="G423" s="47"/>
      <c r="H423" s="46"/>
      <c r="I423" s="47"/>
      <c r="J423" s="47"/>
      <c r="K423" s="47"/>
      <c r="L423" s="47"/>
      <c r="M423" s="47"/>
      <c r="N423" s="47"/>
      <c r="O423" s="47"/>
      <c r="P423" s="45" t="str">
        <f aca="false">IF($A423="","",IF(COUNTIF(Accounts!$C$2:$C$201,$A423)+COUNTIF('Service Principals'!$C$2:$C$201,$A423)+COUNTIF('Managed Identities'!$C$2:$C$201,$A423)&gt;0,"Yes","NOT IN INVENTORY"))</f>
        <v/>
      </c>
    </row>
    <row r="424" customFormat="false" ht="15" hidden="false" customHeight="false" outlineLevel="0" collapsed="false">
      <c r="A424" s="46"/>
      <c r="B424" s="47"/>
      <c r="C424" s="47"/>
      <c r="D424" s="46"/>
      <c r="E424" s="47"/>
      <c r="F424" s="47"/>
      <c r="G424" s="47"/>
      <c r="H424" s="46"/>
      <c r="I424" s="47"/>
      <c r="J424" s="47"/>
      <c r="K424" s="47"/>
      <c r="L424" s="47"/>
      <c r="M424" s="47"/>
      <c r="N424" s="47"/>
      <c r="O424" s="47"/>
      <c r="P424" s="45" t="str">
        <f aca="false">IF($A424="","",IF(COUNTIF(Accounts!$C$2:$C$201,$A424)+COUNTIF('Service Principals'!$C$2:$C$201,$A424)+COUNTIF('Managed Identities'!$C$2:$C$201,$A424)&gt;0,"Yes","NOT IN INVENTORY"))</f>
        <v/>
      </c>
    </row>
    <row r="425" customFormat="false" ht="15" hidden="false" customHeight="false" outlineLevel="0" collapsed="false">
      <c r="A425" s="46"/>
      <c r="B425" s="47"/>
      <c r="C425" s="47"/>
      <c r="D425" s="46"/>
      <c r="E425" s="47"/>
      <c r="F425" s="47"/>
      <c r="G425" s="47"/>
      <c r="H425" s="46"/>
      <c r="I425" s="47"/>
      <c r="J425" s="47"/>
      <c r="K425" s="47"/>
      <c r="L425" s="47"/>
      <c r="M425" s="47"/>
      <c r="N425" s="47"/>
      <c r="O425" s="47"/>
      <c r="P425" s="45" t="str">
        <f aca="false">IF($A425="","",IF(COUNTIF(Accounts!$C$2:$C$201,$A425)+COUNTIF('Service Principals'!$C$2:$C$201,$A425)+COUNTIF('Managed Identities'!$C$2:$C$201,$A425)&gt;0,"Yes","NOT IN INVENTORY"))</f>
        <v/>
      </c>
    </row>
    <row r="426" customFormat="false" ht="15" hidden="false" customHeight="false" outlineLevel="0" collapsed="false">
      <c r="A426" s="46"/>
      <c r="B426" s="47"/>
      <c r="C426" s="47"/>
      <c r="D426" s="46"/>
      <c r="E426" s="47"/>
      <c r="F426" s="47"/>
      <c r="G426" s="47"/>
      <c r="H426" s="46"/>
      <c r="I426" s="47"/>
      <c r="J426" s="47"/>
      <c r="K426" s="47"/>
      <c r="L426" s="47"/>
      <c r="M426" s="47"/>
      <c r="N426" s="47"/>
      <c r="O426" s="47"/>
      <c r="P426" s="45" t="str">
        <f aca="false">IF($A426="","",IF(COUNTIF(Accounts!$C$2:$C$201,$A426)+COUNTIF('Service Principals'!$C$2:$C$201,$A426)+COUNTIF('Managed Identities'!$C$2:$C$201,$A426)&gt;0,"Yes","NOT IN INVENTORY"))</f>
        <v/>
      </c>
    </row>
    <row r="427" customFormat="false" ht="15" hidden="false" customHeight="false" outlineLevel="0" collapsed="false">
      <c r="A427" s="46"/>
      <c r="B427" s="47"/>
      <c r="C427" s="47"/>
      <c r="D427" s="46"/>
      <c r="E427" s="47"/>
      <c r="F427" s="47"/>
      <c r="G427" s="47"/>
      <c r="H427" s="46"/>
      <c r="I427" s="47"/>
      <c r="J427" s="47"/>
      <c r="K427" s="47"/>
      <c r="L427" s="47"/>
      <c r="M427" s="47"/>
      <c r="N427" s="47"/>
      <c r="O427" s="47"/>
      <c r="P427" s="45" t="str">
        <f aca="false">IF($A427="","",IF(COUNTIF(Accounts!$C$2:$C$201,$A427)+COUNTIF('Service Principals'!$C$2:$C$201,$A427)+COUNTIF('Managed Identities'!$C$2:$C$201,$A427)&gt;0,"Yes","NOT IN INVENTORY"))</f>
        <v/>
      </c>
    </row>
    <row r="428" customFormat="false" ht="15" hidden="false" customHeight="false" outlineLevel="0" collapsed="false">
      <c r="A428" s="46"/>
      <c r="B428" s="47"/>
      <c r="C428" s="47"/>
      <c r="D428" s="46"/>
      <c r="E428" s="47"/>
      <c r="F428" s="47"/>
      <c r="G428" s="47"/>
      <c r="H428" s="46"/>
      <c r="I428" s="47"/>
      <c r="J428" s="47"/>
      <c r="K428" s="47"/>
      <c r="L428" s="47"/>
      <c r="M428" s="47"/>
      <c r="N428" s="47"/>
      <c r="O428" s="47"/>
      <c r="P428" s="45" t="str">
        <f aca="false">IF($A428="","",IF(COUNTIF(Accounts!$C$2:$C$201,$A428)+COUNTIF('Service Principals'!$C$2:$C$201,$A428)+COUNTIF('Managed Identities'!$C$2:$C$201,$A428)&gt;0,"Yes","NOT IN INVENTORY"))</f>
        <v/>
      </c>
    </row>
    <row r="429" customFormat="false" ht="15" hidden="false" customHeight="false" outlineLevel="0" collapsed="false">
      <c r="A429" s="46"/>
      <c r="B429" s="47"/>
      <c r="C429" s="47"/>
      <c r="D429" s="46"/>
      <c r="E429" s="47"/>
      <c r="F429" s="47"/>
      <c r="G429" s="47"/>
      <c r="H429" s="46"/>
      <c r="I429" s="47"/>
      <c r="J429" s="47"/>
      <c r="K429" s="47"/>
      <c r="L429" s="47"/>
      <c r="M429" s="47"/>
      <c r="N429" s="47"/>
      <c r="O429" s="47"/>
      <c r="P429" s="45" t="str">
        <f aca="false">IF($A429="","",IF(COUNTIF(Accounts!$C$2:$C$201,$A429)+COUNTIF('Service Principals'!$C$2:$C$201,$A429)+COUNTIF('Managed Identities'!$C$2:$C$201,$A429)&gt;0,"Yes","NOT IN INVENTORY"))</f>
        <v/>
      </c>
    </row>
    <row r="430" customFormat="false" ht="15" hidden="false" customHeight="false" outlineLevel="0" collapsed="false">
      <c r="A430" s="46"/>
      <c r="B430" s="47"/>
      <c r="C430" s="47"/>
      <c r="D430" s="46"/>
      <c r="E430" s="47"/>
      <c r="F430" s="47"/>
      <c r="G430" s="47"/>
      <c r="H430" s="46"/>
      <c r="I430" s="47"/>
      <c r="J430" s="47"/>
      <c r="K430" s="47"/>
      <c r="L430" s="47"/>
      <c r="M430" s="47"/>
      <c r="N430" s="47"/>
      <c r="O430" s="47"/>
      <c r="P430" s="45" t="str">
        <f aca="false">IF($A430="","",IF(COUNTIF(Accounts!$C$2:$C$201,$A430)+COUNTIF('Service Principals'!$C$2:$C$201,$A430)+COUNTIF('Managed Identities'!$C$2:$C$201,$A430)&gt;0,"Yes","NOT IN INVENTORY"))</f>
        <v/>
      </c>
    </row>
    <row r="431" customFormat="false" ht="15" hidden="false" customHeight="false" outlineLevel="0" collapsed="false">
      <c r="A431" s="46"/>
      <c r="B431" s="47"/>
      <c r="C431" s="47"/>
      <c r="D431" s="46"/>
      <c r="E431" s="47"/>
      <c r="F431" s="47"/>
      <c r="G431" s="47"/>
      <c r="H431" s="46"/>
      <c r="I431" s="47"/>
      <c r="J431" s="47"/>
      <c r="K431" s="47"/>
      <c r="L431" s="47"/>
      <c r="M431" s="47"/>
      <c r="N431" s="47"/>
      <c r="O431" s="47"/>
      <c r="P431" s="45" t="str">
        <f aca="false">IF($A431="","",IF(COUNTIF(Accounts!$C$2:$C$201,$A431)+COUNTIF('Service Principals'!$C$2:$C$201,$A431)+COUNTIF('Managed Identities'!$C$2:$C$201,$A431)&gt;0,"Yes","NOT IN INVENTORY"))</f>
        <v/>
      </c>
    </row>
    <row r="432" customFormat="false" ht="15" hidden="false" customHeight="false" outlineLevel="0" collapsed="false">
      <c r="A432" s="46"/>
      <c r="B432" s="47"/>
      <c r="C432" s="47"/>
      <c r="D432" s="46"/>
      <c r="E432" s="47"/>
      <c r="F432" s="47"/>
      <c r="G432" s="47"/>
      <c r="H432" s="46"/>
      <c r="I432" s="47"/>
      <c r="J432" s="47"/>
      <c r="K432" s="47"/>
      <c r="L432" s="47"/>
      <c r="M432" s="47"/>
      <c r="N432" s="47"/>
      <c r="O432" s="47"/>
      <c r="P432" s="45" t="str">
        <f aca="false">IF($A432="","",IF(COUNTIF(Accounts!$C$2:$C$201,$A432)+COUNTIF('Service Principals'!$C$2:$C$201,$A432)+COUNTIF('Managed Identities'!$C$2:$C$201,$A432)&gt;0,"Yes","NOT IN INVENTORY"))</f>
        <v/>
      </c>
    </row>
    <row r="433" customFormat="false" ht="15" hidden="false" customHeight="false" outlineLevel="0" collapsed="false">
      <c r="A433" s="46"/>
      <c r="B433" s="47"/>
      <c r="C433" s="47"/>
      <c r="D433" s="46"/>
      <c r="E433" s="47"/>
      <c r="F433" s="47"/>
      <c r="G433" s="47"/>
      <c r="H433" s="46"/>
      <c r="I433" s="47"/>
      <c r="J433" s="47"/>
      <c r="K433" s="47"/>
      <c r="L433" s="47"/>
      <c r="M433" s="47"/>
      <c r="N433" s="47"/>
      <c r="O433" s="47"/>
      <c r="P433" s="45" t="str">
        <f aca="false">IF($A433="","",IF(COUNTIF(Accounts!$C$2:$C$201,$A433)+COUNTIF('Service Principals'!$C$2:$C$201,$A433)+COUNTIF('Managed Identities'!$C$2:$C$201,$A433)&gt;0,"Yes","NOT IN INVENTORY"))</f>
        <v/>
      </c>
    </row>
    <row r="434" customFormat="false" ht="15" hidden="false" customHeight="false" outlineLevel="0" collapsed="false">
      <c r="A434" s="46"/>
      <c r="B434" s="47"/>
      <c r="C434" s="47"/>
      <c r="D434" s="46"/>
      <c r="E434" s="47"/>
      <c r="F434" s="47"/>
      <c r="G434" s="47"/>
      <c r="H434" s="46"/>
      <c r="I434" s="47"/>
      <c r="J434" s="47"/>
      <c r="K434" s="47"/>
      <c r="L434" s="47"/>
      <c r="M434" s="47"/>
      <c r="N434" s="47"/>
      <c r="O434" s="47"/>
      <c r="P434" s="45" t="str">
        <f aca="false">IF($A434="","",IF(COUNTIF(Accounts!$C$2:$C$201,$A434)+COUNTIF('Service Principals'!$C$2:$C$201,$A434)+COUNTIF('Managed Identities'!$C$2:$C$201,$A434)&gt;0,"Yes","NOT IN INVENTORY"))</f>
        <v/>
      </c>
    </row>
    <row r="435" customFormat="false" ht="15" hidden="false" customHeight="false" outlineLevel="0" collapsed="false">
      <c r="A435" s="46"/>
      <c r="B435" s="47"/>
      <c r="C435" s="47"/>
      <c r="D435" s="46"/>
      <c r="E435" s="47"/>
      <c r="F435" s="47"/>
      <c r="G435" s="47"/>
      <c r="H435" s="46"/>
      <c r="I435" s="47"/>
      <c r="J435" s="47"/>
      <c r="K435" s="47"/>
      <c r="L435" s="47"/>
      <c r="M435" s="47"/>
      <c r="N435" s="47"/>
      <c r="O435" s="47"/>
      <c r="P435" s="45" t="str">
        <f aca="false">IF($A435="","",IF(COUNTIF(Accounts!$C$2:$C$201,$A435)+COUNTIF('Service Principals'!$C$2:$C$201,$A435)+COUNTIF('Managed Identities'!$C$2:$C$201,$A435)&gt;0,"Yes","NOT IN INVENTORY"))</f>
        <v/>
      </c>
    </row>
    <row r="436" customFormat="false" ht="15" hidden="false" customHeight="false" outlineLevel="0" collapsed="false">
      <c r="A436" s="46"/>
      <c r="B436" s="47"/>
      <c r="C436" s="47"/>
      <c r="D436" s="46"/>
      <c r="E436" s="47"/>
      <c r="F436" s="47"/>
      <c r="G436" s="47"/>
      <c r="H436" s="46"/>
      <c r="I436" s="47"/>
      <c r="J436" s="47"/>
      <c r="K436" s="47"/>
      <c r="L436" s="47"/>
      <c r="M436" s="47"/>
      <c r="N436" s="47"/>
      <c r="O436" s="47"/>
      <c r="P436" s="45" t="str">
        <f aca="false">IF($A436="","",IF(COUNTIF(Accounts!$C$2:$C$201,$A436)+COUNTIF('Service Principals'!$C$2:$C$201,$A436)+COUNTIF('Managed Identities'!$C$2:$C$201,$A436)&gt;0,"Yes","NOT IN INVENTORY"))</f>
        <v/>
      </c>
    </row>
    <row r="437" customFormat="false" ht="15" hidden="false" customHeight="false" outlineLevel="0" collapsed="false">
      <c r="A437" s="46"/>
      <c r="B437" s="47"/>
      <c r="C437" s="47"/>
      <c r="D437" s="46"/>
      <c r="E437" s="47"/>
      <c r="F437" s="47"/>
      <c r="G437" s="47"/>
      <c r="H437" s="46"/>
      <c r="I437" s="47"/>
      <c r="J437" s="47"/>
      <c r="K437" s="47"/>
      <c r="L437" s="47"/>
      <c r="M437" s="47"/>
      <c r="N437" s="47"/>
      <c r="O437" s="47"/>
      <c r="P437" s="45" t="str">
        <f aca="false">IF($A437="","",IF(COUNTIF(Accounts!$C$2:$C$201,$A437)+COUNTIF('Service Principals'!$C$2:$C$201,$A437)+COUNTIF('Managed Identities'!$C$2:$C$201,$A437)&gt;0,"Yes","NOT IN INVENTORY"))</f>
        <v/>
      </c>
    </row>
    <row r="438" customFormat="false" ht="15" hidden="false" customHeight="false" outlineLevel="0" collapsed="false">
      <c r="A438" s="46"/>
      <c r="B438" s="47"/>
      <c r="C438" s="47"/>
      <c r="D438" s="46"/>
      <c r="E438" s="47"/>
      <c r="F438" s="47"/>
      <c r="G438" s="47"/>
      <c r="H438" s="46"/>
      <c r="I438" s="47"/>
      <c r="J438" s="47"/>
      <c r="K438" s="47"/>
      <c r="L438" s="47"/>
      <c r="M438" s="47"/>
      <c r="N438" s="47"/>
      <c r="O438" s="47"/>
      <c r="P438" s="45" t="str">
        <f aca="false">IF($A438="","",IF(COUNTIF(Accounts!$C$2:$C$201,$A438)+COUNTIF('Service Principals'!$C$2:$C$201,$A438)+COUNTIF('Managed Identities'!$C$2:$C$201,$A438)&gt;0,"Yes","NOT IN INVENTORY"))</f>
        <v/>
      </c>
    </row>
    <row r="439" customFormat="false" ht="15" hidden="false" customHeight="false" outlineLevel="0" collapsed="false">
      <c r="A439" s="46"/>
      <c r="B439" s="47"/>
      <c r="C439" s="47"/>
      <c r="D439" s="46"/>
      <c r="E439" s="47"/>
      <c r="F439" s="47"/>
      <c r="G439" s="47"/>
      <c r="H439" s="46"/>
      <c r="I439" s="47"/>
      <c r="J439" s="47"/>
      <c r="K439" s="47"/>
      <c r="L439" s="47"/>
      <c r="M439" s="47"/>
      <c r="N439" s="47"/>
      <c r="O439" s="47"/>
      <c r="P439" s="45" t="str">
        <f aca="false">IF($A439="","",IF(COUNTIF(Accounts!$C$2:$C$201,$A439)+COUNTIF('Service Principals'!$C$2:$C$201,$A439)+COUNTIF('Managed Identities'!$C$2:$C$201,$A439)&gt;0,"Yes","NOT IN INVENTORY"))</f>
        <v/>
      </c>
    </row>
    <row r="440" customFormat="false" ht="15" hidden="false" customHeight="false" outlineLevel="0" collapsed="false">
      <c r="A440" s="46"/>
      <c r="B440" s="47"/>
      <c r="C440" s="47"/>
      <c r="D440" s="46"/>
      <c r="E440" s="47"/>
      <c r="F440" s="47"/>
      <c r="G440" s="47"/>
      <c r="H440" s="46"/>
      <c r="I440" s="47"/>
      <c r="J440" s="47"/>
      <c r="K440" s="47"/>
      <c r="L440" s="47"/>
      <c r="M440" s="47"/>
      <c r="N440" s="47"/>
      <c r="O440" s="47"/>
      <c r="P440" s="45" t="str">
        <f aca="false">IF($A440="","",IF(COUNTIF(Accounts!$C$2:$C$201,$A440)+COUNTIF('Service Principals'!$C$2:$C$201,$A440)+COUNTIF('Managed Identities'!$C$2:$C$201,$A440)&gt;0,"Yes","NOT IN INVENTORY"))</f>
        <v/>
      </c>
    </row>
    <row r="441" customFormat="false" ht="15" hidden="false" customHeight="false" outlineLevel="0" collapsed="false">
      <c r="A441" s="46"/>
      <c r="B441" s="47"/>
      <c r="C441" s="47"/>
      <c r="D441" s="46"/>
      <c r="E441" s="47"/>
      <c r="F441" s="47"/>
      <c r="G441" s="47"/>
      <c r="H441" s="46"/>
      <c r="I441" s="47"/>
      <c r="J441" s="47"/>
      <c r="K441" s="47"/>
      <c r="L441" s="47"/>
      <c r="M441" s="47"/>
      <c r="N441" s="47"/>
      <c r="O441" s="47"/>
      <c r="P441" s="45" t="str">
        <f aca="false">IF($A441="","",IF(COUNTIF(Accounts!$C$2:$C$201,$A441)+COUNTIF('Service Principals'!$C$2:$C$201,$A441)+COUNTIF('Managed Identities'!$C$2:$C$201,$A441)&gt;0,"Yes","NOT IN INVENTORY"))</f>
        <v/>
      </c>
    </row>
    <row r="442" customFormat="false" ht="15" hidden="false" customHeight="false" outlineLevel="0" collapsed="false">
      <c r="A442" s="46"/>
      <c r="B442" s="47"/>
      <c r="C442" s="47"/>
      <c r="D442" s="46"/>
      <c r="E442" s="47"/>
      <c r="F442" s="47"/>
      <c r="G442" s="47"/>
      <c r="H442" s="46"/>
      <c r="I442" s="47"/>
      <c r="J442" s="47"/>
      <c r="K442" s="47"/>
      <c r="L442" s="47"/>
      <c r="M442" s="47"/>
      <c r="N442" s="47"/>
      <c r="O442" s="47"/>
      <c r="P442" s="45" t="str">
        <f aca="false">IF($A442="","",IF(COUNTIF(Accounts!$C$2:$C$201,$A442)+COUNTIF('Service Principals'!$C$2:$C$201,$A442)+COUNTIF('Managed Identities'!$C$2:$C$201,$A442)&gt;0,"Yes","NOT IN INVENTORY"))</f>
        <v/>
      </c>
    </row>
    <row r="443" customFormat="false" ht="15" hidden="false" customHeight="false" outlineLevel="0" collapsed="false">
      <c r="A443" s="46"/>
      <c r="B443" s="47"/>
      <c r="C443" s="47"/>
      <c r="D443" s="46"/>
      <c r="E443" s="47"/>
      <c r="F443" s="47"/>
      <c r="G443" s="47"/>
      <c r="H443" s="46"/>
      <c r="I443" s="47"/>
      <c r="J443" s="47"/>
      <c r="K443" s="47"/>
      <c r="L443" s="47"/>
      <c r="M443" s="47"/>
      <c r="N443" s="47"/>
      <c r="O443" s="47"/>
      <c r="P443" s="45" t="str">
        <f aca="false">IF($A443="","",IF(COUNTIF(Accounts!$C$2:$C$201,$A443)+COUNTIF('Service Principals'!$C$2:$C$201,$A443)+COUNTIF('Managed Identities'!$C$2:$C$201,$A443)&gt;0,"Yes","NOT IN INVENTORY"))</f>
        <v/>
      </c>
    </row>
    <row r="444" customFormat="false" ht="15" hidden="false" customHeight="false" outlineLevel="0" collapsed="false">
      <c r="A444" s="46"/>
      <c r="B444" s="47"/>
      <c r="C444" s="47"/>
      <c r="D444" s="46"/>
      <c r="E444" s="47"/>
      <c r="F444" s="47"/>
      <c r="G444" s="47"/>
      <c r="H444" s="46"/>
      <c r="I444" s="47"/>
      <c r="J444" s="47"/>
      <c r="K444" s="47"/>
      <c r="L444" s="47"/>
      <c r="M444" s="47"/>
      <c r="N444" s="47"/>
      <c r="O444" s="47"/>
      <c r="P444" s="45" t="str">
        <f aca="false">IF($A444="","",IF(COUNTIF(Accounts!$C$2:$C$201,$A444)+COUNTIF('Service Principals'!$C$2:$C$201,$A444)+COUNTIF('Managed Identities'!$C$2:$C$201,$A444)&gt;0,"Yes","NOT IN INVENTORY"))</f>
        <v/>
      </c>
    </row>
    <row r="445" customFormat="false" ht="15" hidden="false" customHeight="false" outlineLevel="0" collapsed="false">
      <c r="A445" s="46"/>
      <c r="B445" s="47"/>
      <c r="C445" s="47"/>
      <c r="D445" s="46"/>
      <c r="E445" s="47"/>
      <c r="F445" s="47"/>
      <c r="G445" s="47"/>
      <c r="H445" s="46"/>
      <c r="I445" s="47"/>
      <c r="J445" s="47"/>
      <c r="K445" s="47"/>
      <c r="L445" s="47"/>
      <c r="M445" s="47"/>
      <c r="N445" s="47"/>
      <c r="O445" s="47"/>
      <c r="P445" s="45" t="str">
        <f aca="false">IF($A445="","",IF(COUNTIF(Accounts!$C$2:$C$201,$A445)+COUNTIF('Service Principals'!$C$2:$C$201,$A445)+COUNTIF('Managed Identities'!$C$2:$C$201,$A445)&gt;0,"Yes","NOT IN INVENTORY"))</f>
        <v/>
      </c>
    </row>
    <row r="446" customFormat="false" ht="15" hidden="false" customHeight="false" outlineLevel="0" collapsed="false">
      <c r="A446" s="46"/>
      <c r="B446" s="47"/>
      <c r="C446" s="47"/>
      <c r="D446" s="46"/>
      <c r="E446" s="47"/>
      <c r="F446" s="47"/>
      <c r="G446" s="47"/>
      <c r="H446" s="46"/>
      <c r="I446" s="47"/>
      <c r="J446" s="47"/>
      <c r="K446" s="47"/>
      <c r="L446" s="47"/>
      <c r="M446" s="47"/>
      <c r="N446" s="47"/>
      <c r="O446" s="47"/>
      <c r="P446" s="45" t="str">
        <f aca="false">IF($A446="","",IF(COUNTIF(Accounts!$C$2:$C$201,$A446)+COUNTIF('Service Principals'!$C$2:$C$201,$A446)+COUNTIF('Managed Identities'!$C$2:$C$201,$A446)&gt;0,"Yes","NOT IN INVENTORY"))</f>
        <v/>
      </c>
    </row>
    <row r="447" customFormat="false" ht="15" hidden="false" customHeight="false" outlineLevel="0" collapsed="false">
      <c r="A447" s="46"/>
      <c r="B447" s="47"/>
      <c r="C447" s="47"/>
      <c r="D447" s="46"/>
      <c r="E447" s="47"/>
      <c r="F447" s="47"/>
      <c r="G447" s="47"/>
      <c r="H447" s="46"/>
      <c r="I447" s="47"/>
      <c r="J447" s="47"/>
      <c r="K447" s="47"/>
      <c r="L447" s="47"/>
      <c r="M447" s="47"/>
      <c r="N447" s="47"/>
      <c r="O447" s="47"/>
      <c r="P447" s="45" t="str">
        <f aca="false">IF($A447="","",IF(COUNTIF(Accounts!$C$2:$C$201,$A447)+COUNTIF('Service Principals'!$C$2:$C$201,$A447)+COUNTIF('Managed Identities'!$C$2:$C$201,$A447)&gt;0,"Yes","NOT IN INVENTORY"))</f>
        <v/>
      </c>
    </row>
    <row r="448" customFormat="false" ht="15" hidden="false" customHeight="false" outlineLevel="0" collapsed="false">
      <c r="A448" s="46"/>
      <c r="B448" s="47"/>
      <c r="C448" s="47"/>
      <c r="D448" s="46"/>
      <c r="E448" s="47"/>
      <c r="F448" s="47"/>
      <c r="G448" s="47"/>
      <c r="H448" s="46"/>
      <c r="I448" s="47"/>
      <c r="J448" s="47"/>
      <c r="K448" s="47"/>
      <c r="L448" s="47"/>
      <c r="M448" s="47"/>
      <c r="N448" s="47"/>
      <c r="O448" s="47"/>
      <c r="P448" s="45" t="str">
        <f aca="false">IF($A448="","",IF(COUNTIF(Accounts!$C$2:$C$201,$A448)+COUNTIF('Service Principals'!$C$2:$C$201,$A448)+COUNTIF('Managed Identities'!$C$2:$C$201,$A448)&gt;0,"Yes","NOT IN INVENTORY"))</f>
        <v/>
      </c>
    </row>
    <row r="449" customFormat="false" ht="15" hidden="false" customHeight="false" outlineLevel="0" collapsed="false">
      <c r="A449" s="46"/>
      <c r="B449" s="47"/>
      <c r="C449" s="47"/>
      <c r="D449" s="46"/>
      <c r="E449" s="47"/>
      <c r="F449" s="47"/>
      <c r="G449" s="47"/>
      <c r="H449" s="46"/>
      <c r="I449" s="47"/>
      <c r="J449" s="47"/>
      <c r="K449" s="47"/>
      <c r="L449" s="47"/>
      <c r="M449" s="47"/>
      <c r="N449" s="47"/>
      <c r="O449" s="47"/>
      <c r="P449" s="45" t="str">
        <f aca="false">IF($A449="","",IF(COUNTIF(Accounts!$C$2:$C$201,$A449)+COUNTIF('Service Principals'!$C$2:$C$201,$A449)+COUNTIF('Managed Identities'!$C$2:$C$201,$A449)&gt;0,"Yes","NOT IN INVENTORY"))</f>
        <v/>
      </c>
    </row>
    <row r="450" customFormat="false" ht="15" hidden="false" customHeight="false" outlineLevel="0" collapsed="false">
      <c r="A450" s="46"/>
      <c r="B450" s="47"/>
      <c r="C450" s="47"/>
      <c r="D450" s="46"/>
      <c r="E450" s="47"/>
      <c r="F450" s="47"/>
      <c r="G450" s="47"/>
      <c r="H450" s="46"/>
      <c r="I450" s="47"/>
      <c r="J450" s="47"/>
      <c r="K450" s="47"/>
      <c r="L450" s="47"/>
      <c r="M450" s="47"/>
      <c r="N450" s="47"/>
      <c r="O450" s="47"/>
      <c r="P450" s="45" t="str">
        <f aca="false">IF($A450="","",IF(COUNTIF(Accounts!$C$2:$C$201,$A450)+COUNTIF('Service Principals'!$C$2:$C$201,$A450)+COUNTIF('Managed Identities'!$C$2:$C$201,$A450)&gt;0,"Yes","NOT IN INVENTORY"))</f>
        <v/>
      </c>
    </row>
    <row r="451" customFormat="false" ht="15" hidden="false" customHeight="false" outlineLevel="0" collapsed="false">
      <c r="A451" s="46"/>
      <c r="B451" s="47"/>
      <c r="C451" s="47"/>
      <c r="D451" s="46"/>
      <c r="E451" s="47"/>
      <c r="F451" s="47"/>
      <c r="G451" s="47"/>
      <c r="H451" s="46"/>
      <c r="I451" s="47"/>
      <c r="J451" s="47"/>
      <c r="K451" s="47"/>
      <c r="L451" s="47"/>
      <c r="M451" s="47"/>
      <c r="N451" s="47"/>
      <c r="O451" s="47"/>
      <c r="P451" s="45" t="str">
        <f aca="false">IF($A451="","",IF(COUNTIF(Accounts!$C$2:$C$201,$A451)+COUNTIF('Service Principals'!$C$2:$C$201,$A451)+COUNTIF('Managed Identities'!$C$2:$C$201,$A451)&gt;0,"Yes","NOT IN INVENTORY"))</f>
        <v/>
      </c>
    </row>
    <row r="452" customFormat="false" ht="15" hidden="false" customHeight="false" outlineLevel="0" collapsed="false">
      <c r="A452" s="46"/>
      <c r="B452" s="47"/>
      <c r="C452" s="47"/>
      <c r="D452" s="46"/>
      <c r="E452" s="47"/>
      <c r="F452" s="47"/>
      <c r="G452" s="47"/>
      <c r="H452" s="46"/>
      <c r="I452" s="47"/>
      <c r="J452" s="47"/>
      <c r="K452" s="47"/>
      <c r="L452" s="47"/>
      <c r="M452" s="47"/>
      <c r="N452" s="47"/>
      <c r="O452" s="47"/>
      <c r="P452" s="45" t="str">
        <f aca="false">IF($A452="","",IF(COUNTIF(Accounts!$C$2:$C$201,$A452)+COUNTIF('Service Principals'!$C$2:$C$201,$A452)+COUNTIF('Managed Identities'!$C$2:$C$201,$A452)&gt;0,"Yes","NOT IN INVENTORY"))</f>
        <v/>
      </c>
    </row>
    <row r="453" customFormat="false" ht="15" hidden="false" customHeight="false" outlineLevel="0" collapsed="false">
      <c r="A453" s="46"/>
      <c r="B453" s="47"/>
      <c r="C453" s="47"/>
      <c r="D453" s="46"/>
      <c r="E453" s="47"/>
      <c r="F453" s="47"/>
      <c r="G453" s="47"/>
      <c r="H453" s="46"/>
      <c r="I453" s="47"/>
      <c r="J453" s="47"/>
      <c r="K453" s="47"/>
      <c r="L453" s="47"/>
      <c r="M453" s="47"/>
      <c r="N453" s="47"/>
      <c r="O453" s="47"/>
      <c r="P453" s="45" t="str">
        <f aca="false">IF($A453="","",IF(COUNTIF(Accounts!$C$2:$C$201,$A453)+COUNTIF('Service Principals'!$C$2:$C$201,$A453)+COUNTIF('Managed Identities'!$C$2:$C$201,$A453)&gt;0,"Yes","NOT IN INVENTORY"))</f>
        <v/>
      </c>
    </row>
    <row r="454" customFormat="false" ht="15" hidden="false" customHeight="false" outlineLevel="0" collapsed="false">
      <c r="A454" s="46"/>
      <c r="B454" s="47"/>
      <c r="C454" s="47"/>
      <c r="D454" s="46"/>
      <c r="E454" s="47"/>
      <c r="F454" s="47"/>
      <c r="G454" s="47"/>
      <c r="H454" s="46"/>
      <c r="I454" s="47"/>
      <c r="J454" s="47"/>
      <c r="K454" s="47"/>
      <c r="L454" s="47"/>
      <c r="M454" s="47"/>
      <c r="N454" s="47"/>
      <c r="O454" s="47"/>
      <c r="P454" s="45" t="str">
        <f aca="false">IF($A454="","",IF(COUNTIF(Accounts!$C$2:$C$201,$A454)+COUNTIF('Service Principals'!$C$2:$C$201,$A454)+COUNTIF('Managed Identities'!$C$2:$C$201,$A454)&gt;0,"Yes","NOT IN INVENTORY"))</f>
        <v/>
      </c>
    </row>
    <row r="455" customFormat="false" ht="15" hidden="false" customHeight="false" outlineLevel="0" collapsed="false">
      <c r="A455" s="46"/>
      <c r="B455" s="47"/>
      <c r="C455" s="47"/>
      <c r="D455" s="46"/>
      <c r="E455" s="47"/>
      <c r="F455" s="47"/>
      <c r="G455" s="47"/>
      <c r="H455" s="46"/>
      <c r="I455" s="47"/>
      <c r="J455" s="47"/>
      <c r="K455" s="47"/>
      <c r="L455" s="47"/>
      <c r="M455" s="47"/>
      <c r="N455" s="47"/>
      <c r="O455" s="47"/>
      <c r="P455" s="45" t="str">
        <f aca="false">IF($A455="","",IF(COUNTIF(Accounts!$C$2:$C$201,$A455)+COUNTIF('Service Principals'!$C$2:$C$201,$A455)+COUNTIF('Managed Identities'!$C$2:$C$201,$A455)&gt;0,"Yes","NOT IN INVENTORY"))</f>
        <v/>
      </c>
    </row>
    <row r="456" customFormat="false" ht="15" hidden="false" customHeight="false" outlineLevel="0" collapsed="false">
      <c r="A456" s="46"/>
      <c r="B456" s="47"/>
      <c r="C456" s="47"/>
      <c r="D456" s="46"/>
      <c r="E456" s="47"/>
      <c r="F456" s="47"/>
      <c r="G456" s="47"/>
      <c r="H456" s="46"/>
      <c r="I456" s="47"/>
      <c r="J456" s="47"/>
      <c r="K456" s="47"/>
      <c r="L456" s="47"/>
      <c r="M456" s="47"/>
      <c r="N456" s="47"/>
      <c r="O456" s="47"/>
      <c r="P456" s="45" t="str">
        <f aca="false">IF($A456="","",IF(COUNTIF(Accounts!$C$2:$C$201,$A456)+COUNTIF('Service Principals'!$C$2:$C$201,$A456)+COUNTIF('Managed Identities'!$C$2:$C$201,$A456)&gt;0,"Yes","NOT IN INVENTORY"))</f>
        <v/>
      </c>
    </row>
    <row r="457" customFormat="false" ht="15" hidden="false" customHeight="false" outlineLevel="0" collapsed="false">
      <c r="A457" s="46"/>
      <c r="B457" s="47"/>
      <c r="C457" s="47"/>
      <c r="D457" s="46"/>
      <c r="E457" s="47"/>
      <c r="F457" s="47"/>
      <c r="G457" s="47"/>
      <c r="H457" s="46"/>
      <c r="I457" s="47"/>
      <c r="J457" s="47"/>
      <c r="K457" s="47"/>
      <c r="L457" s="47"/>
      <c r="M457" s="47"/>
      <c r="N457" s="47"/>
      <c r="O457" s="47"/>
      <c r="P457" s="45" t="str">
        <f aca="false">IF($A457="","",IF(COUNTIF(Accounts!$C$2:$C$201,$A457)+COUNTIF('Service Principals'!$C$2:$C$201,$A457)+COUNTIF('Managed Identities'!$C$2:$C$201,$A457)&gt;0,"Yes","NOT IN INVENTORY"))</f>
        <v/>
      </c>
    </row>
    <row r="458" customFormat="false" ht="15" hidden="false" customHeight="false" outlineLevel="0" collapsed="false">
      <c r="A458" s="46"/>
      <c r="B458" s="47"/>
      <c r="C458" s="47"/>
      <c r="D458" s="46"/>
      <c r="E458" s="47"/>
      <c r="F458" s="47"/>
      <c r="G458" s="47"/>
      <c r="H458" s="46"/>
      <c r="I458" s="47"/>
      <c r="J458" s="47"/>
      <c r="K458" s="47"/>
      <c r="L458" s="47"/>
      <c r="M458" s="47"/>
      <c r="N458" s="47"/>
      <c r="O458" s="47"/>
      <c r="P458" s="45" t="str">
        <f aca="false">IF($A458="","",IF(COUNTIF(Accounts!$C$2:$C$201,$A458)+COUNTIF('Service Principals'!$C$2:$C$201,$A458)+COUNTIF('Managed Identities'!$C$2:$C$201,$A458)&gt;0,"Yes","NOT IN INVENTORY"))</f>
        <v/>
      </c>
    </row>
    <row r="459" customFormat="false" ht="15" hidden="false" customHeight="false" outlineLevel="0" collapsed="false">
      <c r="A459" s="46"/>
      <c r="B459" s="47"/>
      <c r="C459" s="47"/>
      <c r="D459" s="46"/>
      <c r="E459" s="47"/>
      <c r="F459" s="47"/>
      <c r="G459" s="47"/>
      <c r="H459" s="46"/>
      <c r="I459" s="47"/>
      <c r="J459" s="47"/>
      <c r="K459" s="47"/>
      <c r="L459" s="47"/>
      <c r="M459" s="47"/>
      <c r="N459" s="47"/>
      <c r="O459" s="47"/>
      <c r="P459" s="45" t="str">
        <f aca="false">IF($A459="","",IF(COUNTIF(Accounts!$C$2:$C$201,$A459)+COUNTIF('Service Principals'!$C$2:$C$201,$A459)+COUNTIF('Managed Identities'!$C$2:$C$201,$A459)&gt;0,"Yes","NOT IN INVENTORY"))</f>
        <v/>
      </c>
    </row>
    <row r="460" customFormat="false" ht="15" hidden="false" customHeight="false" outlineLevel="0" collapsed="false">
      <c r="A460" s="46"/>
      <c r="B460" s="47"/>
      <c r="C460" s="47"/>
      <c r="D460" s="46"/>
      <c r="E460" s="47"/>
      <c r="F460" s="47"/>
      <c r="G460" s="47"/>
      <c r="H460" s="46"/>
      <c r="I460" s="47"/>
      <c r="J460" s="47"/>
      <c r="K460" s="47"/>
      <c r="L460" s="47"/>
      <c r="M460" s="47"/>
      <c r="N460" s="47"/>
      <c r="O460" s="47"/>
      <c r="P460" s="45" t="str">
        <f aca="false">IF($A460="","",IF(COUNTIF(Accounts!$C$2:$C$201,$A460)+COUNTIF('Service Principals'!$C$2:$C$201,$A460)+COUNTIF('Managed Identities'!$C$2:$C$201,$A460)&gt;0,"Yes","NOT IN INVENTORY"))</f>
        <v/>
      </c>
    </row>
    <row r="461" customFormat="false" ht="15" hidden="false" customHeight="false" outlineLevel="0" collapsed="false">
      <c r="A461" s="46"/>
      <c r="B461" s="47"/>
      <c r="C461" s="47"/>
      <c r="D461" s="46"/>
      <c r="E461" s="47"/>
      <c r="F461" s="47"/>
      <c r="G461" s="47"/>
      <c r="H461" s="46"/>
      <c r="I461" s="47"/>
      <c r="J461" s="47"/>
      <c r="K461" s="47"/>
      <c r="L461" s="47"/>
      <c r="M461" s="47"/>
      <c r="N461" s="47"/>
      <c r="O461" s="47"/>
      <c r="P461" s="45" t="str">
        <f aca="false">IF($A461="","",IF(COUNTIF(Accounts!$C$2:$C$201,$A461)+COUNTIF('Service Principals'!$C$2:$C$201,$A461)+COUNTIF('Managed Identities'!$C$2:$C$201,$A461)&gt;0,"Yes","NOT IN INVENTORY"))</f>
        <v/>
      </c>
    </row>
    <row r="462" customFormat="false" ht="15" hidden="false" customHeight="false" outlineLevel="0" collapsed="false">
      <c r="A462" s="46"/>
      <c r="B462" s="47"/>
      <c r="C462" s="47"/>
      <c r="D462" s="46"/>
      <c r="E462" s="47"/>
      <c r="F462" s="47"/>
      <c r="G462" s="47"/>
      <c r="H462" s="46"/>
      <c r="I462" s="47"/>
      <c r="J462" s="47"/>
      <c r="K462" s="47"/>
      <c r="L462" s="47"/>
      <c r="M462" s="47"/>
      <c r="N462" s="47"/>
      <c r="O462" s="47"/>
      <c r="P462" s="45" t="str">
        <f aca="false">IF($A462="","",IF(COUNTIF(Accounts!$C$2:$C$201,$A462)+COUNTIF('Service Principals'!$C$2:$C$201,$A462)+COUNTIF('Managed Identities'!$C$2:$C$201,$A462)&gt;0,"Yes","NOT IN INVENTORY"))</f>
        <v/>
      </c>
    </row>
    <row r="463" customFormat="false" ht="15" hidden="false" customHeight="false" outlineLevel="0" collapsed="false">
      <c r="A463" s="46"/>
      <c r="B463" s="47"/>
      <c r="C463" s="47"/>
      <c r="D463" s="46"/>
      <c r="E463" s="47"/>
      <c r="F463" s="47"/>
      <c r="G463" s="47"/>
      <c r="H463" s="46"/>
      <c r="I463" s="47"/>
      <c r="J463" s="47"/>
      <c r="K463" s="47"/>
      <c r="L463" s="47"/>
      <c r="M463" s="47"/>
      <c r="N463" s="47"/>
      <c r="O463" s="47"/>
      <c r="P463" s="45" t="str">
        <f aca="false">IF($A463="","",IF(COUNTIF(Accounts!$C$2:$C$201,$A463)+COUNTIF('Service Principals'!$C$2:$C$201,$A463)+COUNTIF('Managed Identities'!$C$2:$C$201,$A463)&gt;0,"Yes","NOT IN INVENTORY"))</f>
        <v/>
      </c>
    </row>
    <row r="464" customFormat="false" ht="15" hidden="false" customHeight="false" outlineLevel="0" collapsed="false">
      <c r="A464" s="46"/>
      <c r="B464" s="47"/>
      <c r="C464" s="47"/>
      <c r="D464" s="46"/>
      <c r="E464" s="47"/>
      <c r="F464" s="47"/>
      <c r="G464" s="47"/>
      <c r="H464" s="46"/>
      <c r="I464" s="47"/>
      <c r="J464" s="47"/>
      <c r="K464" s="47"/>
      <c r="L464" s="47"/>
      <c r="M464" s="47"/>
      <c r="N464" s="47"/>
      <c r="O464" s="47"/>
      <c r="P464" s="45" t="str">
        <f aca="false">IF($A464="","",IF(COUNTIF(Accounts!$C$2:$C$201,$A464)+COUNTIF('Service Principals'!$C$2:$C$201,$A464)+COUNTIF('Managed Identities'!$C$2:$C$201,$A464)&gt;0,"Yes","NOT IN INVENTORY"))</f>
        <v/>
      </c>
    </row>
    <row r="465" customFormat="false" ht="15" hidden="false" customHeight="false" outlineLevel="0" collapsed="false">
      <c r="A465" s="46"/>
      <c r="B465" s="47"/>
      <c r="C465" s="47"/>
      <c r="D465" s="46"/>
      <c r="E465" s="47"/>
      <c r="F465" s="47"/>
      <c r="G465" s="47"/>
      <c r="H465" s="46"/>
      <c r="I465" s="47"/>
      <c r="J465" s="47"/>
      <c r="K465" s="47"/>
      <c r="L465" s="47"/>
      <c r="M465" s="47"/>
      <c r="N465" s="47"/>
      <c r="O465" s="47"/>
      <c r="P465" s="45" t="str">
        <f aca="false">IF($A465="","",IF(COUNTIF(Accounts!$C$2:$C$201,$A465)+COUNTIF('Service Principals'!$C$2:$C$201,$A465)+COUNTIF('Managed Identities'!$C$2:$C$201,$A465)&gt;0,"Yes","NOT IN INVENTORY"))</f>
        <v/>
      </c>
    </row>
    <row r="466" customFormat="false" ht="15" hidden="false" customHeight="false" outlineLevel="0" collapsed="false">
      <c r="A466" s="46"/>
      <c r="B466" s="47"/>
      <c r="C466" s="47"/>
      <c r="D466" s="46"/>
      <c r="E466" s="47"/>
      <c r="F466" s="47"/>
      <c r="G466" s="47"/>
      <c r="H466" s="46"/>
      <c r="I466" s="47"/>
      <c r="J466" s="47"/>
      <c r="K466" s="47"/>
      <c r="L466" s="47"/>
      <c r="M466" s="47"/>
      <c r="N466" s="47"/>
      <c r="O466" s="47"/>
      <c r="P466" s="45" t="str">
        <f aca="false">IF($A466="","",IF(COUNTIF(Accounts!$C$2:$C$201,$A466)+COUNTIF('Service Principals'!$C$2:$C$201,$A466)+COUNTIF('Managed Identities'!$C$2:$C$201,$A466)&gt;0,"Yes","NOT IN INVENTORY"))</f>
        <v/>
      </c>
    </row>
    <row r="467" customFormat="false" ht="15" hidden="false" customHeight="false" outlineLevel="0" collapsed="false">
      <c r="A467" s="46"/>
      <c r="B467" s="47"/>
      <c r="C467" s="47"/>
      <c r="D467" s="46"/>
      <c r="E467" s="47"/>
      <c r="F467" s="47"/>
      <c r="G467" s="47"/>
      <c r="H467" s="46"/>
      <c r="I467" s="47"/>
      <c r="J467" s="47"/>
      <c r="K467" s="47"/>
      <c r="L467" s="47"/>
      <c r="M467" s="47"/>
      <c r="N467" s="47"/>
      <c r="O467" s="47"/>
      <c r="P467" s="45" t="str">
        <f aca="false">IF($A467="","",IF(COUNTIF(Accounts!$C$2:$C$201,$A467)+COUNTIF('Service Principals'!$C$2:$C$201,$A467)+COUNTIF('Managed Identities'!$C$2:$C$201,$A467)&gt;0,"Yes","NOT IN INVENTORY"))</f>
        <v/>
      </c>
    </row>
    <row r="468" customFormat="false" ht="15" hidden="false" customHeight="false" outlineLevel="0" collapsed="false">
      <c r="A468" s="46"/>
      <c r="B468" s="47"/>
      <c r="C468" s="47"/>
      <c r="D468" s="46"/>
      <c r="E468" s="47"/>
      <c r="F468" s="47"/>
      <c r="G468" s="47"/>
      <c r="H468" s="46"/>
      <c r="I468" s="47"/>
      <c r="J468" s="47"/>
      <c r="K468" s="47"/>
      <c r="L468" s="47"/>
      <c r="M468" s="47"/>
      <c r="N468" s="47"/>
      <c r="O468" s="47"/>
      <c r="P468" s="45" t="str">
        <f aca="false">IF($A468="","",IF(COUNTIF(Accounts!$C$2:$C$201,$A468)+COUNTIF('Service Principals'!$C$2:$C$201,$A468)+COUNTIF('Managed Identities'!$C$2:$C$201,$A468)&gt;0,"Yes","NOT IN INVENTORY"))</f>
        <v/>
      </c>
    </row>
    <row r="469" customFormat="false" ht="15" hidden="false" customHeight="false" outlineLevel="0" collapsed="false">
      <c r="A469" s="46"/>
      <c r="B469" s="47"/>
      <c r="C469" s="47"/>
      <c r="D469" s="46"/>
      <c r="E469" s="47"/>
      <c r="F469" s="47"/>
      <c r="G469" s="47"/>
      <c r="H469" s="46"/>
      <c r="I469" s="47"/>
      <c r="J469" s="47"/>
      <c r="K469" s="47"/>
      <c r="L469" s="47"/>
      <c r="M469" s="47"/>
      <c r="N469" s="47"/>
      <c r="O469" s="47"/>
      <c r="P469" s="45" t="str">
        <f aca="false">IF($A469="","",IF(COUNTIF(Accounts!$C$2:$C$201,$A469)+COUNTIF('Service Principals'!$C$2:$C$201,$A469)+COUNTIF('Managed Identities'!$C$2:$C$201,$A469)&gt;0,"Yes","NOT IN INVENTORY"))</f>
        <v/>
      </c>
    </row>
    <row r="470" customFormat="false" ht="15" hidden="false" customHeight="false" outlineLevel="0" collapsed="false">
      <c r="A470" s="46"/>
      <c r="B470" s="47"/>
      <c r="C470" s="47"/>
      <c r="D470" s="46"/>
      <c r="E470" s="47"/>
      <c r="F470" s="47"/>
      <c r="G470" s="47"/>
      <c r="H470" s="46"/>
      <c r="I470" s="47"/>
      <c r="J470" s="47"/>
      <c r="K470" s="47"/>
      <c r="L470" s="47"/>
      <c r="M470" s="47"/>
      <c r="N470" s="47"/>
      <c r="O470" s="47"/>
      <c r="P470" s="45" t="str">
        <f aca="false">IF($A470="","",IF(COUNTIF(Accounts!$C$2:$C$201,$A470)+COUNTIF('Service Principals'!$C$2:$C$201,$A470)+COUNTIF('Managed Identities'!$C$2:$C$201,$A470)&gt;0,"Yes","NOT IN INVENTORY"))</f>
        <v/>
      </c>
    </row>
    <row r="471" customFormat="false" ht="15" hidden="false" customHeight="false" outlineLevel="0" collapsed="false">
      <c r="A471" s="46"/>
      <c r="B471" s="47"/>
      <c r="C471" s="47"/>
      <c r="D471" s="46"/>
      <c r="E471" s="47"/>
      <c r="F471" s="47"/>
      <c r="G471" s="47"/>
      <c r="H471" s="46"/>
      <c r="I471" s="47"/>
      <c r="J471" s="47"/>
      <c r="K471" s="47"/>
      <c r="L471" s="47"/>
      <c r="M471" s="47"/>
      <c r="N471" s="47"/>
      <c r="O471" s="47"/>
      <c r="P471" s="45" t="str">
        <f aca="false">IF($A471="","",IF(COUNTIF(Accounts!$C$2:$C$201,$A471)+COUNTIF('Service Principals'!$C$2:$C$201,$A471)+COUNTIF('Managed Identities'!$C$2:$C$201,$A471)&gt;0,"Yes","NOT IN INVENTORY"))</f>
        <v/>
      </c>
    </row>
    <row r="472" customFormat="false" ht="15" hidden="false" customHeight="false" outlineLevel="0" collapsed="false">
      <c r="A472" s="46"/>
      <c r="B472" s="47"/>
      <c r="C472" s="47"/>
      <c r="D472" s="46"/>
      <c r="E472" s="47"/>
      <c r="F472" s="47"/>
      <c r="G472" s="47"/>
      <c r="H472" s="46"/>
      <c r="I472" s="47"/>
      <c r="J472" s="47"/>
      <c r="K472" s="47"/>
      <c r="L472" s="47"/>
      <c r="M472" s="47"/>
      <c r="N472" s="47"/>
      <c r="O472" s="47"/>
      <c r="P472" s="45" t="str">
        <f aca="false">IF($A472="","",IF(COUNTIF(Accounts!$C$2:$C$201,$A472)+COUNTIF('Service Principals'!$C$2:$C$201,$A472)+COUNTIF('Managed Identities'!$C$2:$C$201,$A472)&gt;0,"Yes","NOT IN INVENTORY"))</f>
        <v/>
      </c>
    </row>
    <row r="473" customFormat="false" ht="15" hidden="false" customHeight="false" outlineLevel="0" collapsed="false">
      <c r="A473" s="46"/>
      <c r="B473" s="47"/>
      <c r="C473" s="47"/>
      <c r="D473" s="46"/>
      <c r="E473" s="47"/>
      <c r="F473" s="47"/>
      <c r="G473" s="47"/>
      <c r="H473" s="46"/>
      <c r="I473" s="47"/>
      <c r="J473" s="47"/>
      <c r="K473" s="47"/>
      <c r="L473" s="47"/>
      <c r="M473" s="47"/>
      <c r="N473" s="47"/>
      <c r="O473" s="47"/>
      <c r="P473" s="45" t="str">
        <f aca="false">IF($A473="","",IF(COUNTIF(Accounts!$C$2:$C$201,$A473)+COUNTIF('Service Principals'!$C$2:$C$201,$A473)+COUNTIF('Managed Identities'!$C$2:$C$201,$A473)&gt;0,"Yes","NOT IN INVENTORY"))</f>
        <v/>
      </c>
    </row>
    <row r="474" customFormat="false" ht="15" hidden="false" customHeight="false" outlineLevel="0" collapsed="false">
      <c r="A474" s="46"/>
      <c r="B474" s="47"/>
      <c r="C474" s="47"/>
      <c r="D474" s="46"/>
      <c r="E474" s="47"/>
      <c r="F474" s="47"/>
      <c r="G474" s="47"/>
      <c r="H474" s="46"/>
      <c r="I474" s="47"/>
      <c r="J474" s="47"/>
      <c r="K474" s="47"/>
      <c r="L474" s="47"/>
      <c r="M474" s="47"/>
      <c r="N474" s="47"/>
      <c r="O474" s="47"/>
      <c r="P474" s="45" t="str">
        <f aca="false">IF($A474="","",IF(COUNTIF(Accounts!$C$2:$C$201,$A474)+COUNTIF('Service Principals'!$C$2:$C$201,$A474)+COUNTIF('Managed Identities'!$C$2:$C$201,$A474)&gt;0,"Yes","NOT IN INVENTORY"))</f>
        <v/>
      </c>
    </row>
    <row r="475" customFormat="false" ht="15" hidden="false" customHeight="false" outlineLevel="0" collapsed="false">
      <c r="A475" s="46"/>
      <c r="B475" s="47"/>
      <c r="C475" s="47"/>
      <c r="D475" s="46"/>
      <c r="E475" s="47"/>
      <c r="F475" s="47"/>
      <c r="G475" s="47"/>
      <c r="H475" s="46"/>
      <c r="I475" s="47"/>
      <c r="J475" s="47"/>
      <c r="K475" s="47"/>
      <c r="L475" s="47"/>
      <c r="M475" s="47"/>
      <c r="N475" s="47"/>
      <c r="O475" s="47"/>
      <c r="P475" s="45" t="str">
        <f aca="false">IF($A475="","",IF(COUNTIF(Accounts!$C$2:$C$201,$A475)+COUNTIF('Service Principals'!$C$2:$C$201,$A475)+COUNTIF('Managed Identities'!$C$2:$C$201,$A475)&gt;0,"Yes","NOT IN INVENTORY"))</f>
        <v/>
      </c>
    </row>
    <row r="476" customFormat="false" ht="15" hidden="false" customHeight="false" outlineLevel="0" collapsed="false">
      <c r="A476" s="46"/>
      <c r="B476" s="47"/>
      <c r="C476" s="47"/>
      <c r="D476" s="46"/>
      <c r="E476" s="47"/>
      <c r="F476" s="47"/>
      <c r="G476" s="47"/>
      <c r="H476" s="46"/>
      <c r="I476" s="47"/>
      <c r="J476" s="47"/>
      <c r="K476" s="47"/>
      <c r="L476" s="47"/>
      <c r="M476" s="47"/>
      <c r="N476" s="47"/>
      <c r="O476" s="47"/>
      <c r="P476" s="45" t="str">
        <f aca="false">IF($A476="","",IF(COUNTIF(Accounts!$C$2:$C$201,$A476)+COUNTIF('Service Principals'!$C$2:$C$201,$A476)+COUNTIF('Managed Identities'!$C$2:$C$201,$A476)&gt;0,"Yes","NOT IN INVENTORY"))</f>
        <v/>
      </c>
    </row>
    <row r="477" customFormat="false" ht="15" hidden="false" customHeight="false" outlineLevel="0" collapsed="false">
      <c r="A477" s="46"/>
      <c r="B477" s="47"/>
      <c r="C477" s="47"/>
      <c r="D477" s="46"/>
      <c r="E477" s="47"/>
      <c r="F477" s="47"/>
      <c r="G477" s="47"/>
      <c r="H477" s="46"/>
      <c r="I477" s="47"/>
      <c r="J477" s="47"/>
      <c r="K477" s="47"/>
      <c r="L477" s="47"/>
      <c r="M477" s="47"/>
      <c r="N477" s="47"/>
      <c r="O477" s="47"/>
      <c r="P477" s="45" t="str">
        <f aca="false">IF($A477="","",IF(COUNTIF(Accounts!$C$2:$C$201,$A477)+COUNTIF('Service Principals'!$C$2:$C$201,$A477)+COUNTIF('Managed Identities'!$C$2:$C$201,$A477)&gt;0,"Yes","NOT IN INVENTORY"))</f>
        <v/>
      </c>
    </row>
    <row r="478" customFormat="false" ht="15" hidden="false" customHeight="false" outlineLevel="0" collapsed="false">
      <c r="A478" s="46"/>
      <c r="B478" s="47"/>
      <c r="C478" s="47"/>
      <c r="D478" s="46"/>
      <c r="E478" s="47"/>
      <c r="F478" s="47"/>
      <c r="G478" s="47"/>
      <c r="H478" s="46"/>
      <c r="I478" s="47"/>
      <c r="J478" s="47"/>
      <c r="K478" s="47"/>
      <c r="L478" s="47"/>
      <c r="M478" s="47"/>
      <c r="N478" s="47"/>
      <c r="O478" s="47"/>
      <c r="P478" s="45" t="str">
        <f aca="false">IF($A478="","",IF(COUNTIF(Accounts!$C$2:$C$201,$A478)+COUNTIF('Service Principals'!$C$2:$C$201,$A478)+COUNTIF('Managed Identities'!$C$2:$C$201,$A478)&gt;0,"Yes","NOT IN INVENTORY"))</f>
        <v/>
      </c>
    </row>
    <row r="479" customFormat="false" ht="15" hidden="false" customHeight="false" outlineLevel="0" collapsed="false">
      <c r="A479" s="46"/>
      <c r="B479" s="47"/>
      <c r="C479" s="47"/>
      <c r="D479" s="46"/>
      <c r="E479" s="47"/>
      <c r="F479" s="47"/>
      <c r="G479" s="47"/>
      <c r="H479" s="46"/>
      <c r="I479" s="47"/>
      <c r="J479" s="47"/>
      <c r="K479" s="47"/>
      <c r="L479" s="47"/>
      <c r="M479" s="47"/>
      <c r="N479" s="47"/>
      <c r="O479" s="47"/>
      <c r="P479" s="45" t="str">
        <f aca="false">IF($A479="","",IF(COUNTIF(Accounts!$C$2:$C$201,$A479)+COUNTIF('Service Principals'!$C$2:$C$201,$A479)+COUNTIF('Managed Identities'!$C$2:$C$201,$A479)&gt;0,"Yes","NOT IN INVENTORY"))</f>
        <v/>
      </c>
    </row>
    <row r="480" customFormat="false" ht="15" hidden="false" customHeight="false" outlineLevel="0" collapsed="false">
      <c r="A480" s="46"/>
      <c r="B480" s="47"/>
      <c r="C480" s="47"/>
      <c r="D480" s="46"/>
      <c r="E480" s="47"/>
      <c r="F480" s="47"/>
      <c r="G480" s="47"/>
      <c r="H480" s="46"/>
      <c r="I480" s="47"/>
      <c r="J480" s="47"/>
      <c r="K480" s="47"/>
      <c r="L480" s="47"/>
      <c r="M480" s="47"/>
      <c r="N480" s="47"/>
      <c r="O480" s="47"/>
      <c r="P480" s="45" t="str">
        <f aca="false">IF($A480="","",IF(COUNTIF(Accounts!$C$2:$C$201,$A480)+COUNTIF('Service Principals'!$C$2:$C$201,$A480)+COUNTIF('Managed Identities'!$C$2:$C$201,$A480)&gt;0,"Yes","NOT IN INVENTORY"))</f>
        <v/>
      </c>
    </row>
    <row r="481" customFormat="false" ht="15" hidden="false" customHeight="false" outlineLevel="0" collapsed="false">
      <c r="A481" s="46"/>
      <c r="B481" s="47"/>
      <c r="C481" s="47"/>
      <c r="D481" s="46"/>
      <c r="E481" s="47"/>
      <c r="F481" s="47"/>
      <c r="G481" s="47"/>
      <c r="H481" s="46"/>
      <c r="I481" s="47"/>
      <c r="J481" s="47"/>
      <c r="K481" s="47"/>
      <c r="L481" s="47"/>
      <c r="M481" s="47"/>
      <c r="N481" s="47"/>
      <c r="O481" s="47"/>
      <c r="P481" s="45" t="str">
        <f aca="false">IF($A481="","",IF(COUNTIF(Accounts!$C$2:$C$201,$A481)+COUNTIF('Service Principals'!$C$2:$C$201,$A481)+COUNTIF('Managed Identities'!$C$2:$C$201,$A481)&gt;0,"Yes","NOT IN INVENTORY"))</f>
        <v/>
      </c>
    </row>
    <row r="482" customFormat="false" ht="15" hidden="false" customHeight="false" outlineLevel="0" collapsed="false">
      <c r="A482" s="46"/>
      <c r="B482" s="47"/>
      <c r="C482" s="47"/>
      <c r="D482" s="46"/>
      <c r="E482" s="47"/>
      <c r="F482" s="47"/>
      <c r="G482" s="47"/>
      <c r="H482" s="46"/>
      <c r="I482" s="47"/>
      <c r="J482" s="47"/>
      <c r="K482" s="47"/>
      <c r="L482" s="47"/>
      <c r="M482" s="47"/>
      <c r="N482" s="47"/>
      <c r="O482" s="47"/>
      <c r="P482" s="45" t="str">
        <f aca="false">IF($A482="","",IF(COUNTIF(Accounts!$C$2:$C$201,$A482)+COUNTIF('Service Principals'!$C$2:$C$201,$A482)+COUNTIF('Managed Identities'!$C$2:$C$201,$A482)&gt;0,"Yes","NOT IN INVENTORY"))</f>
        <v/>
      </c>
    </row>
    <row r="483" customFormat="false" ht="15" hidden="false" customHeight="false" outlineLevel="0" collapsed="false">
      <c r="A483" s="46"/>
      <c r="B483" s="47"/>
      <c r="C483" s="47"/>
      <c r="D483" s="46"/>
      <c r="E483" s="47"/>
      <c r="F483" s="47"/>
      <c r="G483" s="47"/>
      <c r="H483" s="46"/>
      <c r="I483" s="47"/>
      <c r="J483" s="47"/>
      <c r="K483" s="47"/>
      <c r="L483" s="47"/>
      <c r="M483" s="47"/>
      <c r="N483" s="47"/>
      <c r="O483" s="47"/>
      <c r="P483" s="45" t="str">
        <f aca="false">IF($A483="","",IF(COUNTIF(Accounts!$C$2:$C$201,$A483)+COUNTIF('Service Principals'!$C$2:$C$201,$A483)+COUNTIF('Managed Identities'!$C$2:$C$201,$A483)&gt;0,"Yes","NOT IN INVENTORY"))</f>
        <v/>
      </c>
    </row>
    <row r="484" customFormat="false" ht="15" hidden="false" customHeight="false" outlineLevel="0" collapsed="false">
      <c r="A484" s="46"/>
      <c r="B484" s="47"/>
      <c r="C484" s="47"/>
      <c r="D484" s="46"/>
      <c r="E484" s="47"/>
      <c r="F484" s="47"/>
      <c r="G484" s="47"/>
      <c r="H484" s="46"/>
      <c r="I484" s="47"/>
      <c r="J484" s="47"/>
      <c r="K484" s="47"/>
      <c r="L484" s="47"/>
      <c r="M484" s="47"/>
      <c r="N484" s="47"/>
      <c r="O484" s="47"/>
      <c r="P484" s="45" t="str">
        <f aca="false">IF($A484="","",IF(COUNTIF(Accounts!$C$2:$C$201,$A484)+COUNTIF('Service Principals'!$C$2:$C$201,$A484)+COUNTIF('Managed Identities'!$C$2:$C$201,$A484)&gt;0,"Yes","NOT IN INVENTORY"))</f>
        <v/>
      </c>
    </row>
    <row r="485" customFormat="false" ht="15" hidden="false" customHeight="false" outlineLevel="0" collapsed="false">
      <c r="A485" s="46"/>
      <c r="B485" s="47"/>
      <c r="C485" s="47"/>
      <c r="D485" s="46"/>
      <c r="E485" s="47"/>
      <c r="F485" s="47"/>
      <c r="G485" s="47"/>
      <c r="H485" s="46"/>
      <c r="I485" s="47"/>
      <c r="J485" s="47"/>
      <c r="K485" s="47"/>
      <c r="L485" s="47"/>
      <c r="M485" s="47"/>
      <c r="N485" s="47"/>
      <c r="O485" s="47"/>
      <c r="P485" s="45" t="str">
        <f aca="false">IF($A485="","",IF(COUNTIF(Accounts!$C$2:$C$201,$A485)+COUNTIF('Service Principals'!$C$2:$C$201,$A485)+COUNTIF('Managed Identities'!$C$2:$C$201,$A485)&gt;0,"Yes","NOT IN INVENTORY"))</f>
        <v/>
      </c>
    </row>
    <row r="486" customFormat="false" ht="15" hidden="false" customHeight="false" outlineLevel="0" collapsed="false">
      <c r="A486" s="46"/>
      <c r="B486" s="47"/>
      <c r="C486" s="47"/>
      <c r="D486" s="46"/>
      <c r="E486" s="47"/>
      <c r="F486" s="47"/>
      <c r="G486" s="47"/>
      <c r="H486" s="46"/>
      <c r="I486" s="47"/>
      <c r="J486" s="47"/>
      <c r="K486" s="47"/>
      <c r="L486" s="47"/>
      <c r="M486" s="47"/>
      <c r="N486" s="47"/>
      <c r="O486" s="47"/>
      <c r="P486" s="45" t="str">
        <f aca="false">IF($A486="","",IF(COUNTIF(Accounts!$C$2:$C$201,$A486)+COUNTIF('Service Principals'!$C$2:$C$201,$A486)+COUNTIF('Managed Identities'!$C$2:$C$201,$A486)&gt;0,"Yes","NOT IN INVENTORY"))</f>
        <v/>
      </c>
    </row>
    <row r="487" customFormat="false" ht="15" hidden="false" customHeight="false" outlineLevel="0" collapsed="false">
      <c r="A487" s="46"/>
      <c r="B487" s="47"/>
      <c r="C487" s="47"/>
      <c r="D487" s="46"/>
      <c r="E487" s="47"/>
      <c r="F487" s="47"/>
      <c r="G487" s="47"/>
      <c r="H487" s="46"/>
      <c r="I487" s="47"/>
      <c r="J487" s="47"/>
      <c r="K487" s="47"/>
      <c r="L487" s="47"/>
      <c r="M487" s="47"/>
      <c r="N487" s="47"/>
      <c r="O487" s="47"/>
      <c r="P487" s="45" t="str">
        <f aca="false">IF($A487="","",IF(COUNTIF(Accounts!$C$2:$C$201,$A487)+COUNTIF('Service Principals'!$C$2:$C$201,$A487)+COUNTIF('Managed Identities'!$C$2:$C$201,$A487)&gt;0,"Yes","NOT IN INVENTORY"))</f>
        <v/>
      </c>
    </row>
    <row r="488" customFormat="false" ht="15" hidden="false" customHeight="false" outlineLevel="0" collapsed="false">
      <c r="A488" s="46"/>
      <c r="B488" s="47"/>
      <c r="C488" s="47"/>
      <c r="D488" s="46"/>
      <c r="E488" s="47"/>
      <c r="F488" s="47"/>
      <c r="G488" s="47"/>
      <c r="H488" s="46"/>
      <c r="I488" s="47"/>
      <c r="J488" s="47"/>
      <c r="K488" s="47"/>
      <c r="L488" s="47"/>
      <c r="M488" s="47"/>
      <c r="N488" s="47"/>
      <c r="O488" s="47"/>
      <c r="P488" s="45" t="str">
        <f aca="false">IF($A488="","",IF(COUNTIF(Accounts!$C$2:$C$201,$A488)+COUNTIF('Service Principals'!$C$2:$C$201,$A488)+COUNTIF('Managed Identities'!$C$2:$C$201,$A488)&gt;0,"Yes","NOT IN INVENTORY"))</f>
        <v/>
      </c>
    </row>
    <row r="489" customFormat="false" ht="15" hidden="false" customHeight="false" outlineLevel="0" collapsed="false">
      <c r="A489" s="46"/>
      <c r="B489" s="47"/>
      <c r="C489" s="47"/>
      <c r="D489" s="46"/>
      <c r="E489" s="47"/>
      <c r="F489" s="47"/>
      <c r="G489" s="47"/>
      <c r="H489" s="46"/>
      <c r="I489" s="47"/>
      <c r="J489" s="47"/>
      <c r="K489" s="47"/>
      <c r="L489" s="47"/>
      <c r="M489" s="47"/>
      <c r="N489" s="47"/>
      <c r="O489" s="47"/>
      <c r="P489" s="45" t="str">
        <f aca="false">IF($A489="","",IF(COUNTIF(Accounts!$C$2:$C$201,$A489)+COUNTIF('Service Principals'!$C$2:$C$201,$A489)+COUNTIF('Managed Identities'!$C$2:$C$201,$A489)&gt;0,"Yes","NOT IN INVENTORY"))</f>
        <v/>
      </c>
    </row>
    <row r="490" customFormat="false" ht="15" hidden="false" customHeight="false" outlineLevel="0" collapsed="false">
      <c r="A490" s="46"/>
      <c r="B490" s="47"/>
      <c r="C490" s="47"/>
      <c r="D490" s="46"/>
      <c r="E490" s="47"/>
      <c r="F490" s="47"/>
      <c r="G490" s="47"/>
      <c r="H490" s="46"/>
      <c r="I490" s="47"/>
      <c r="J490" s="47"/>
      <c r="K490" s="47"/>
      <c r="L490" s="47"/>
      <c r="M490" s="47"/>
      <c r="N490" s="47"/>
      <c r="O490" s="47"/>
      <c r="P490" s="45" t="str">
        <f aca="false">IF($A490="","",IF(COUNTIF(Accounts!$C$2:$C$201,$A490)+COUNTIF('Service Principals'!$C$2:$C$201,$A490)+COUNTIF('Managed Identities'!$C$2:$C$201,$A490)&gt;0,"Yes","NOT IN INVENTORY"))</f>
        <v/>
      </c>
    </row>
    <row r="491" customFormat="false" ht="15" hidden="false" customHeight="false" outlineLevel="0" collapsed="false">
      <c r="A491" s="46"/>
      <c r="B491" s="47"/>
      <c r="C491" s="47"/>
      <c r="D491" s="46"/>
      <c r="E491" s="47"/>
      <c r="F491" s="47"/>
      <c r="G491" s="47"/>
      <c r="H491" s="46"/>
      <c r="I491" s="47"/>
      <c r="J491" s="47"/>
      <c r="K491" s="47"/>
      <c r="L491" s="47"/>
      <c r="M491" s="47"/>
      <c r="N491" s="47"/>
      <c r="O491" s="47"/>
      <c r="P491" s="45" t="str">
        <f aca="false">IF($A491="","",IF(COUNTIF(Accounts!$C$2:$C$201,$A491)+COUNTIF('Service Principals'!$C$2:$C$201,$A491)+COUNTIF('Managed Identities'!$C$2:$C$201,$A491)&gt;0,"Yes","NOT IN INVENTORY"))</f>
        <v/>
      </c>
    </row>
    <row r="492" customFormat="false" ht="15" hidden="false" customHeight="false" outlineLevel="0" collapsed="false">
      <c r="A492" s="46"/>
      <c r="B492" s="47"/>
      <c r="C492" s="47"/>
      <c r="D492" s="46"/>
      <c r="E492" s="47"/>
      <c r="F492" s="47"/>
      <c r="G492" s="47"/>
      <c r="H492" s="46"/>
      <c r="I492" s="47"/>
      <c r="J492" s="47"/>
      <c r="K492" s="47"/>
      <c r="L492" s="47"/>
      <c r="M492" s="47"/>
      <c r="N492" s="47"/>
      <c r="O492" s="47"/>
      <c r="P492" s="45" t="str">
        <f aca="false">IF($A492="","",IF(COUNTIF(Accounts!$C$2:$C$201,$A492)+COUNTIF('Service Principals'!$C$2:$C$201,$A492)+COUNTIF('Managed Identities'!$C$2:$C$201,$A492)&gt;0,"Yes","NOT IN INVENTORY"))</f>
        <v/>
      </c>
    </row>
    <row r="493" customFormat="false" ht="15" hidden="false" customHeight="false" outlineLevel="0" collapsed="false">
      <c r="A493" s="46"/>
      <c r="B493" s="47"/>
      <c r="C493" s="47"/>
      <c r="D493" s="46"/>
      <c r="E493" s="47"/>
      <c r="F493" s="47"/>
      <c r="G493" s="47"/>
      <c r="H493" s="46"/>
      <c r="I493" s="47"/>
      <c r="J493" s="47"/>
      <c r="K493" s="47"/>
      <c r="L493" s="47"/>
      <c r="M493" s="47"/>
      <c r="N493" s="47"/>
      <c r="O493" s="47"/>
      <c r="P493" s="45" t="str">
        <f aca="false">IF($A493="","",IF(COUNTIF(Accounts!$C$2:$C$201,$A493)+COUNTIF('Service Principals'!$C$2:$C$201,$A493)+COUNTIF('Managed Identities'!$C$2:$C$201,$A493)&gt;0,"Yes","NOT IN INVENTORY"))</f>
        <v/>
      </c>
    </row>
    <row r="494" customFormat="false" ht="15" hidden="false" customHeight="false" outlineLevel="0" collapsed="false">
      <c r="A494" s="46"/>
      <c r="B494" s="47"/>
      <c r="C494" s="47"/>
      <c r="D494" s="46"/>
      <c r="E494" s="47"/>
      <c r="F494" s="47"/>
      <c r="G494" s="47"/>
      <c r="H494" s="46"/>
      <c r="I494" s="47"/>
      <c r="J494" s="47"/>
      <c r="K494" s="47"/>
      <c r="L494" s="47"/>
      <c r="M494" s="47"/>
      <c r="N494" s="47"/>
      <c r="O494" s="47"/>
      <c r="P494" s="45" t="str">
        <f aca="false">IF($A494="","",IF(COUNTIF(Accounts!$C$2:$C$201,$A494)+COUNTIF('Service Principals'!$C$2:$C$201,$A494)+COUNTIF('Managed Identities'!$C$2:$C$201,$A494)&gt;0,"Yes","NOT IN INVENTORY"))</f>
        <v/>
      </c>
    </row>
    <row r="495" customFormat="false" ht="15" hidden="false" customHeight="false" outlineLevel="0" collapsed="false">
      <c r="A495" s="46"/>
      <c r="B495" s="47"/>
      <c r="C495" s="47"/>
      <c r="D495" s="46"/>
      <c r="E495" s="47"/>
      <c r="F495" s="47"/>
      <c r="G495" s="47"/>
      <c r="H495" s="46"/>
      <c r="I495" s="47"/>
      <c r="J495" s="47"/>
      <c r="K495" s="47"/>
      <c r="L495" s="47"/>
      <c r="M495" s="47"/>
      <c r="N495" s="47"/>
      <c r="O495" s="47"/>
      <c r="P495" s="45" t="str">
        <f aca="false">IF($A495="","",IF(COUNTIF(Accounts!$C$2:$C$201,$A495)+COUNTIF('Service Principals'!$C$2:$C$201,$A495)+COUNTIF('Managed Identities'!$C$2:$C$201,$A495)&gt;0,"Yes","NOT IN INVENTORY"))</f>
        <v/>
      </c>
    </row>
    <row r="496" customFormat="false" ht="15" hidden="false" customHeight="false" outlineLevel="0" collapsed="false">
      <c r="A496" s="46"/>
      <c r="B496" s="47"/>
      <c r="C496" s="47"/>
      <c r="D496" s="46"/>
      <c r="E496" s="47"/>
      <c r="F496" s="47"/>
      <c r="G496" s="47"/>
      <c r="H496" s="46"/>
      <c r="I496" s="47"/>
      <c r="J496" s="47"/>
      <c r="K496" s="47"/>
      <c r="L496" s="47"/>
      <c r="M496" s="47"/>
      <c r="N496" s="47"/>
      <c r="O496" s="47"/>
      <c r="P496" s="45" t="str">
        <f aca="false">IF($A496="","",IF(COUNTIF(Accounts!$C$2:$C$201,$A496)+COUNTIF('Service Principals'!$C$2:$C$201,$A496)+COUNTIF('Managed Identities'!$C$2:$C$201,$A496)&gt;0,"Yes","NOT IN INVENTORY"))</f>
        <v/>
      </c>
    </row>
    <row r="497" customFormat="false" ht="15" hidden="false" customHeight="false" outlineLevel="0" collapsed="false">
      <c r="A497" s="46"/>
      <c r="B497" s="47"/>
      <c r="C497" s="47"/>
      <c r="D497" s="46"/>
      <c r="E497" s="47"/>
      <c r="F497" s="47"/>
      <c r="G497" s="47"/>
      <c r="H497" s="46"/>
      <c r="I497" s="47"/>
      <c r="J497" s="47"/>
      <c r="K497" s="47"/>
      <c r="L497" s="47"/>
      <c r="M497" s="47"/>
      <c r="N497" s="47"/>
      <c r="O497" s="47"/>
      <c r="P497" s="45" t="str">
        <f aca="false">IF($A497="","",IF(COUNTIF(Accounts!$C$2:$C$201,$A497)+COUNTIF('Service Principals'!$C$2:$C$201,$A497)+COUNTIF('Managed Identities'!$C$2:$C$201,$A497)&gt;0,"Yes","NOT IN INVENTORY"))</f>
        <v/>
      </c>
    </row>
    <row r="498" customFormat="false" ht="15" hidden="false" customHeight="false" outlineLevel="0" collapsed="false">
      <c r="A498" s="46"/>
      <c r="B498" s="47"/>
      <c r="C498" s="47"/>
      <c r="D498" s="46"/>
      <c r="E498" s="47"/>
      <c r="F498" s="47"/>
      <c r="G498" s="47"/>
      <c r="H498" s="46"/>
      <c r="I498" s="47"/>
      <c r="J498" s="47"/>
      <c r="K498" s="47"/>
      <c r="L498" s="47"/>
      <c r="M498" s="47"/>
      <c r="N498" s="47"/>
      <c r="O498" s="47"/>
      <c r="P498" s="45" t="str">
        <f aca="false">IF($A498="","",IF(COUNTIF(Accounts!$C$2:$C$201,$A498)+COUNTIF('Service Principals'!$C$2:$C$201,$A498)+COUNTIF('Managed Identities'!$C$2:$C$201,$A498)&gt;0,"Yes","NOT IN INVENTORY"))</f>
        <v/>
      </c>
    </row>
    <row r="499" customFormat="false" ht="15" hidden="false" customHeight="false" outlineLevel="0" collapsed="false">
      <c r="A499" s="46"/>
      <c r="B499" s="47"/>
      <c r="C499" s="47"/>
      <c r="D499" s="46"/>
      <c r="E499" s="47"/>
      <c r="F499" s="47"/>
      <c r="G499" s="47"/>
      <c r="H499" s="46"/>
      <c r="I499" s="47"/>
      <c r="J499" s="47"/>
      <c r="K499" s="47"/>
      <c r="L499" s="47"/>
      <c r="M499" s="47"/>
      <c r="N499" s="47"/>
      <c r="O499" s="47"/>
      <c r="P499" s="45" t="str">
        <f aca="false">IF($A499="","",IF(COUNTIF(Accounts!$C$2:$C$201,$A499)+COUNTIF('Service Principals'!$C$2:$C$201,$A499)+COUNTIF('Managed Identities'!$C$2:$C$201,$A499)&gt;0,"Yes","NOT IN INVENTORY"))</f>
        <v/>
      </c>
    </row>
    <row r="500" customFormat="false" ht="15" hidden="false" customHeight="false" outlineLevel="0" collapsed="false">
      <c r="A500" s="46"/>
      <c r="B500" s="47"/>
      <c r="C500" s="47"/>
      <c r="D500" s="46"/>
      <c r="E500" s="47"/>
      <c r="F500" s="47"/>
      <c r="G500" s="47"/>
      <c r="H500" s="46"/>
      <c r="I500" s="47"/>
      <c r="J500" s="47"/>
      <c r="K500" s="47"/>
      <c r="L500" s="47"/>
      <c r="M500" s="47"/>
      <c r="N500" s="47"/>
      <c r="O500" s="47"/>
      <c r="P500" s="45" t="str">
        <f aca="false">IF($A500="","",IF(COUNTIF(Accounts!$C$2:$C$201,$A500)+COUNTIF('Service Principals'!$C$2:$C$201,$A500)+COUNTIF('Managed Identities'!$C$2:$C$201,$A500)&gt;0,"Yes","NOT IN INVENTORY"))</f>
        <v/>
      </c>
    </row>
    <row r="501" customFormat="false" ht="15" hidden="false" customHeight="false" outlineLevel="0" collapsed="false">
      <c r="A501" s="46"/>
      <c r="B501" s="47"/>
      <c r="C501" s="47"/>
      <c r="D501" s="46"/>
      <c r="E501" s="47"/>
      <c r="F501" s="47"/>
      <c r="G501" s="47"/>
      <c r="H501" s="46"/>
      <c r="I501" s="47"/>
      <c r="J501" s="47"/>
      <c r="K501" s="47"/>
      <c r="L501" s="47"/>
      <c r="M501" s="47"/>
      <c r="N501" s="47"/>
      <c r="O501" s="47"/>
      <c r="P501" s="45" t="str">
        <f aca="false">IF($A501="","",IF(COUNTIF(Accounts!$C$2:$C$201,$A501)+COUNTIF('Service Principals'!$C$2:$C$201,$A501)+COUNTIF('Managed Identities'!$C$2:$C$201,$A501)&gt;0,"Yes","NOT IN INVENTORY"))</f>
        <v/>
      </c>
    </row>
    <row r="502" customFormat="false" ht="15" hidden="false" customHeight="false" outlineLevel="0" collapsed="false">
      <c r="A502" s="46"/>
      <c r="B502" s="47"/>
      <c r="C502" s="47"/>
      <c r="D502" s="46"/>
      <c r="E502" s="47"/>
      <c r="F502" s="47"/>
      <c r="G502" s="47"/>
      <c r="H502" s="46"/>
      <c r="I502" s="47"/>
      <c r="J502" s="47"/>
      <c r="K502" s="47"/>
      <c r="L502" s="47"/>
      <c r="M502" s="47"/>
      <c r="N502" s="47"/>
      <c r="O502" s="47"/>
      <c r="P502" s="45" t="str">
        <f aca="false">IF($A502="","",IF(COUNTIF(Accounts!$C$2:$C$201,$A502)+COUNTIF('Service Principals'!$C$2:$C$201,$A502)+COUNTIF('Managed Identities'!$C$2:$C$201,$A502)&gt;0,"Yes","NOT IN INVENTORY"))</f>
        <v/>
      </c>
    </row>
    <row r="503" customFormat="false" ht="15" hidden="false" customHeight="false" outlineLevel="0" collapsed="false">
      <c r="A503" s="46"/>
      <c r="B503" s="47"/>
      <c r="C503" s="47"/>
      <c r="D503" s="46"/>
      <c r="E503" s="47"/>
      <c r="F503" s="47"/>
      <c r="G503" s="47"/>
      <c r="H503" s="46"/>
      <c r="I503" s="47"/>
      <c r="J503" s="47"/>
      <c r="K503" s="47"/>
      <c r="L503" s="47"/>
      <c r="M503" s="47"/>
      <c r="N503" s="47"/>
      <c r="O503" s="47"/>
      <c r="P503" s="45" t="str">
        <f aca="false">IF($A503="","",IF(COUNTIF(Accounts!$C$2:$C$201,$A503)+COUNTIF('Service Principals'!$C$2:$C$201,$A503)+COUNTIF('Managed Identities'!$C$2:$C$201,$A503)&gt;0,"Yes","NOT IN INVENTORY"))</f>
        <v/>
      </c>
    </row>
    <row r="504" customFormat="false" ht="15" hidden="false" customHeight="false" outlineLevel="0" collapsed="false">
      <c r="A504" s="46"/>
      <c r="B504" s="47"/>
      <c r="C504" s="47"/>
      <c r="D504" s="46"/>
      <c r="E504" s="47"/>
      <c r="F504" s="47"/>
      <c r="G504" s="47"/>
      <c r="H504" s="46"/>
      <c r="I504" s="47"/>
      <c r="J504" s="47"/>
      <c r="K504" s="47"/>
      <c r="L504" s="47"/>
      <c r="M504" s="47"/>
      <c r="N504" s="47"/>
      <c r="O504" s="47"/>
      <c r="P504" s="45" t="str">
        <f aca="false">IF($A504="","",IF(COUNTIF(Accounts!$C$2:$C$201,$A504)+COUNTIF('Service Principals'!$C$2:$C$201,$A504)+COUNTIF('Managed Identities'!$C$2:$C$201,$A504)&gt;0,"Yes","NOT IN INVENTORY"))</f>
        <v/>
      </c>
    </row>
    <row r="505" customFormat="false" ht="15" hidden="false" customHeight="false" outlineLevel="0" collapsed="false">
      <c r="A505" s="46"/>
      <c r="B505" s="47"/>
      <c r="C505" s="47"/>
      <c r="D505" s="46"/>
      <c r="E505" s="47"/>
      <c r="F505" s="47"/>
      <c r="G505" s="47"/>
      <c r="H505" s="46"/>
      <c r="I505" s="47"/>
      <c r="J505" s="47"/>
      <c r="K505" s="47"/>
      <c r="L505" s="47"/>
      <c r="M505" s="47"/>
      <c r="N505" s="47"/>
      <c r="O505" s="47"/>
      <c r="P505" s="45" t="str">
        <f aca="false">IF($A505="","",IF(COUNTIF(Accounts!$C$2:$C$201,$A505)+COUNTIF('Service Principals'!$C$2:$C$201,$A505)+COUNTIF('Managed Identities'!$C$2:$C$201,$A505)&gt;0,"Yes","NOT IN INVENTORY"))</f>
        <v/>
      </c>
    </row>
    <row r="506" customFormat="false" ht="15" hidden="false" customHeight="false" outlineLevel="0" collapsed="false">
      <c r="A506" s="46"/>
      <c r="B506" s="47"/>
      <c r="C506" s="47"/>
      <c r="D506" s="46"/>
      <c r="E506" s="47"/>
      <c r="F506" s="47"/>
      <c r="G506" s="47"/>
      <c r="H506" s="46"/>
      <c r="I506" s="47"/>
      <c r="J506" s="47"/>
      <c r="K506" s="47"/>
      <c r="L506" s="47"/>
      <c r="M506" s="47"/>
      <c r="N506" s="47"/>
      <c r="O506" s="47"/>
      <c r="P506" s="45" t="str">
        <f aca="false">IF($A506="","",IF(COUNTIF(Accounts!$C$2:$C$201,$A506)+COUNTIF('Service Principals'!$C$2:$C$201,$A506)+COUNTIF('Managed Identities'!$C$2:$C$201,$A506)&gt;0,"Yes","NOT IN INVENTORY"))</f>
        <v/>
      </c>
    </row>
    <row r="507" customFormat="false" ht="15" hidden="false" customHeight="false" outlineLevel="0" collapsed="false">
      <c r="A507" s="46"/>
      <c r="B507" s="47"/>
      <c r="C507" s="47"/>
      <c r="D507" s="46"/>
      <c r="E507" s="47"/>
      <c r="F507" s="47"/>
      <c r="G507" s="47"/>
      <c r="H507" s="46"/>
      <c r="I507" s="47"/>
      <c r="J507" s="47"/>
      <c r="K507" s="47"/>
      <c r="L507" s="47"/>
      <c r="M507" s="47"/>
      <c r="N507" s="47"/>
      <c r="O507" s="47"/>
      <c r="P507" s="45" t="str">
        <f aca="false">IF($A507="","",IF(COUNTIF(Accounts!$C$2:$C$201,$A507)+COUNTIF('Service Principals'!$C$2:$C$201,$A507)+COUNTIF('Managed Identities'!$C$2:$C$201,$A507)&gt;0,"Yes","NOT IN INVENTORY"))</f>
        <v/>
      </c>
    </row>
    <row r="508" customFormat="false" ht="15" hidden="false" customHeight="false" outlineLevel="0" collapsed="false">
      <c r="A508" s="46"/>
      <c r="B508" s="47"/>
      <c r="C508" s="47"/>
      <c r="D508" s="46"/>
      <c r="E508" s="47"/>
      <c r="F508" s="47"/>
      <c r="G508" s="47"/>
      <c r="H508" s="46"/>
      <c r="I508" s="47"/>
      <c r="J508" s="47"/>
      <c r="K508" s="47"/>
      <c r="L508" s="47"/>
      <c r="M508" s="47"/>
      <c r="N508" s="47"/>
      <c r="O508" s="47"/>
      <c r="P508" s="45" t="str">
        <f aca="false">IF($A508="","",IF(COUNTIF(Accounts!$C$2:$C$201,$A508)+COUNTIF('Service Principals'!$C$2:$C$201,$A508)+COUNTIF('Managed Identities'!$C$2:$C$201,$A508)&gt;0,"Yes","NOT IN INVENTORY"))</f>
        <v/>
      </c>
    </row>
    <row r="509" customFormat="false" ht="15" hidden="false" customHeight="false" outlineLevel="0" collapsed="false">
      <c r="A509" s="46"/>
      <c r="B509" s="47"/>
      <c r="C509" s="47"/>
      <c r="D509" s="46"/>
      <c r="E509" s="47"/>
      <c r="F509" s="47"/>
      <c r="G509" s="47"/>
      <c r="H509" s="46"/>
      <c r="I509" s="47"/>
      <c r="J509" s="47"/>
      <c r="K509" s="47"/>
      <c r="L509" s="47"/>
      <c r="M509" s="47"/>
      <c r="N509" s="47"/>
      <c r="O509" s="47"/>
      <c r="P509" s="45" t="str">
        <f aca="false">IF($A509="","",IF(COUNTIF(Accounts!$C$2:$C$201,$A509)+COUNTIF('Service Principals'!$C$2:$C$201,$A509)+COUNTIF('Managed Identities'!$C$2:$C$201,$A509)&gt;0,"Yes","NOT IN INVENTORY"))</f>
        <v/>
      </c>
    </row>
    <row r="510" customFormat="false" ht="15" hidden="false" customHeight="false" outlineLevel="0" collapsed="false">
      <c r="A510" s="46"/>
      <c r="B510" s="47"/>
      <c r="C510" s="47"/>
      <c r="D510" s="46"/>
      <c r="E510" s="47"/>
      <c r="F510" s="47"/>
      <c r="G510" s="47"/>
      <c r="H510" s="46"/>
      <c r="I510" s="47"/>
      <c r="J510" s="47"/>
      <c r="K510" s="47"/>
      <c r="L510" s="47"/>
      <c r="M510" s="47"/>
      <c r="N510" s="47"/>
      <c r="O510" s="47"/>
      <c r="P510" s="45" t="str">
        <f aca="false">IF($A510="","",IF(COUNTIF(Accounts!$C$2:$C$201,$A510)+COUNTIF('Service Principals'!$C$2:$C$201,$A510)+COUNTIF('Managed Identities'!$C$2:$C$201,$A510)&gt;0,"Yes","NOT IN INVENTORY"))</f>
        <v/>
      </c>
    </row>
    <row r="511" customFormat="false" ht="15" hidden="false" customHeight="false" outlineLevel="0" collapsed="false">
      <c r="A511" s="46"/>
      <c r="B511" s="47"/>
      <c r="C511" s="47"/>
      <c r="D511" s="46"/>
      <c r="E511" s="47"/>
      <c r="F511" s="47"/>
      <c r="G511" s="47"/>
      <c r="H511" s="46"/>
      <c r="I511" s="47"/>
      <c r="J511" s="47"/>
      <c r="K511" s="47"/>
      <c r="L511" s="47"/>
      <c r="M511" s="47"/>
      <c r="N511" s="47"/>
      <c r="O511" s="47"/>
      <c r="P511" s="45" t="str">
        <f aca="false">IF($A511="","",IF(COUNTIF(Accounts!$C$2:$C$201,$A511)+COUNTIF('Service Principals'!$C$2:$C$201,$A511)+COUNTIF('Managed Identities'!$C$2:$C$201,$A511)&gt;0,"Yes","NOT IN INVENTORY"))</f>
        <v/>
      </c>
    </row>
    <row r="512" customFormat="false" ht="15" hidden="false" customHeight="false" outlineLevel="0" collapsed="false">
      <c r="A512" s="46"/>
      <c r="B512" s="47"/>
      <c r="C512" s="47"/>
      <c r="D512" s="46"/>
      <c r="E512" s="47"/>
      <c r="F512" s="47"/>
      <c r="G512" s="47"/>
      <c r="H512" s="46"/>
      <c r="I512" s="47"/>
      <c r="J512" s="47"/>
      <c r="K512" s="47"/>
      <c r="L512" s="47"/>
      <c r="M512" s="47"/>
      <c r="N512" s="47"/>
      <c r="O512" s="47"/>
      <c r="P512" s="45" t="str">
        <f aca="false">IF($A512="","",IF(COUNTIF(Accounts!$C$2:$C$201,$A512)+COUNTIF('Service Principals'!$C$2:$C$201,$A512)+COUNTIF('Managed Identities'!$C$2:$C$201,$A512)&gt;0,"Yes","NOT IN INVENTORY"))</f>
        <v/>
      </c>
    </row>
    <row r="513" customFormat="false" ht="15" hidden="false" customHeight="false" outlineLevel="0" collapsed="false">
      <c r="A513" s="46"/>
      <c r="B513" s="47"/>
      <c r="C513" s="47"/>
      <c r="D513" s="46"/>
      <c r="E513" s="47"/>
      <c r="F513" s="47"/>
      <c r="G513" s="47"/>
      <c r="H513" s="46"/>
      <c r="I513" s="47"/>
      <c r="J513" s="47"/>
      <c r="K513" s="47"/>
      <c r="L513" s="47"/>
      <c r="M513" s="47"/>
      <c r="N513" s="47"/>
      <c r="O513" s="47"/>
      <c r="P513" s="45" t="str">
        <f aca="false">IF($A513="","",IF(COUNTIF(Accounts!$C$2:$C$201,$A513)+COUNTIF('Service Principals'!$C$2:$C$201,$A513)+COUNTIF('Managed Identities'!$C$2:$C$201,$A513)&gt;0,"Yes","NOT IN INVENTORY"))</f>
        <v/>
      </c>
    </row>
    <row r="514" customFormat="false" ht="15" hidden="false" customHeight="false" outlineLevel="0" collapsed="false">
      <c r="A514" s="46"/>
      <c r="B514" s="47"/>
      <c r="C514" s="47"/>
      <c r="D514" s="46"/>
      <c r="E514" s="47"/>
      <c r="F514" s="47"/>
      <c r="G514" s="47"/>
      <c r="H514" s="46"/>
      <c r="I514" s="47"/>
      <c r="J514" s="47"/>
      <c r="K514" s="47"/>
      <c r="L514" s="47"/>
      <c r="M514" s="47"/>
      <c r="N514" s="47"/>
      <c r="O514" s="47"/>
      <c r="P514" s="45" t="str">
        <f aca="false">IF($A514="","",IF(COUNTIF(Accounts!$C$2:$C$201,$A514)+COUNTIF('Service Principals'!$C$2:$C$201,$A514)+COUNTIF('Managed Identities'!$C$2:$C$201,$A514)&gt;0,"Yes","NOT IN INVENTORY"))</f>
        <v/>
      </c>
    </row>
    <row r="515" customFormat="false" ht="15" hidden="false" customHeight="false" outlineLevel="0" collapsed="false">
      <c r="A515" s="46"/>
      <c r="B515" s="47"/>
      <c r="C515" s="47"/>
      <c r="D515" s="46"/>
      <c r="E515" s="47"/>
      <c r="F515" s="47"/>
      <c r="G515" s="47"/>
      <c r="H515" s="46"/>
      <c r="I515" s="47"/>
      <c r="J515" s="47"/>
      <c r="K515" s="47"/>
      <c r="L515" s="47"/>
      <c r="M515" s="47"/>
      <c r="N515" s="47"/>
      <c r="O515" s="47"/>
      <c r="P515" s="45" t="str">
        <f aca="false">IF($A515="","",IF(COUNTIF(Accounts!$C$2:$C$201,$A515)+COUNTIF('Service Principals'!$C$2:$C$201,$A515)+COUNTIF('Managed Identities'!$C$2:$C$201,$A515)&gt;0,"Yes","NOT IN INVENTORY"))</f>
        <v/>
      </c>
    </row>
    <row r="516" customFormat="false" ht="15" hidden="false" customHeight="false" outlineLevel="0" collapsed="false">
      <c r="A516" s="46"/>
      <c r="B516" s="47"/>
      <c r="C516" s="47"/>
      <c r="D516" s="46"/>
      <c r="E516" s="47"/>
      <c r="F516" s="47"/>
      <c r="G516" s="47"/>
      <c r="H516" s="46"/>
      <c r="I516" s="47"/>
      <c r="J516" s="47"/>
      <c r="K516" s="47"/>
      <c r="L516" s="47"/>
      <c r="M516" s="47"/>
      <c r="N516" s="47"/>
      <c r="O516" s="47"/>
      <c r="P516" s="45" t="str">
        <f aca="false">IF($A516="","",IF(COUNTIF(Accounts!$C$2:$C$201,$A516)+COUNTIF('Service Principals'!$C$2:$C$201,$A516)+COUNTIF('Managed Identities'!$C$2:$C$201,$A516)&gt;0,"Yes","NOT IN INVENTORY"))</f>
        <v/>
      </c>
    </row>
    <row r="517" customFormat="false" ht="15" hidden="false" customHeight="false" outlineLevel="0" collapsed="false">
      <c r="A517" s="46"/>
      <c r="B517" s="47"/>
      <c r="C517" s="47"/>
      <c r="D517" s="46"/>
      <c r="E517" s="47"/>
      <c r="F517" s="47"/>
      <c r="G517" s="47"/>
      <c r="H517" s="46"/>
      <c r="I517" s="47"/>
      <c r="J517" s="47"/>
      <c r="K517" s="47"/>
      <c r="L517" s="47"/>
      <c r="M517" s="47"/>
      <c r="N517" s="47"/>
      <c r="O517" s="47"/>
      <c r="P517" s="45" t="str">
        <f aca="false">IF($A517="","",IF(COUNTIF(Accounts!$C$2:$C$201,$A517)+COUNTIF('Service Principals'!$C$2:$C$201,$A517)+COUNTIF('Managed Identities'!$C$2:$C$201,$A517)&gt;0,"Yes","NOT IN INVENTORY"))</f>
        <v/>
      </c>
    </row>
    <row r="518" customFormat="false" ht="15" hidden="false" customHeight="false" outlineLevel="0" collapsed="false">
      <c r="A518" s="46"/>
      <c r="B518" s="47"/>
      <c r="C518" s="47"/>
      <c r="D518" s="46"/>
      <c r="E518" s="47"/>
      <c r="F518" s="47"/>
      <c r="G518" s="47"/>
      <c r="H518" s="46"/>
      <c r="I518" s="47"/>
      <c r="J518" s="47"/>
      <c r="K518" s="47"/>
      <c r="L518" s="47"/>
      <c r="M518" s="47"/>
      <c r="N518" s="47"/>
      <c r="O518" s="47"/>
      <c r="P518" s="45" t="str">
        <f aca="false">IF($A518="","",IF(COUNTIF(Accounts!$C$2:$C$201,$A518)+COUNTIF('Service Principals'!$C$2:$C$201,$A518)+COUNTIF('Managed Identities'!$C$2:$C$201,$A518)&gt;0,"Yes","NOT IN INVENTORY"))</f>
        <v/>
      </c>
    </row>
    <row r="519" customFormat="false" ht="15" hidden="false" customHeight="false" outlineLevel="0" collapsed="false">
      <c r="A519" s="46"/>
      <c r="B519" s="47"/>
      <c r="C519" s="47"/>
      <c r="D519" s="46"/>
      <c r="E519" s="47"/>
      <c r="F519" s="47"/>
      <c r="G519" s="47"/>
      <c r="H519" s="46"/>
      <c r="I519" s="47"/>
      <c r="J519" s="47"/>
      <c r="K519" s="47"/>
      <c r="L519" s="47"/>
      <c r="M519" s="47"/>
      <c r="N519" s="47"/>
      <c r="O519" s="47"/>
      <c r="P519" s="45" t="str">
        <f aca="false">IF($A519="","",IF(COUNTIF(Accounts!$C$2:$C$201,$A519)+COUNTIF('Service Principals'!$C$2:$C$201,$A519)+COUNTIF('Managed Identities'!$C$2:$C$201,$A519)&gt;0,"Yes","NOT IN INVENTORY"))</f>
        <v/>
      </c>
    </row>
    <row r="520" customFormat="false" ht="15" hidden="false" customHeight="false" outlineLevel="0" collapsed="false">
      <c r="A520" s="46"/>
      <c r="B520" s="47"/>
      <c r="C520" s="47"/>
      <c r="D520" s="46"/>
      <c r="E520" s="47"/>
      <c r="F520" s="47"/>
      <c r="G520" s="47"/>
      <c r="H520" s="46"/>
      <c r="I520" s="47"/>
      <c r="J520" s="47"/>
      <c r="K520" s="47"/>
      <c r="L520" s="47"/>
      <c r="M520" s="47"/>
      <c r="N520" s="47"/>
      <c r="O520" s="47"/>
      <c r="P520" s="45" t="str">
        <f aca="false">IF($A520="","",IF(COUNTIF(Accounts!$C$2:$C$201,$A520)+COUNTIF('Service Principals'!$C$2:$C$201,$A520)+COUNTIF('Managed Identities'!$C$2:$C$201,$A520)&gt;0,"Yes","NOT IN INVENTORY"))</f>
        <v/>
      </c>
    </row>
    <row r="521" customFormat="false" ht="15" hidden="false" customHeight="false" outlineLevel="0" collapsed="false">
      <c r="A521" s="46"/>
      <c r="B521" s="47"/>
      <c r="C521" s="47"/>
      <c r="D521" s="46"/>
      <c r="E521" s="47"/>
      <c r="F521" s="47"/>
      <c r="G521" s="47"/>
      <c r="H521" s="46"/>
      <c r="I521" s="47"/>
      <c r="J521" s="47"/>
      <c r="K521" s="47"/>
      <c r="L521" s="47"/>
      <c r="M521" s="47"/>
      <c r="N521" s="47"/>
      <c r="O521" s="47"/>
      <c r="P521" s="45" t="str">
        <f aca="false">IF($A521="","",IF(COUNTIF(Accounts!$C$2:$C$201,$A521)+COUNTIF('Service Principals'!$C$2:$C$201,$A521)+COUNTIF('Managed Identities'!$C$2:$C$201,$A521)&gt;0,"Yes","NOT IN INVENTORY"))</f>
        <v/>
      </c>
    </row>
    <row r="522" customFormat="false" ht="15" hidden="false" customHeight="false" outlineLevel="0" collapsed="false">
      <c r="A522" s="46"/>
      <c r="B522" s="47"/>
      <c r="C522" s="47"/>
      <c r="D522" s="46"/>
      <c r="E522" s="47"/>
      <c r="F522" s="47"/>
      <c r="G522" s="47"/>
      <c r="H522" s="46"/>
      <c r="I522" s="47"/>
      <c r="J522" s="47"/>
      <c r="K522" s="47"/>
      <c r="L522" s="47"/>
      <c r="M522" s="47"/>
      <c r="N522" s="47"/>
      <c r="O522" s="47"/>
      <c r="P522" s="45" t="str">
        <f aca="false">IF($A522="","",IF(COUNTIF(Accounts!$C$2:$C$201,$A522)+COUNTIF('Service Principals'!$C$2:$C$201,$A522)+COUNTIF('Managed Identities'!$C$2:$C$201,$A522)&gt;0,"Yes","NOT IN INVENTORY"))</f>
        <v/>
      </c>
    </row>
    <row r="523" customFormat="false" ht="15" hidden="false" customHeight="false" outlineLevel="0" collapsed="false">
      <c r="A523" s="46"/>
      <c r="B523" s="47"/>
      <c r="C523" s="47"/>
      <c r="D523" s="46"/>
      <c r="E523" s="47"/>
      <c r="F523" s="47"/>
      <c r="G523" s="47"/>
      <c r="H523" s="46"/>
      <c r="I523" s="47"/>
      <c r="J523" s="47"/>
      <c r="K523" s="47"/>
      <c r="L523" s="47"/>
      <c r="M523" s="47"/>
      <c r="N523" s="47"/>
      <c r="O523" s="47"/>
      <c r="P523" s="45" t="str">
        <f aca="false">IF($A523="","",IF(COUNTIF(Accounts!$C$2:$C$201,$A523)+COUNTIF('Service Principals'!$C$2:$C$201,$A523)+COUNTIF('Managed Identities'!$C$2:$C$201,$A523)&gt;0,"Yes","NOT IN INVENTORY"))</f>
        <v/>
      </c>
    </row>
    <row r="524" customFormat="false" ht="15" hidden="false" customHeight="false" outlineLevel="0" collapsed="false">
      <c r="A524" s="46"/>
      <c r="B524" s="47"/>
      <c r="C524" s="47"/>
      <c r="D524" s="46"/>
      <c r="E524" s="47"/>
      <c r="F524" s="47"/>
      <c r="G524" s="47"/>
      <c r="H524" s="46"/>
      <c r="I524" s="47"/>
      <c r="J524" s="47"/>
      <c r="K524" s="47"/>
      <c r="L524" s="47"/>
      <c r="M524" s="47"/>
      <c r="N524" s="47"/>
      <c r="O524" s="47"/>
      <c r="P524" s="45" t="str">
        <f aca="false">IF($A524="","",IF(COUNTIF(Accounts!$C$2:$C$201,$A524)+COUNTIF('Service Principals'!$C$2:$C$201,$A524)+COUNTIF('Managed Identities'!$C$2:$C$201,$A524)&gt;0,"Yes","NOT IN INVENTORY"))</f>
        <v/>
      </c>
    </row>
    <row r="525" customFormat="false" ht="15" hidden="false" customHeight="false" outlineLevel="0" collapsed="false">
      <c r="A525" s="46"/>
      <c r="B525" s="47"/>
      <c r="C525" s="47"/>
      <c r="D525" s="46"/>
      <c r="E525" s="47"/>
      <c r="F525" s="47"/>
      <c r="G525" s="47"/>
      <c r="H525" s="46"/>
      <c r="I525" s="47"/>
      <c r="J525" s="47"/>
      <c r="K525" s="47"/>
      <c r="L525" s="47"/>
      <c r="M525" s="47"/>
      <c r="N525" s="47"/>
      <c r="O525" s="47"/>
      <c r="P525" s="45" t="str">
        <f aca="false">IF($A525="","",IF(COUNTIF(Accounts!$C$2:$C$201,$A525)+COUNTIF('Service Principals'!$C$2:$C$201,$A525)+COUNTIF('Managed Identities'!$C$2:$C$201,$A525)&gt;0,"Yes","NOT IN INVENTORY"))</f>
        <v/>
      </c>
    </row>
    <row r="526" customFormat="false" ht="15" hidden="false" customHeight="false" outlineLevel="0" collapsed="false">
      <c r="A526" s="46"/>
      <c r="B526" s="47"/>
      <c r="C526" s="47"/>
      <c r="D526" s="46"/>
      <c r="E526" s="47"/>
      <c r="F526" s="47"/>
      <c r="G526" s="47"/>
      <c r="H526" s="46"/>
      <c r="I526" s="47"/>
      <c r="J526" s="47"/>
      <c r="K526" s="47"/>
      <c r="L526" s="47"/>
      <c r="M526" s="47"/>
      <c r="N526" s="47"/>
      <c r="O526" s="47"/>
      <c r="P526" s="45" t="str">
        <f aca="false">IF($A526="","",IF(COUNTIF(Accounts!$C$2:$C$201,$A526)+COUNTIF('Service Principals'!$C$2:$C$201,$A526)+COUNTIF('Managed Identities'!$C$2:$C$201,$A526)&gt;0,"Yes","NOT IN INVENTORY"))</f>
        <v/>
      </c>
    </row>
    <row r="527" customFormat="false" ht="15" hidden="false" customHeight="false" outlineLevel="0" collapsed="false">
      <c r="A527" s="46"/>
      <c r="B527" s="47"/>
      <c r="C527" s="47"/>
      <c r="D527" s="46"/>
      <c r="E527" s="47"/>
      <c r="F527" s="47"/>
      <c r="G527" s="47"/>
      <c r="H527" s="46"/>
      <c r="I527" s="47"/>
      <c r="J527" s="47"/>
      <c r="K527" s="47"/>
      <c r="L527" s="47"/>
      <c r="M527" s="47"/>
      <c r="N527" s="47"/>
      <c r="O527" s="47"/>
      <c r="P527" s="45" t="str">
        <f aca="false">IF($A527="","",IF(COUNTIF(Accounts!$C$2:$C$201,$A527)+COUNTIF('Service Principals'!$C$2:$C$201,$A527)+COUNTIF('Managed Identities'!$C$2:$C$201,$A527)&gt;0,"Yes","NOT IN INVENTORY"))</f>
        <v/>
      </c>
    </row>
    <row r="528" customFormat="false" ht="15" hidden="false" customHeight="false" outlineLevel="0" collapsed="false">
      <c r="A528" s="46"/>
      <c r="B528" s="47"/>
      <c r="C528" s="47"/>
      <c r="D528" s="46"/>
      <c r="E528" s="47"/>
      <c r="F528" s="47"/>
      <c r="G528" s="47"/>
      <c r="H528" s="46"/>
      <c r="I528" s="47"/>
      <c r="J528" s="47"/>
      <c r="K528" s="47"/>
      <c r="L528" s="47"/>
      <c r="M528" s="47"/>
      <c r="N528" s="47"/>
      <c r="O528" s="47"/>
      <c r="P528" s="45" t="str">
        <f aca="false">IF($A528="","",IF(COUNTIF(Accounts!$C$2:$C$201,$A528)+COUNTIF('Service Principals'!$C$2:$C$201,$A528)+COUNTIF('Managed Identities'!$C$2:$C$201,$A528)&gt;0,"Yes","NOT IN INVENTORY"))</f>
        <v/>
      </c>
    </row>
    <row r="529" customFormat="false" ht="15" hidden="false" customHeight="false" outlineLevel="0" collapsed="false">
      <c r="A529" s="46"/>
      <c r="B529" s="47"/>
      <c r="C529" s="47"/>
      <c r="D529" s="46"/>
      <c r="E529" s="47"/>
      <c r="F529" s="47"/>
      <c r="G529" s="47"/>
      <c r="H529" s="46"/>
      <c r="I529" s="47"/>
      <c r="J529" s="47"/>
      <c r="K529" s="47"/>
      <c r="L529" s="47"/>
      <c r="M529" s="47"/>
      <c r="N529" s="47"/>
      <c r="O529" s="47"/>
      <c r="P529" s="45" t="str">
        <f aca="false">IF($A529="","",IF(COUNTIF(Accounts!$C$2:$C$201,$A529)+COUNTIF('Service Principals'!$C$2:$C$201,$A529)+COUNTIF('Managed Identities'!$C$2:$C$201,$A529)&gt;0,"Yes","NOT IN INVENTORY"))</f>
        <v/>
      </c>
    </row>
    <row r="530" customFormat="false" ht="15" hidden="false" customHeight="false" outlineLevel="0" collapsed="false">
      <c r="A530" s="46"/>
      <c r="B530" s="47"/>
      <c r="C530" s="47"/>
      <c r="D530" s="46"/>
      <c r="E530" s="47"/>
      <c r="F530" s="47"/>
      <c r="G530" s="47"/>
      <c r="H530" s="46"/>
      <c r="I530" s="47"/>
      <c r="J530" s="47"/>
      <c r="K530" s="47"/>
      <c r="L530" s="47"/>
      <c r="M530" s="47"/>
      <c r="N530" s="47"/>
      <c r="O530" s="47"/>
      <c r="P530" s="45" t="str">
        <f aca="false">IF($A530="","",IF(COUNTIF(Accounts!$C$2:$C$201,$A530)+COUNTIF('Service Principals'!$C$2:$C$201,$A530)+COUNTIF('Managed Identities'!$C$2:$C$201,$A530)&gt;0,"Yes","NOT IN INVENTORY"))</f>
        <v/>
      </c>
    </row>
    <row r="531" customFormat="false" ht="15" hidden="false" customHeight="false" outlineLevel="0" collapsed="false">
      <c r="A531" s="46"/>
      <c r="B531" s="47"/>
      <c r="C531" s="47"/>
      <c r="D531" s="46"/>
      <c r="E531" s="47"/>
      <c r="F531" s="47"/>
      <c r="G531" s="47"/>
      <c r="H531" s="46"/>
      <c r="I531" s="47"/>
      <c r="J531" s="47"/>
      <c r="K531" s="47"/>
      <c r="L531" s="47"/>
      <c r="M531" s="47"/>
      <c r="N531" s="47"/>
      <c r="O531" s="47"/>
      <c r="P531" s="45" t="str">
        <f aca="false">IF($A531="","",IF(COUNTIF(Accounts!$C$2:$C$201,$A531)+COUNTIF('Service Principals'!$C$2:$C$201,$A531)+COUNTIF('Managed Identities'!$C$2:$C$201,$A531)&gt;0,"Yes","NOT IN INVENTORY"))</f>
        <v/>
      </c>
    </row>
    <row r="532" customFormat="false" ht="15" hidden="false" customHeight="false" outlineLevel="0" collapsed="false">
      <c r="A532" s="46"/>
      <c r="B532" s="47"/>
      <c r="C532" s="47"/>
      <c r="D532" s="46"/>
      <c r="E532" s="47"/>
      <c r="F532" s="47"/>
      <c r="G532" s="47"/>
      <c r="H532" s="46"/>
      <c r="I532" s="47"/>
      <c r="J532" s="47"/>
      <c r="K532" s="47"/>
      <c r="L532" s="47"/>
      <c r="M532" s="47"/>
      <c r="N532" s="47"/>
      <c r="O532" s="47"/>
      <c r="P532" s="45" t="str">
        <f aca="false">IF($A532="","",IF(COUNTIF(Accounts!$C$2:$C$201,$A532)+COUNTIF('Service Principals'!$C$2:$C$201,$A532)+COUNTIF('Managed Identities'!$C$2:$C$201,$A532)&gt;0,"Yes","NOT IN INVENTORY"))</f>
        <v/>
      </c>
    </row>
    <row r="533" customFormat="false" ht="15" hidden="false" customHeight="false" outlineLevel="0" collapsed="false">
      <c r="A533" s="46"/>
      <c r="B533" s="47"/>
      <c r="C533" s="47"/>
      <c r="D533" s="46"/>
      <c r="E533" s="47"/>
      <c r="F533" s="47"/>
      <c r="G533" s="47"/>
      <c r="H533" s="46"/>
      <c r="I533" s="47"/>
      <c r="J533" s="47"/>
      <c r="K533" s="47"/>
      <c r="L533" s="47"/>
      <c r="M533" s="47"/>
      <c r="N533" s="47"/>
      <c r="O533" s="47"/>
      <c r="P533" s="45" t="str">
        <f aca="false">IF($A533="","",IF(COUNTIF(Accounts!$C$2:$C$201,$A533)+COUNTIF('Service Principals'!$C$2:$C$201,$A533)+COUNTIF('Managed Identities'!$C$2:$C$201,$A533)&gt;0,"Yes","NOT IN INVENTORY"))</f>
        <v/>
      </c>
    </row>
    <row r="534" customFormat="false" ht="15" hidden="false" customHeight="false" outlineLevel="0" collapsed="false">
      <c r="A534" s="46"/>
      <c r="B534" s="47"/>
      <c r="C534" s="47"/>
      <c r="D534" s="46"/>
      <c r="E534" s="47"/>
      <c r="F534" s="47"/>
      <c r="G534" s="47"/>
      <c r="H534" s="46"/>
      <c r="I534" s="47"/>
      <c r="J534" s="47"/>
      <c r="K534" s="47"/>
      <c r="L534" s="47"/>
      <c r="M534" s="47"/>
      <c r="N534" s="47"/>
      <c r="O534" s="47"/>
      <c r="P534" s="45" t="str">
        <f aca="false">IF($A534="","",IF(COUNTIF(Accounts!$C$2:$C$201,$A534)+COUNTIF('Service Principals'!$C$2:$C$201,$A534)+COUNTIF('Managed Identities'!$C$2:$C$201,$A534)&gt;0,"Yes","NOT IN INVENTORY"))</f>
        <v/>
      </c>
    </row>
    <row r="535" customFormat="false" ht="15" hidden="false" customHeight="false" outlineLevel="0" collapsed="false">
      <c r="A535" s="46"/>
      <c r="B535" s="47"/>
      <c r="C535" s="47"/>
      <c r="D535" s="46"/>
      <c r="E535" s="47"/>
      <c r="F535" s="47"/>
      <c r="G535" s="47"/>
      <c r="H535" s="46"/>
      <c r="I535" s="47"/>
      <c r="J535" s="47"/>
      <c r="K535" s="47"/>
      <c r="L535" s="47"/>
      <c r="M535" s="47"/>
      <c r="N535" s="47"/>
      <c r="O535" s="47"/>
      <c r="P535" s="45" t="str">
        <f aca="false">IF($A535="","",IF(COUNTIF(Accounts!$C$2:$C$201,$A535)+COUNTIF('Service Principals'!$C$2:$C$201,$A535)+COUNTIF('Managed Identities'!$C$2:$C$201,$A535)&gt;0,"Yes","NOT IN INVENTORY"))</f>
        <v/>
      </c>
    </row>
    <row r="536" customFormat="false" ht="15" hidden="false" customHeight="false" outlineLevel="0" collapsed="false">
      <c r="A536" s="46"/>
      <c r="B536" s="47"/>
      <c r="C536" s="47"/>
      <c r="D536" s="46"/>
      <c r="E536" s="47"/>
      <c r="F536" s="47"/>
      <c r="G536" s="47"/>
      <c r="H536" s="46"/>
      <c r="I536" s="47"/>
      <c r="J536" s="47"/>
      <c r="K536" s="47"/>
      <c r="L536" s="47"/>
      <c r="M536" s="47"/>
      <c r="N536" s="47"/>
      <c r="O536" s="47"/>
      <c r="P536" s="45" t="str">
        <f aca="false">IF($A536="","",IF(COUNTIF(Accounts!$C$2:$C$201,$A536)+COUNTIF('Service Principals'!$C$2:$C$201,$A536)+COUNTIF('Managed Identities'!$C$2:$C$201,$A536)&gt;0,"Yes","NOT IN INVENTORY"))</f>
        <v/>
      </c>
    </row>
    <row r="537" customFormat="false" ht="15" hidden="false" customHeight="false" outlineLevel="0" collapsed="false">
      <c r="A537" s="46"/>
      <c r="B537" s="47"/>
      <c r="C537" s="47"/>
      <c r="D537" s="46"/>
      <c r="E537" s="47"/>
      <c r="F537" s="47"/>
      <c r="G537" s="47"/>
      <c r="H537" s="46"/>
      <c r="I537" s="47"/>
      <c r="J537" s="47"/>
      <c r="K537" s="47"/>
      <c r="L537" s="47"/>
      <c r="M537" s="47"/>
      <c r="N537" s="47"/>
      <c r="O537" s="47"/>
      <c r="P537" s="45" t="str">
        <f aca="false">IF($A537="","",IF(COUNTIF(Accounts!$C$2:$C$201,$A537)+COUNTIF('Service Principals'!$C$2:$C$201,$A537)+COUNTIF('Managed Identities'!$C$2:$C$201,$A537)&gt;0,"Yes","NOT IN INVENTORY"))</f>
        <v/>
      </c>
    </row>
    <row r="538" customFormat="false" ht="15" hidden="false" customHeight="false" outlineLevel="0" collapsed="false">
      <c r="A538" s="46"/>
      <c r="B538" s="47"/>
      <c r="C538" s="47"/>
      <c r="D538" s="46"/>
      <c r="E538" s="47"/>
      <c r="F538" s="47"/>
      <c r="G538" s="47"/>
      <c r="H538" s="46"/>
      <c r="I538" s="47"/>
      <c r="J538" s="47"/>
      <c r="K538" s="47"/>
      <c r="L538" s="47"/>
      <c r="M538" s="47"/>
      <c r="N538" s="47"/>
      <c r="O538" s="47"/>
      <c r="P538" s="45" t="str">
        <f aca="false">IF($A538="","",IF(COUNTIF(Accounts!$C$2:$C$201,$A538)+COUNTIF('Service Principals'!$C$2:$C$201,$A538)+COUNTIF('Managed Identities'!$C$2:$C$201,$A538)&gt;0,"Yes","NOT IN INVENTORY"))</f>
        <v/>
      </c>
    </row>
    <row r="539" customFormat="false" ht="15" hidden="false" customHeight="false" outlineLevel="0" collapsed="false">
      <c r="A539" s="46"/>
      <c r="B539" s="47"/>
      <c r="C539" s="47"/>
      <c r="D539" s="46"/>
      <c r="E539" s="47"/>
      <c r="F539" s="47"/>
      <c r="G539" s="47"/>
      <c r="H539" s="46"/>
      <c r="I539" s="47"/>
      <c r="J539" s="47"/>
      <c r="K539" s="47"/>
      <c r="L539" s="47"/>
      <c r="M539" s="47"/>
      <c r="N539" s="47"/>
      <c r="O539" s="47"/>
      <c r="P539" s="45" t="str">
        <f aca="false">IF($A539="","",IF(COUNTIF(Accounts!$C$2:$C$201,$A539)+COUNTIF('Service Principals'!$C$2:$C$201,$A539)+COUNTIF('Managed Identities'!$C$2:$C$201,$A539)&gt;0,"Yes","NOT IN INVENTORY"))</f>
        <v/>
      </c>
    </row>
    <row r="540" customFormat="false" ht="15" hidden="false" customHeight="false" outlineLevel="0" collapsed="false">
      <c r="A540" s="46"/>
      <c r="B540" s="47"/>
      <c r="C540" s="47"/>
      <c r="D540" s="46"/>
      <c r="E540" s="47"/>
      <c r="F540" s="47"/>
      <c r="G540" s="47"/>
      <c r="H540" s="46"/>
      <c r="I540" s="47"/>
      <c r="J540" s="47"/>
      <c r="K540" s="47"/>
      <c r="L540" s="47"/>
      <c r="M540" s="47"/>
      <c r="N540" s="47"/>
      <c r="O540" s="47"/>
      <c r="P540" s="45" t="str">
        <f aca="false">IF($A540="","",IF(COUNTIF(Accounts!$C$2:$C$201,$A540)+COUNTIF('Service Principals'!$C$2:$C$201,$A540)+COUNTIF('Managed Identities'!$C$2:$C$201,$A540)&gt;0,"Yes","NOT IN INVENTORY"))</f>
        <v/>
      </c>
    </row>
    <row r="541" customFormat="false" ht="15" hidden="false" customHeight="false" outlineLevel="0" collapsed="false">
      <c r="A541" s="46"/>
      <c r="B541" s="47"/>
      <c r="C541" s="47"/>
      <c r="D541" s="46"/>
      <c r="E541" s="47"/>
      <c r="F541" s="47"/>
      <c r="G541" s="47"/>
      <c r="H541" s="46"/>
      <c r="I541" s="47"/>
      <c r="J541" s="47"/>
      <c r="K541" s="47"/>
      <c r="L541" s="47"/>
      <c r="M541" s="47"/>
      <c r="N541" s="47"/>
      <c r="O541" s="47"/>
      <c r="P541" s="45" t="str">
        <f aca="false">IF($A541="","",IF(COUNTIF(Accounts!$C$2:$C$201,$A541)+COUNTIF('Service Principals'!$C$2:$C$201,$A541)+COUNTIF('Managed Identities'!$C$2:$C$201,$A541)&gt;0,"Yes","NOT IN INVENTORY"))</f>
        <v/>
      </c>
    </row>
    <row r="542" customFormat="false" ht="15" hidden="false" customHeight="false" outlineLevel="0" collapsed="false">
      <c r="A542" s="46"/>
      <c r="B542" s="47"/>
      <c r="C542" s="47"/>
      <c r="D542" s="46"/>
      <c r="E542" s="47"/>
      <c r="F542" s="47"/>
      <c r="G542" s="47"/>
      <c r="H542" s="46"/>
      <c r="I542" s="47"/>
      <c r="J542" s="47"/>
      <c r="K542" s="47"/>
      <c r="L542" s="47"/>
      <c r="M542" s="47"/>
      <c r="N542" s="47"/>
      <c r="O542" s="47"/>
      <c r="P542" s="45" t="str">
        <f aca="false">IF($A542="","",IF(COUNTIF(Accounts!$C$2:$C$201,$A542)+COUNTIF('Service Principals'!$C$2:$C$201,$A542)+COUNTIF('Managed Identities'!$C$2:$C$201,$A542)&gt;0,"Yes","NOT IN INVENTORY"))</f>
        <v/>
      </c>
    </row>
    <row r="543" customFormat="false" ht="15" hidden="false" customHeight="false" outlineLevel="0" collapsed="false">
      <c r="A543" s="46"/>
      <c r="B543" s="47"/>
      <c r="C543" s="47"/>
      <c r="D543" s="46"/>
      <c r="E543" s="47"/>
      <c r="F543" s="47"/>
      <c r="G543" s="47"/>
      <c r="H543" s="46"/>
      <c r="I543" s="47"/>
      <c r="J543" s="47"/>
      <c r="K543" s="47"/>
      <c r="L543" s="47"/>
      <c r="M543" s="47"/>
      <c r="N543" s="47"/>
      <c r="O543" s="47"/>
      <c r="P543" s="45" t="str">
        <f aca="false">IF($A543="","",IF(COUNTIF(Accounts!$C$2:$C$201,$A543)+COUNTIF('Service Principals'!$C$2:$C$201,$A543)+COUNTIF('Managed Identities'!$C$2:$C$201,$A543)&gt;0,"Yes","NOT IN INVENTORY"))</f>
        <v/>
      </c>
    </row>
    <row r="544" customFormat="false" ht="15" hidden="false" customHeight="false" outlineLevel="0" collapsed="false">
      <c r="A544" s="46"/>
      <c r="B544" s="47"/>
      <c r="C544" s="47"/>
      <c r="D544" s="46"/>
      <c r="E544" s="47"/>
      <c r="F544" s="47"/>
      <c r="G544" s="47"/>
      <c r="H544" s="46"/>
      <c r="I544" s="47"/>
      <c r="J544" s="47"/>
      <c r="K544" s="47"/>
      <c r="L544" s="47"/>
      <c r="M544" s="47"/>
      <c r="N544" s="47"/>
      <c r="O544" s="47"/>
      <c r="P544" s="45" t="str">
        <f aca="false">IF($A544="","",IF(COUNTIF(Accounts!$C$2:$C$201,$A544)+COUNTIF('Service Principals'!$C$2:$C$201,$A544)+COUNTIF('Managed Identities'!$C$2:$C$201,$A544)&gt;0,"Yes","NOT IN INVENTORY"))</f>
        <v/>
      </c>
    </row>
    <row r="545" customFormat="false" ht="15" hidden="false" customHeight="false" outlineLevel="0" collapsed="false">
      <c r="A545" s="46"/>
      <c r="B545" s="47"/>
      <c r="C545" s="47"/>
      <c r="D545" s="46"/>
      <c r="E545" s="47"/>
      <c r="F545" s="47"/>
      <c r="G545" s="47"/>
      <c r="H545" s="46"/>
      <c r="I545" s="47"/>
      <c r="J545" s="47"/>
      <c r="K545" s="47"/>
      <c r="L545" s="47"/>
      <c r="M545" s="47"/>
      <c r="N545" s="47"/>
      <c r="O545" s="47"/>
      <c r="P545" s="45" t="str">
        <f aca="false">IF($A545="","",IF(COUNTIF(Accounts!$C$2:$C$201,$A545)+COUNTIF('Service Principals'!$C$2:$C$201,$A545)+COUNTIF('Managed Identities'!$C$2:$C$201,$A545)&gt;0,"Yes","NOT IN INVENTORY"))</f>
        <v/>
      </c>
    </row>
    <row r="546" customFormat="false" ht="15" hidden="false" customHeight="false" outlineLevel="0" collapsed="false">
      <c r="A546" s="46"/>
      <c r="B546" s="47"/>
      <c r="C546" s="47"/>
      <c r="D546" s="46"/>
      <c r="E546" s="47"/>
      <c r="F546" s="47"/>
      <c r="G546" s="47"/>
      <c r="H546" s="46"/>
      <c r="I546" s="47"/>
      <c r="J546" s="47"/>
      <c r="K546" s="47"/>
      <c r="L546" s="47"/>
      <c r="M546" s="47"/>
      <c r="N546" s="47"/>
      <c r="O546" s="47"/>
      <c r="P546" s="45" t="str">
        <f aca="false">IF($A546="","",IF(COUNTIF(Accounts!$C$2:$C$201,$A546)+COUNTIF('Service Principals'!$C$2:$C$201,$A546)+COUNTIF('Managed Identities'!$C$2:$C$201,$A546)&gt;0,"Yes","NOT IN INVENTORY"))</f>
        <v/>
      </c>
    </row>
    <row r="547" customFormat="false" ht="15" hidden="false" customHeight="false" outlineLevel="0" collapsed="false">
      <c r="A547" s="46"/>
      <c r="B547" s="47"/>
      <c r="C547" s="47"/>
      <c r="D547" s="46"/>
      <c r="E547" s="47"/>
      <c r="F547" s="47"/>
      <c r="G547" s="47"/>
      <c r="H547" s="46"/>
      <c r="I547" s="47"/>
      <c r="J547" s="47"/>
      <c r="K547" s="47"/>
      <c r="L547" s="47"/>
      <c r="M547" s="47"/>
      <c r="N547" s="47"/>
      <c r="O547" s="47"/>
      <c r="P547" s="45" t="str">
        <f aca="false">IF($A547="","",IF(COUNTIF(Accounts!$C$2:$C$201,$A547)+COUNTIF('Service Principals'!$C$2:$C$201,$A547)+COUNTIF('Managed Identities'!$C$2:$C$201,$A547)&gt;0,"Yes","NOT IN INVENTORY"))</f>
        <v/>
      </c>
    </row>
    <row r="548" customFormat="false" ht="15" hidden="false" customHeight="false" outlineLevel="0" collapsed="false">
      <c r="A548" s="46"/>
      <c r="B548" s="47"/>
      <c r="C548" s="47"/>
      <c r="D548" s="46"/>
      <c r="E548" s="47"/>
      <c r="F548" s="47"/>
      <c r="G548" s="47"/>
      <c r="H548" s="46"/>
      <c r="I548" s="47"/>
      <c r="J548" s="47"/>
      <c r="K548" s="47"/>
      <c r="L548" s="47"/>
      <c r="M548" s="47"/>
      <c r="N548" s="47"/>
      <c r="O548" s="47"/>
      <c r="P548" s="45" t="str">
        <f aca="false">IF($A548="","",IF(COUNTIF(Accounts!$C$2:$C$201,$A548)+COUNTIF('Service Principals'!$C$2:$C$201,$A548)+COUNTIF('Managed Identities'!$C$2:$C$201,$A548)&gt;0,"Yes","NOT IN INVENTORY"))</f>
        <v/>
      </c>
    </row>
    <row r="549" customFormat="false" ht="15" hidden="false" customHeight="false" outlineLevel="0" collapsed="false">
      <c r="A549" s="46"/>
      <c r="B549" s="47"/>
      <c r="C549" s="47"/>
      <c r="D549" s="46"/>
      <c r="E549" s="47"/>
      <c r="F549" s="47"/>
      <c r="G549" s="47"/>
      <c r="H549" s="46"/>
      <c r="I549" s="47"/>
      <c r="J549" s="47"/>
      <c r="K549" s="47"/>
      <c r="L549" s="47"/>
      <c r="M549" s="47"/>
      <c r="N549" s="47"/>
      <c r="O549" s="47"/>
      <c r="P549" s="45" t="str">
        <f aca="false">IF($A549="","",IF(COUNTIF(Accounts!$C$2:$C$201,$A549)+COUNTIF('Service Principals'!$C$2:$C$201,$A549)+COUNTIF('Managed Identities'!$C$2:$C$201,$A549)&gt;0,"Yes","NOT IN INVENTORY"))</f>
        <v/>
      </c>
    </row>
    <row r="550" customFormat="false" ht="15" hidden="false" customHeight="false" outlineLevel="0" collapsed="false">
      <c r="A550" s="46"/>
      <c r="B550" s="47"/>
      <c r="C550" s="47"/>
      <c r="D550" s="46"/>
      <c r="E550" s="47"/>
      <c r="F550" s="47"/>
      <c r="G550" s="47"/>
      <c r="H550" s="46"/>
      <c r="I550" s="47"/>
      <c r="J550" s="47"/>
      <c r="K550" s="47"/>
      <c r="L550" s="47"/>
      <c r="M550" s="47"/>
      <c r="N550" s="47"/>
      <c r="O550" s="47"/>
      <c r="P550" s="45" t="str">
        <f aca="false">IF($A550="","",IF(COUNTIF(Accounts!$C$2:$C$201,$A550)+COUNTIF('Service Principals'!$C$2:$C$201,$A550)+COUNTIF('Managed Identities'!$C$2:$C$201,$A550)&gt;0,"Yes","NOT IN INVENTORY"))</f>
        <v/>
      </c>
    </row>
    <row r="551" customFormat="false" ht="15" hidden="false" customHeight="false" outlineLevel="0" collapsed="false">
      <c r="A551" s="46"/>
      <c r="B551" s="47"/>
      <c r="C551" s="47"/>
      <c r="D551" s="46"/>
      <c r="E551" s="47"/>
      <c r="F551" s="47"/>
      <c r="G551" s="47"/>
      <c r="H551" s="46"/>
      <c r="I551" s="47"/>
      <c r="J551" s="47"/>
      <c r="K551" s="47"/>
      <c r="L551" s="47"/>
      <c r="M551" s="47"/>
      <c r="N551" s="47"/>
      <c r="O551" s="47"/>
      <c r="P551" s="45" t="str">
        <f aca="false">IF($A551="","",IF(COUNTIF(Accounts!$C$2:$C$201,$A551)+COUNTIF('Service Principals'!$C$2:$C$201,$A551)+COUNTIF('Managed Identities'!$C$2:$C$201,$A551)&gt;0,"Yes","NOT IN INVENTORY"))</f>
        <v/>
      </c>
    </row>
    <row r="552" customFormat="false" ht="15" hidden="false" customHeight="false" outlineLevel="0" collapsed="false">
      <c r="A552" s="46"/>
      <c r="B552" s="47"/>
      <c r="C552" s="47"/>
      <c r="D552" s="46"/>
      <c r="E552" s="47"/>
      <c r="F552" s="47"/>
      <c r="G552" s="47"/>
      <c r="H552" s="46"/>
      <c r="I552" s="47"/>
      <c r="J552" s="47"/>
      <c r="K552" s="47"/>
      <c r="L552" s="47"/>
      <c r="M552" s="47"/>
      <c r="N552" s="47"/>
      <c r="O552" s="47"/>
      <c r="P552" s="45" t="str">
        <f aca="false">IF($A552="","",IF(COUNTIF(Accounts!$C$2:$C$201,$A552)+COUNTIF('Service Principals'!$C$2:$C$201,$A552)+COUNTIF('Managed Identities'!$C$2:$C$201,$A552)&gt;0,"Yes","NOT IN INVENTORY"))</f>
        <v/>
      </c>
    </row>
    <row r="553" customFormat="false" ht="15" hidden="false" customHeight="false" outlineLevel="0" collapsed="false">
      <c r="A553" s="46"/>
      <c r="B553" s="47"/>
      <c r="C553" s="47"/>
      <c r="D553" s="46"/>
      <c r="E553" s="47"/>
      <c r="F553" s="47"/>
      <c r="G553" s="47"/>
      <c r="H553" s="46"/>
      <c r="I553" s="47"/>
      <c r="J553" s="47"/>
      <c r="K553" s="47"/>
      <c r="L553" s="47"/>
      <c r="M553" s="47"/>
      <c r="N553" s="47"/>
      <c r="O553" s="47"/>
      <c r="P553" s="45" t="str">
        <f aca="false">IF($A553="","",IF(COUNTIF(Accounts!$C$2:$C$201,$A553)+COUNTIF('Service Principals'!$C$2:$C$201,$A553)+COUNTIF('Managed Identities'!$C$2:$C$201,$A553)&gt;0,"Yes","NOT IN INVENTORY"))</f>
        <v/>
      </c>
    </row>
    <row r="554" customFormat="false" ht="15" hidden="false" customHeight="false" outlineLevel="0" collapsed="false">
      <c r="A554" s="46"/>
      <c r="B554" s="47"/>
      <c r="C554" s="47"/>
      <c r="D554" s="46"/>
      <c r="E554" s="47"/>
      <c r="F554" s="47"/>
      <c r="G554" s="47"/>
      <c r="H554" s="46"/>
      <c r="I554" s="47"/>
      <c r="J554" s="47"/>
      <c r="K554" s="47"/>
      <c r="L554" s="47"/>
      <c r="M554" s="47"/>
      <c r="N554" s="47"/>
      <c r="O554" s="47"/>
      <c r="P554" s="45" t="str">
        <f aca="false">IF($A554="","",IF(COUNTIF(Accounts!$C$2:$C$201,$A554)+COUNTIF('Service Principals'!$C$2:$C$201,$A554)+COUNTIF('Managed Identities'!$C$2:$C$201,$A554)&gt;0,"Yes","NOT IN INVENTORY"))</f>
        <v/>
      </c>
    </row>
    <row r="555" customFormat="false" ht="15" hidden="false" customHeight="false" outlineLevel="0" collapsed="false">
      <c r="A555" s="46"/>
      <c r="B555" s="47"/>
      <c r="C555" s="47"/>
      <c r="D555" s="46"/>
      <c r="E555" s="47"/>
      <c r="F555" s="47"/>
      <c r="G555" s="47"/>
      <c r="H555" s="46"/>
      <c r="I555" s="47"/>
      <c r="J555" s="47"/>
      <c r="K555" s="47"/>
      <c r="L555" s="47"/>
      <c r="M555" s="47"/>
      <c r="N555" s="47"/>
      <c r="O555" s="47"/>
      <c r="P555" s="45" t="str">
        <f aca="false">IF($A555="","",IF(COUNTIF(Accounts!$C$2:$C$201,$A555)+COUNTIF('Service Principals'!$C$2:$C$201,$A555)+COUNTIF('Managed Identities'!$C$2:$C$201,$A555)&gt;0,"Yes","NOT IN INVENTORY"))</f>
        <v/>
      </c>
    </row>
    <row r="556" customFormat="false" ht="15" hidden="false" customHeight="false" outlineLevel="0" collapsed="false">
      <c r="A556" s="46"/>
      <c r="B556" s="47"/>
      <c r="C556" s="47"/>
      <c r="D556" s="46"/>
      <c r="E556" s="47"/>
      <c r="F556" s="47"/>
      <c r="G556" s="47"/>
      <c r="H556" s="46"/>
      <c r="I556" s="47"/>
      <c r="J556" s="47"/>
      <c r="K556" s="47"/>
      <c r="L556" s="47"/>
      <c r="M556" s="47"/>
      <c r="N556" s="47"/>
      <c r="O556" s="47"/>
      <c r="P556" s="45" t="str">
        <f aca="false">IF($A556="","",IF(COUNTIF(Accounts!$C$2:$C$201,$A556)+COUNTIF('Service Principals'!$C$2:$C$201,$A556)+COUNTIF('Managed Identities'!$C$2:$C$201,$A556)&gt;0,"Yes","NOT IN INVENTORY"))</f>
        <v/>
      </c>
    </row>
    <row r="557" customFormat="false" ht="15" hidden="false" customHeight="false" outlineLevel="0" collapsed="false">
      <c r="A557" s="46"/>
      <c r="B557" s="47"/>
      <c r="C557" s="47"/>
      <c r="D557" s="46"/>
      <c r="E557" s="47"/>
      <c r="F557" s="47"/>
      <c r="G557" s="47"/>
      <c r="H557" s="46"/>
      <c r="I557" s="47"/>
      <c r="J557" s="47"/>
      <c r="K557" s="47"/>
      <c r="L557" s="47"/>
      <c r="M557" s="47"/>
      <c r="N557" s="47"/>
      <c r="O557" s="47"/>
      <c r="P557" s="45" t="str">
        <f aca="false">IF($A557="","",IF(COUNTIF(Accounts!$C$2:$C$201,$A557)+COUNTIF('Service Principals'!$C$2:$C$201,$A557)+COUNTIF('Managed Identities'!$C$2:$C$201,$A557)&gt;0,"Yes","NOT IN INVENTORY"))</f>
        <v/>
      </c>
    </row>
    <row r="558" customFormat="false" ht="15" hidden="false" customHeight="false" outlineLevel="0" collapsed="false">
      <c r="A558" s="46"/>
      <c r="B558" s="47"/>
      <c r="C558" s="47"/>
      <c r="D558" s="46"/>
      <c r="E558" s="47"/>
      <c r="F558" s="47"/>
      <c r="G558" s="47"/>
      <c r="H558" s="46"/>
      <c r="I558" s="47"/>
      <c r="J558" s="47"/>
      <c r="K558" s="47"/>
      <c r="L558" s="47"/>
      <c r="M558" s="47"/>
      <c r="N558" s="47"/>
      <c r="O558" s="47"/>
      <c r="P558" s="45" t="str">
        <f aca="false">IF($A558="","",IF(COUNTIF(Accounts!$C$2:$C$201,$A558)+COUNTIF('Service Principals'!$C$2:$C$201,$A558)+COUNTIF('Managed Identities'!$C$2:$C$201,$A558)&gt;0,"Yes","NOT IN INVENTORY"))</f>
        <v/>
      </c>
    </row>
    <row r="559" customFormat="false" ht="15" hidden="false" customHeight="false" outlineLevel="0" collapsed="false">
      <c r="A559" s="46"/>
      <c r="B559" s="47"/>
      <c r="C559" s="47"/>
      <c r="D559" s="46"/>
      <c r="E559" s="47"/>
      <c r="F559" s="47"/>
      <c r="G559" s="47"/>
      <c r="H559" s="46"/>
      <c r="I559" s="47"/>
      <c r="J559" s="47"/>
      <c r="K559" s="47"/>
      <c r="L559" s="47"/>
      <c r="M559" s="47"/>
      <c r="N559" s="47"/>
      <c r="O559" s="47"/>
      <c r="P559" s="45" t="str">
        <f aca="false">IF($A559="","",IF(COUNTIF(Accounts!$C$2:$C$201,$A559)+COUNTIF('Service Principals'!$C$2:$C$201,$A559)+COUNTIF('Managed Identities'!$C$2:$C$201,$A559)&gt;0,"Yes","NOT IN INVENTORY"))</f>
        <v/>
      </c>
    </row>
    <row r="560" customFormat="false" ht="15" hidden="false" customHeight="false" outlineLevel="0" collapsed="false">
      <c r="A560" s="46"/>
      <c r="B560" s="47"/>
      <c r="C560" s="47"/>
      <c r="D560" s="46"/>
      <c r="E560" s="47"/>
      <c r="F560" s="47"/>
      <c r="G560" s="47"/>
      <c r="H560" s="46"/>
      <c r="I560" s="47"/>
      <c r="J560" s="47"/>
      <c r="K560" s="47"/>
      <c r="L560" s="47"/>
      <c r="M560" s="47"/>
      <c r="N560" s="47"/>
      <c r="O560" s="47"/>
      <c r="P560" s="45" t="str">
        <f aca="false">IF($A560="","",IF(COUNTIF(Accounts!$C$2:$C$201,$A560)+COUNTIF('Service Principals'!$C$2:$C$201,$A560)+COUNTIF('Managed Identities'!$C$2:$C$201,$A560)&gt;0,"Yes","NOT IN INVENTORY"))</f>
        <v/>
      </c>
    </row>
    <row r="561" customFormat="false" ht="15" hidden="false" customHeight="false" outlineLevel="0" collapsed="false">
      <c r="A561" s="46"/>
      <c r="B561" s="47"/>
      <c r="C561" s="47"/>
      <c r="D561" s="46"/>
      <c r="E561" s="47"/>
      <c r="F561" s="47"/>
      <c r="G561" s="47"/>
      <c r="H561" s="46"/>
      <c r="I561" s="47"/>
      <c r="J561" s="47"/>
      <c r="K561" s="47"/>
      <c r="L561" s="47"/>
      <c r="M561" s="47"/>
      <c r="N561" s="47"/>
      <c r="O561" s="47"/>
      <c r="P561" s="45" t="str">
        <f aca="false">IF($A561="","",IF(COUNTIF(Accounts!$C$2:$C$201,$A561)+COUNTIF('Service Principals'!$C$2:$C$201,$A561)+COUNTIF('Managed Identities'!$C$2:$C$201,$A561)&gt;0,"Yes","NOT IN INVENTORY"))</f>
        <v/>
      </c>
    </row>
    <row r="562" customFormat="false" ht="15" hidden="false" customHeight="false" outlineLevel="0" collapsed="false">
      <c r="A562" s="46"/>
      <c r="B562" s="47"/>
      <c r="C562" s="47"/>
      <c r="D562" s="46"/>
      <c r="E562" s="47"/>
      <c r="F562" s="47"/>
      <c r="G562" s="47"/>
      <c r="H562" s="46"/>
      <c r="I562" s="47"/>
      <c r="J562" s="47"/>
      <c r="K562" s="47"/>
      <c r="L562" s="47"/>
      <c r="M562" s="47"/>
      <c r="N562" s="47"/>
      <c r="O562" s="47"/>
      <c r="P562" s="45" t="str">
        <f aca="false">IF($A562="","",IF(COUNTIF(Accounts!$C$2:$C$201,$A562)+COUNTIF('Service Principals'!$C$2:$C$201,$A562)+COUNTIF('Managed Identities'!$C$2:$C$201,$A562)&gt;0,"Yes","NOT IN INVENTORY"))</f>
        <v/>
      </c>
    </row>
    <row r="563" customFormat="false" ht="15" hidden="false" customHeight="false" outlineLevel="0" collapsed="false">
      <c r="A563" s="46"/>
      <c r="B563" s="47"/>
      <c r="C563" s="47"/>
      <c r="D563" s="46"/>
      <c r="E563" s="47"/>
      <c r="F563" s="47"/>
      <c r="G563" s="47"/>
      <c r="H563" s="46"/>
      <c r="I563" s="47"/>
      <c r="J563" s="47"/>
      <c r="K563" s="47"/>
      <c r="L563" s="47"/>
      <c r="M563" s="47"/>
      <c r="N563" s="47"/>
      <c r="O563" s="47"/>
      <c r="P563" s="45" t="str">
        <f aca="false">IF($A563="","",IF(COUNTIF(Accounts!$C$2:$C$201,$A563)+COUNTIF('Service Principals'!$C$2:$C$201,$A563)+COUNTIF('Managed Identities'!$C$2:$C$201,$A563)&gt;0,"Yes","NOT IN INVENTORY"))</f>
        <v/>
      </c>
    </row>
    <row r="564" customFormat="false" ht="15" hidden="false" customHeight="false" outlineLevel="0" collapsed="false">
      <c r="A564" s="46"/>
      <c r="B564" s="47"/>
      <c r="C564" s="47"/>
      <c r="D564" s="46"/>
      <c r="E564" s="47"/>
      <c r="F564" s="47"/>
      <c r="G564" s="47"/>
      <c r="H564" s="46"/>
      <c r="I564" s="47"/>
      <c r="J564" s="47"/>
      <c r="K564" s="47"/>
      <c r="L564" s="47"/>
      <c r="M564" s="47"/>
      <c r="N564" s="47"/>
      <c r="O564" s="47"/>
      <c r="P564" s="45" t="str">
        <f aca="false">IF($A564="","",IF(COUNTIF(Accounts!$C$2:$C$201,$A564)+COUNTIF('Service Principals'!$C$2:$C$201,$A564)+COUNTIF('Managed Identities'!$C$2:$C$201,$A564)&gt;0,"Yes","NOT IN INVENTORY"))</f>
        <v/>
      </c>
    </row>
    <row r="565" customFormat="false" ht="15" hidden="false" customHeight="false" outlineLevel="0" collapsed="false">
      <c r="A565" s="46"/>
      <c r="B565" s="47"/>
      <c r="C565" s="47"/>
      <c r="D565" s="46"/>
      <c r="E565" s="47"/>
      <c r="F565" s="47"/>
      <c r="G565" s="47"/>
      <c r="H565" s="46"/>
      <c r="I565" s="47"/>
      <c r="J565" s="47"/>
      <c r="K565" s="47"/>
      <c r="L565" s="47"/>
      <c r="M565" s="47"/>
      <c r="N565" s="47"/>
      <c r="O565" s="47"/>
      <c r="P565" s="45" t="str">
        <f aca="false">IF($A565="","",IF(COUNTIF(Accounts!$C$2:$C$201,$A565)+COUNTIF('Service Principals'!$C$2:$C$201,$A565)+COUNTIF('Managed Identities'!$C$2:$C$201,$A565)&gt;0,"Yes","NOT IN INVENTORY"))</f>
        <v/>
      </c>
    </row>
    <row r="566" customFormat="false" ht="15" hidden="false" customHeight="false" outlineLevel="0" collapsed="false">
      <c r="A566" s="46"/>
      <c r="B566" s="47"/>
      <c r="C566" s="47"/>
      <c r="D566" s="46"/>
      <c r="E566" s="47"/>
      <c r="F566" s="47"/>
      <c r="G566" s="47"/>
      <c r="H566" s="46"/>
      <c r="I566" s="47"/>
      <c r="J566" s="47"/>
      <c r="K566" s="47"/>
      <c r="L566" s="47"/>
      <c r="M566" s="47"/>
      <c r="N566" s="47"/>
      <c r="O566" s="47"/>
      <c r="P566" s="45" t="str">
        <f aca="false">IF($A566="","",IF(COUNTIF(Accounts!$C$2:$C$201,$A566)+COUNTIF('Service Principals'!$C$2:$C$201,$A566)+COUNTIF('Managed Identities'!$C$2:$C$201,$A566)&gt;0,"Yes","NOT IN INVENTORY"))</f>
        <v/>
      </c>
    </row>
    <row r="567" customFormat="false" ht="15" hidden="false" customHeight="false" outlineLevel="0" collapsed="false">
      <c r="A567" s="46"/>
      <c r="B567" s="47"/>
      <c r="C567" s="47"/>
      <c r="D567" s="46"/>
      <c r="E567" s="47"/>
      <c r="F567" s="47"/>
      <c r="G567" s="47"/>
      <c r="H567" s="46"/>
      <c r="I567" s="47"/>
      <c r="J567" s="47"/>
      <c r="K567" s="47"/>
      <c r="L567" s="47"/>
      <c r="M567" s="47"/>
      <c r="N567" s="47"/>
      <c r="O567" s="47"/>
      <c r="P567" s="45" t="str">
        <f aca="false">IF($A567="","",IF(COUNTIF(Accounts!$C$2:$C$201,$A567)+COUNTIF('Service Principals'!$C$2:$C$201,$A567)+COUNTIF('Managed Identities'!$C$2:$C$201,$A567)&gt;0,"Yes","NOT IN INVENTORY"))</f>
        <v/>
      </c>
    </row>
    <row r="568" customFormat="false" ht="15" hidden="false" customHeight="false" outlineLevel="0" collapsed="false">
      <c r="A568" s="46"/>
      <c r="B568" s="47"/>
      <c r="C568" s="47"/>
      <c r="D568" s="46"/>
      <c r="E568" s="47"/>
      <c r="F568" s="47"/>
      <c r="G568" s="47"/>
      <c r="H568" s="46"/>
      <c r="I568" s="47"/>
      <c r="J568" s="47"/>
      <c r="K568" s="47"/>
      <c r="L568" s="47"/>
      <c r="M568" s="47"/>
      <c r="N568" s="47"/>
      <c r="O568" s="47"/>
      <c r="P568" s="45" t="str">
        <f aca="false">IF($A568="","",IF(COUNTIF(Accounts!$C$2:$C$201,$A568)+COUNTIF('Service Principals'!$C$2:$C$201,$A568)+COUNTIF('Managed Identities'!$C$2:$C$201,$A568)&gt;0,"Yes","NOT IN INVENTORY"))</f>
        <v/>
      </c>
    </row>
    <row r="569" customFormat="false" ht="15" hidden="false" customHeight="false" outlineLevel="0" collapsed="false">
      <c r="A569" s="46"/>
      <c r="B569" s="47"/>
      <c r="C569" s="47"/>
      <c r="D569" s="46"/>
      <c r="E569" s="47"/>
      <c r="F569" s="47"/>
      <c r="G569" s="47"/>
      <c r="H569" s="46"/>
      <c r="I569" s="47"/>
      <c r="J569" s="47"/>
      <c r="K569" s="47"/>
      <c r="L569" s="47"/>
      <c r="M569" s="47"/>
      <c r="N569" s="47"/>
      <c r="O569" s="47"/>
      <c r="P569" s="45" t="str">
        <f aca="false">IF($A569="","",IF(COUNTIF(Accounts!$C$2:$C$201,$A569)+COUNTIF('Service Principals'!$C$2:$C$201,$A569)+COUNTIF('Managed Identities'!$C$2:$C$201,$A569)&gt;0,"Yes","NOT IN INVENTORY"))</f>
        <v/>
      </c>
    </row>
    <row r="570" customFormat="false" ht="15" hidden="false" customHeight="false" outlineLevel="0" collapsed="false">
      <c r="A570" s="46"/>
      <c r="B570" s="47"/>
      <c r="C570" s="47"/>
      <c r="D570" s="46"/>
      <c r="E570" s="47"/>
      <c r="F570" s="47"/>
      <c r="G570" s="47"/>
      <c r="H570" s="46"/>
      <c r="I570" s="47"/>
      <c r="J570" s="47"/>
      <c r="K570" s="47"/>
      <c r="L570" s="47"/>
      <c r="M570" s="47"/>
      <c r="N570" s="47"/>
      <c r="O570" s="47"/>
      <c r="P570" s="45" t="str">
        <f aca="false">IF($A570="","",IF(COUNTIF(Accounts!$C$2:$C$201,$A570)+COUNTIF('Service Principals'!$C$2:$C$201,$A570)+COUNTIF('Managed Identities'!$C$2:$C$201,$A570)&gt;0,"Yes","NOT IN INVENTORY"))</f>
        <v/>
      </c>
    </row>
    <row r="571" customFormat="false" ht="15" hidden="false" customHeight="false" outlineLevel="0" collapsed="false">
      <c r="A571" s="46"/>
      <c r="B571" s="47"/>
      <c r="C571" s="47"/>
      <c r="D571" s="46"/>
      <c r="E571" s="47"/>
      <c r="F571" s="47"/>
      <c r="G571" s="47"/>
      <c r="H571" s="46"/>
      <c r="I571" s="47"/>
      <c r="J571" s="47"/>
      <c r="K571" s="47"/>
      <c r="L571" s="47"/>
      <c r="M571" s="47"/>
      <c r="N571" s="47"/>
      <c r="O571" s="47"/>
      <c r="P571" s="45" t="str">
        <f aca="false">IF($A571="","",IF(COUNTIF(Accounts!$C$2:$C$201,$A571)+COUNTIF('Service Principals'!$C$2:$C$201,$A571)+COUNTIF('Managed Identities'!$C$2:$C$201,$A571)&gt;0,"Yes","NOT IN INVENTORY"))</f>
        <v/>
      </c>
    </row>
    <row r="572" customFormat="false" ht="15" hidden="false" customHeight="false" outlineLevel="0" collapsed="false">
      <c r="A572" s="46"/>
      <c r="B572" s="47"/>
      <c r="C572" s="47"/>
      <c r="D572" s="46"/>
      <c r="E572" s="47"/>
      <c r="F572" s="47"/>
      <c r="G572" s="47"/>
      <c r="H572" s="46"/>
      <c r="I572" s="47"/>
      <c r="J572" s="47"/>
      <c r="K572" s="47"/>
      <c r="L572" s="47"/>
      <c r="M572" s="47"/>
      <c r="N572" s="47"/>
      <c r="O572" s="47"/>
      <c r="P572" s="45" t="str">
        <f aca="false">IF($A572="","",IF(COUNTIF(Accounts!$C$2:$C$201,$A572)+COUNTIF('Service Principals'!$C$2:$C$201,$A572)+COUNTIF('Managed Identities'!$C$2:$C$201,$A572)&gt;0,"Yes","NOT IN INVENTORY"))</f>
        <v/>
      </c>
    </row>
    <row r="573" customFormat="false" ht="15" hidden="false" customHeight="false" outlineLevel="0" collapsed="false">
      <c r="A573" s="46"/>
      <c r="B573" s="47"/>
      <c r="C573" s="47"/>
      <c r="D573" s="46"/>
      <c r="E573" s="47"/>
      <c r="F573" s="47"/>
      <c r="G573" s="47"/>
      <c r="H573" s="46"/>
      <c r="I573" s="47"/>
      <c r="J573" s="47"/>
      <c r="K573" s="47"/>
      <c r="L573" s="47"/>
      <c r="M573" s="47"/>
      <c r="N573" s="47"/>
      <c r="O573" s="47"/>
      <c r="P573" s="45" t="str">
        <f aca="false">IF($A573="","",IF(COUNTIF(Accounts!$C$2:$C$201,$A573)+COUNTIF('Service Principals'!$C$2:$C$201,$A573)+COUNTIF('Managed Identities'!$C$2:$C$201,$A573)&gt;0,"Yes","NOT IN INVENTORY"))</f>
        <v/>
      </c>
    </row>
    <row r="574" customFormat="false" ht="15" hidden="false" customHeight="false" outlineLevel="0" collapsed="false">
      <c r="A574" s="46"/>
      <c r="B574" s="47"/>
      <c r="C574" s="47"/>
      <c r="D574" s="46"/>
      <c r="E574" s="47"/>
      <c r="F574" s="47"/>
      <c r="G574" s="47"/>
      <c r="H574" s="46"/>
      <c r="I574" s="47"/>
      <c r="J574" s="47"/>
      <c r="K574" s="47"/>
      <c r="L574" s="47"/>
      <c r="M574" s="47"/>
      <c r="N574" s="47"/>
      <c r="O574" s="47"/>
      <c r="P574" s="45" t="str">
        <f aca="false">IF($A574="","",IF(COUNTIF(Accounts!$C$2:$C$201,$A574)+COUNTIF('Service Principals'!$C$2:$C$201,$A574)+COUNTIF('Managed Identities'!$C$2:$C$201,$A574)&gt;0,"Yes","NOT IN INVENTORY"))</f>
        <v/>
      </c>
    </row>
    <row r="575" customFormat="false" ht="15" hidden="false" customHeight="false" outlineLevel="0" collapsed="false">
      <c r="A575" s="46"/>
      <c r="B575" s="47"/>
      <c r="C575" s="47"/>
      <c r="D575" s="46"/>
      <c r="E575" s="47"/>
      <c r="F575" s="47"/>
      <c r="G575" s="47"/>
      <c r="H575" s="46"/>
      <c r="I575" s="47"/>
      <c r="J575" s="47"/>
      <c r="K575" s="47"/>
      <c r="L575" s="47"/>
      <c r="M575" s="47"/>
      <c r="N575" s="47"/>
      <c r="O575" s="47"/>
      <c r="P575" s="45" t="str">
        <f aca="false">IF($A575="","",IF(COUNTIF(Accounts!$C$2:$C$201,$A575)+COUNTIF('Service Principals'!$C$2:$C$201,$A575)+COUNTIF('Managed Identities'!$C$2:$C$201,$A575)&gt;0,"Yes","NOT IN INVENTORY"))</f>
        <v/>
      </c>
    </row>
    <row r="576" customFormat="false" ht="15" hidden="false" customHeight="false" outlineLevel="0" collapsed="false">
      <c r="A576" s="46"/>
      <c r="B576" s="47"/>
      <c r="C576" s="47"/>
      <c r="D576" s="46"/>
      <c r="E576" s="47"/>
      <c r="F576" s="47"/>
      <c r="G576" s="47"/>
      <c r="H576" s="46"/>
      <c r="I576" s="47"/>
      <c r="J576" s="47"/>
      <c r="K576" s="47"/>
      <c r="L576" s="47"/>
      <c r="M576" s="47"/>
      <c r="N576" s="47"/>
      <c r="O576" s="47"/>
      <c r="P576" s="45" t="str">
        <f aca="false">IF($A576="","",IF(COUNTIF(Accounts!$C$2:$C$201,$A576)+COUNTIF('Service Principals'!$C$2:$C$201,$A576)+COUNTIF('Managed Identities'!$C$2:$C$201,$A576)&gt;0,"Yes","NOT IN INVENTORY"))</f>
        <v/>
      </c>
    </row>
    <row r="577" customFormat="false" ht="15" hidden="false" customHeight="false" outlineLevel="0" collapsed="false">
      <c r="A577" s="46"/>
      <c r="B577" s="47"/>
      <c r="C577" s="47"/>
      <c r="D577" s="46"/>
      <c r="E577" s="47"/>
      <c r="F577" s="47"/>
      <c r="G577" s="47"/>
      <c r="H577" s="46"/>
      <c r="I577" s="47"/>
      <c r="J577" s="47"/>
      <c r="K577" s="47"/>
      <c r="L577" s="47"/>
      <c r="M577" s="47"/>
      <c r="N577" s="47"/>
      <c r="O577" s="47"/>
      <c r="P577" s="45" t="str">
        <f aca="false">IF($A577="","",IF(COUNTIF(Accounts!$C$2:$C$201,$A577)+COUNTIF('Service Principals'!$C$2:$C$201,$A577)+COUNTIF('Managed Identities'!$C$2:$C$201,$A577)&gt;0,"Yes","NOT IN INVENTORY"))</f>
        <v/>
      </c>
    </row>
    <row r="578" customFormat="false" ht="15" hidden="false" customHeight="false" outlineLevel="0" collapsed="false">
      <c r="A578" s="46"/>
      <c r="B578" s="47"/>
      <c r="C578" s="47"/>
      <c r="D578" s="46"/>
      <c r="E578" s="47"/>
      <c r="F578" s="47"/>
      <c r="G578" s="47"/>
      <c r="H578" s="46"/>
      <c r="I578" s="47"/>
      <c r="J578" s="47"/>
      <c r="K578" s="47"/>
      <c r="L578" s="47"/>
      <c r="M578" s="47"/>
      <c r="N578" s="47"/>
      <c r="O578" s="47"/>
      <c r="P578" s="45" t="str">
        <f aca="false">IF($A578="","",IF(COUNTIF(Accounts!$C$2:$C$201,$A578)+COUNTIF('Service Principals'!$C$2:$C$201,$A578)+COUNTIF('Managed Identities'!$C$2:$C$201,$A578)&gt;0,"Yes","NOT IN INVENTORY"))</f>
        <v/>
      </c>
    </row>
    <row r="579" customFormat="false" ht="15" hidden="false" customHeight="false" outlineLevel="0" collapsed="false">
      <c r="A579" s="46"/>
      <c r="B579" s="47"/>
      <c r="C579" s="47"/>
      <c r="D579" s="46"/>
      <c r="E579" s="47"/>
      <c r="F579" s="47"/>
      <c r="G579" s="47"/>
      <c r="H579" s="46"/>
      <c r="I579" s="47"/>
      <c r="J579" s="47"/>
      <c r="K579" s="47"/>
      <c r="L579" s="47"/>
      <c r="M579" s="47"/>
      <c r="N579" s="47"/>
      <c r="O579" s="47"/>
      <c r="P579" s="45" t="str">
        <f aca="false">IF($A579="","",IF(COUNTIF(Accounts!$C$2:$C$201,$A579)+COUNTIF('Service Principals'!$C$2:$C$201,$A579)+COUNTIF('Managed Identities'!$C$2:$C$201,$A579)&gt;0,"Yes","NOT IN INVENTORY"))</f>
        <v/>
      </c>
    </row>
    <row r="580" customFormat="false" ht="15" hidden="false" customHeight="false" outlineLevel="0" collapsed="false">
      <c r="A580" s="46"/>
      <c r="B580" s="47"/>
      <c r="C580" s="47"/>
      <c r="D580" s="46"/>
      <c r="E580" s="47"/>
      <c r="F580" s="47"/>
      <c r="G580" s="47"/>
      <c r="H580" s="46"/>
      <c r="I580" s="47"/>
      <c r="J580" s="47"/>
      <c r="K580" s="47"/>
      <c r="L580" s="47"/>
      <c r="M580" s="47"/>
      <c r="N580" s="47"/>
      <c r="O580" s="47"/>
      <c r="P580" s="45" t="str">
        <f aca="false">IF($A580="","",IF(COUNTIF(Accounts!$C$2:$C$201,$A580)+COUNTIF('Service Principals'!$C$2:$C$201,$A580)+COUNTIF('Managed Identities'!$C$2:$C$201,$A580)&gt;0,"Yes","NOT IN INVENTORY"))</f>
        <v/>
      </c>
    </row>
    <row r="581" customFormat="false" ht="15" hidden="false" customHeight="false" outlineLevel="0" collapsed="false">
      <c r="A581" s="46"/>
      <c r="B581" s="47"/>
      <c r="C581" s="47"/>
      <c r="D581" s="46"/>
      <c r="E581" s="47"/>
      <c r="F581" s="47"/>
      <c r="G581" s="47"/>
      <c r="H581" s="46"/>
      <c r="I581" s="47"/>
      <c r="J581" s="47"/>
      <c r="K581" s="47"/>
      <c r="L581" s="47"/>
      <c r="M581" s="47"/>
      <c r="N581" s="47"/>
      <c r="O581" s="47"/>
      <c r="P581" s="45" t="str">
        <f aca="false">IF($A581="","",IF(COUNTIF(Accounts!$C$2:$C$201,$A581)+COUNTIF('Service Principals'!$C$2:$C$201,$A581)+COUNTIF('Managed Identities'!$C$2:$C$201,$A581)&gt;0,"Yes","NOT IN INVENTORY"))</f>
        <v/>
      </c>
    </row>
    <row r="582" customFormat="false" ht="15" hidden="false" customHeight="false" outlineLevel="0" collapsed="false">
      <c r="A582" s="46"/>
      <c r="B582" s="47"/>
      <c r="C582" s="47"/>
      <c r="D582" s="46"/>
      <c r="E582" s="47"/>
      <c r="F582" s="47"/>
      <c r="G582" s="47"/>
      <c r="H582" s="46"/>
      <c r="I582" s="47"/>
      <c r="J582" s="47"/>
      <c r="K582" s="47"/>
      <c r="L582" s="47"/>
      <c r="M582" s="47"/>
      <c r="N582" s="47"/>
      <c r="O582" s="47"/>
      <c r="P582" s="45" t="str">
        <f aca="false">IF($A582="","",IF(COUNTIF(Accounts!$C$2:$C$201,$A582)+COUNTIF('Service Principals'!$C$2:$C$201,$A582)+COUNTIF('Managed Identities'!$C$2:$C$201,$A582)&gt;0,"Yes","NOT IN INVENTORY"))</f>
        <v/>
      </c>
    </row>
    <row r="583" customFormat="false" ht="15" hidden="false" customHeight="false" outlineLevel="0" collapsed="false">
      <c r="A583" s="46"/>
      <c r="B583" s="47"/>
      <c r="C583" s="47"/>
      <c r="D583" s="46"/>
      <c r="E583" s="47"/>
      <c r="F583" s="47"/>
      <c r="G583" s="47"/>
      <c r="H583" s="46"/>
      <c r="I583" s="47"/>
      <c r="J583" s="47"/>
      <c r="K583" s="47"/>
      <c r="L583" s="47"/>
      <c r="M583" s="47"/>
      <c r="N583" s="47"/>
      <c r="O583" s="47"/>
      <c r="P583" s="45" t="str">
        <f aca="false">IF($A583="","",IF(COUNTIF(Accounts!$C$2:$C$201,$A583)+COUNTIF('Service Principals'!$C$2:$C$201,$A583)+COUNTIF('Managed Identities'!$C$2:$C$201,$A583)&gt;0,"Yes","NOT IN INVENTORY"))</f>
        <v/>
      </c>
    </row>
    <row r="584" customFormat="false" ht="15" hidden="false" customHeight="false" outlineLevel="0" collapsed="false">
      <c r="A584" s="46"/>
      <c r="B584" s="47"/>
      <c r="C584" s="47"/>
      <c r="D584" s="46"/>
      <c r="E584" s="47"/>
      <c r="F584" s="47"/>
      <c r="G584" s="47"/>
      <c r="H584" s="46"/>
      <c r="I584" s="47"/>
      <c r="J584" s="47"/>
      <c r="K584" s="47"/>
      <c r="L584" s="47"/>
      <c r="M584" s="47"/>
      <c r="N584" s="47"/>
      <c r="O584" s="47"/>
      <c r="P584" s="45" t="str">
        <f aca="false">IF($A584="","",IF(COUNTIF(Accounts!$C$2:$C$201,$A584)+COUNTIF('Service Principals'!$C$2:$C$201,$A584)+COUNTIF('Managed Identities'!$C$2:$C$201,$A584)&gt;0,"Yes","NOT IN INVENTORY"))</f>
        <v/>
      </c>
    </row>
    <row r="585" customFormat="false" ht="15" hidden="false" customHeight="false" outlineLevel="0" collapsed="false">
      <c r="A585" s="46"/>
      <c r="B585" s="47"/>
      <c r="C585" s="47"/>
      <c r="D585" s="46"/>
      <c r="E585" s="47"/>
      <c r="F585" s="47"/>
      <c r="G585" s="47"/>
      <c r="H585" s="46"/>
      <c r="I585" s="47"/>
      <c r="J585" s="47"/>
      <c r="K585" s="47"/>
      <c r="L585" s="47"/>
      <c r="M585" s="47"/>
      <c r="N585" s="47"/>
      <c r="O585" s="47"/>
      <c r="P585" s="45" t="str">
        <f aca="false">IF($A585="","",IF(COUNTIF(Accounts!$C$2:$C$201,$A585)+COUNTIF('Service Principals'!$C$2:$C$201,$A585)+COUNTIF('Managed Identities'!$C$2:$C$201,$A585)&gt;0,"Yes","NOT IN INVENTORY"))</f>
        <v/>
      </c>
    </row>
    <row r="586" customFormat="false" ht="15" hidden="false" customHeight="false" outlineLevel="0" collapsed="false">
      <c r="A586" s="46"/>
      <c r="B586" s="47"/>
      <c r="C586" s="47"/>
      <c r="D586" s="46"/>
      <c r="E586" s="47"/>
      <c r="F586" s="47"/>
      <c r="G586" s="47"/>
      <c r="H586" s="46"/>
      <c r="I586" s="47"/>
      <c r="J586" s="47"/>
      <c r="K586" s="47"/>
      <c r="L586" s="47"/>
      <c r="M586" s="47"/>
      <c r="N586" s="47"/>
      <c r="O586" s="47"/>
      <c r="P586" s="45" t="str">
        <f aca="false">IF($A586="","",IF(COUNTIF(Accounts!$C$2:$C$201,$A586)+COUNTIF('Service Principals'!$C$2:$C$201,$A586)+COUNTIF('Managed Identities'!$C$2:$C$201,$A586)&gt;0,"Yes","NOT IN INVENTORY"))</f>
        <v/>
      </c>
    </row>
    <row r="587" customFormat="false" ht="15" hidden="false" customHeight="false" outlineLevel="0" collapsed="false">
      <c r="A587" s="46"/>
      <c r="B587" s="47"/>
      <c r="C587" s="47"/>
      <c r="D587" s="46"/>
      <c r="E587" s="47"/>
      <c r="F587" s="47"/>
      <c r="G587" s="47"/>
      <c r="H587" s="46"/>
      <c r="I587" s="47"/>
      <c r="J587" s="47"/>
      <c r="K587" s="47"/>
      <c r="L587" s="47"/>
      <c r="M587" s="47"/>
      <c r="N587" s="47"/>
      <c r="O587" s="47"/>
      <c r="P587" s="45" t="str">
        <f aca="false">IF($A587="","",IF(COUNTIF(Accounts!$C$2:$C$201,$A587)+COUNTIF('Service Principals'!$C$2:$C$201,$A587)+COUNTIF('Managed Identities'!$C$2:$C$201,$A587)&gt;0,"Yes","NOT IN INVENTORY"))</f>
        <v/>
      </c>
    </row>
    <row r="588" customFormat="false" ht="15" hidden="false" customHeight="false" outlineLevel="0" collapsed="false">
      <c r="A588" s="46"/>
      <c r="B588" s="47"/>
      <c r="C588" s="47"/>
      <c r="D588" s="46"/>
      <c r="E588" s="47"/>
      <c r="F588" s="47"/>
      <c r="G588" s="47"/>
      <c r="H588" s="46"/>
      <c r="I588" s="47"/>
      <c r="J588" s="47"/>
      <c r="K588" s="47"/>
      <c r="L588" s="47"/>
      <c r="M588" s="47"/>
      <c r="N588" s="47"/>
      <c r="O588" s="47"/>
      <c r="P588" s="45" t="str">
        <f aca="false">IF($A588="","",IF(COUNTIF(Accounts!$C$2:$C$201,$A588)+COUNTIF('Service Principals'!$C$2:$C$201,$A588)+COUNTIF('Managed Identities'!$C$2:$C$201,$A588)&gt;0,"Yes","NOT IN INVENTORY"))</f>
        <v/>
      </c>
    </row>
    <row r="589" customFormat="false" ht="15" hidden="false" customHeight="false" outlineLevel="0" collapsed="false">
      <c r="A589" s="46"/>
      <c r="B589" s="47"/>
      <c r="C589" s="47"/>
      <c r="D589" s="46"/>
      <c r="E589" s="47"/>
      <c r="F589" s="47"/>
      <c r="G589" s="47"/>
      <c r="H589" s="46"/>
      <c r="I589" s="47"/>
      <c r="J589" s="47"/>
      <c r="K589" s="47"/>
      <c r="L589" s="47"/>
      <c r="M589" s="47"/>
      <c r="N589" s="47"/>
      <c r="O589" s="47"/>
      <c r="P589" s="45" t="str">
        <f aca="false">IF($A589="","",IF(COUNTIF(Accounts!$C$2:$C$201,$A589)+COUNTIF('Service Principals'!$C$2:$C$201,$A589)+COUNTIF('Managed Identities'!$C$2:$C$201,$A589)&gt;0,"Yes","NOT IN INVENTORY"))</f>
        <v/>
      </c>
    </row>
    <row r="590" customFormat="false" ht="15" hidden="false" customHeight="false" outlineLevel="0" collapsed="false">
      <c r="A590" s="46"/>
      <c r="B590" s="47"/>
      <c r="C590" s="47"/>
      <c r="D590" s="46"/>
      <c r="E590" s="47"/>
      <c r="F590" s="47"/>
      <c r="G590" s="47"/>
      <c r="H590" s="46"/>
      <c r="I590" s="47"/>
      <c r="J590" s="47"/>
      <c r="K590" s="47"/>
      <c r="L590" s="47"/>
      <c r="M590" s="47"/>
      <c r="N590" s="47"/>
      <c r="O590" s="47"/>
      <c r="P590" s="45" t="str">
        <f aca="false">IF($A590="","",IF(COUNTIF(Accounts!$C$2:$C$201,$A590)+COUNTIF('Service Principals'!$C$2:$C$201,$A590)+COUNTIF('Managed Identities'!$C$2:$C$201,$A590)&gt;0,"Yes","NOT IN INVENTORY"))</f>
        <v/>
      </c>
    </row>
    <row r="591" customFormat="false" ht="15" hidden="false" customHeight="false" outlineLevel="0" collapsed="false">
      <c r="A591" s="46"/>
      <c r="B591" s="47"/>
      <c r="C591" s="47"/>
      <c r="D591" s="46"/>
      <c r="E591" s="47"/>
      <c r="F591" s="47"/>
      <c r="G591" s="47"/>
      <c r="H591" s="46"/>
      <c r="I591" s="47"/>
      <c r="J591" s="47"/>
      <c r="K591" s="47"/>
      <c r="L591" s="47"/>
      <c r="M591" s="47"/>
      <c r="N591" s="47"/>
      <c r="O591" s="47"/>
      <c r="P591" s="45" t="str">
        <f aca="false">IF($A591="","",IF(COUNTIF(Accounts!$C$2:$C$201,$A591)+COUNTIF('Service Principals'!$C$2:$C$201,$A591)+COUNTIF('Managed Identities'!$C$2:$C$201,$A591)&gt;0,"Yes","NOT IN INVENTORY"))</f>
        <v/>
      </c>
    </row>
    <row r="592" customFormat="false" ht="15" hidden="false" customHeight="false" outlineLevel="0" collapsed="false">
      <c r="A592" s="46"/>
      <c r="B592" s="47"/>
      <c r="C592" s="47"/>
      <c r="D592" s="46"/>
      <c r="E592" s="47"/>
      <c r="F592" s="47"/>
      <c r="G592" s="47"/>
      <c r="H592" s="46"/>
      <c r="I592" s="47"/>
      <c r="J592" s="47"/>
      <c r="K592" s="47"/>
      <c r="L592" s="47"/>
      <c r="M592" s="47"/>
      <c r="N592" s="47"/>
      <c r="O592" s="47"/>
      <c r="P592" s="45" t="str">
        <f aca="false">IF($A592="","",IF(COUNTIF(Accounts!$C$2:$C$201,$A592)+COUNTIF('Service Principals'!$C$2:$C$201,$A592)+COUNTIF('Managed Identities'!$C$2:$C$201,$A592)&gt;0,"Yes","NOT IN INVENTORY"))</f>
        <v/>
      </c>
    </row>
    <row r="593" customFormat="false" ht="15" hidden="false" customHeight="false" outlineLevel="0" collapsed="false">
      <c r="A593" s="46"/>
      <c r="B593" s="47"/>
      <c r="C593" s="47"/>
      <c r="D593" s="46"/>
      <c r="E593" s="47"/>
      <c r="F593" s="47"/>
      <c r="G593" s="47"/>
      <c r="H593" s="46"/>
      <c r="I593" s="47"/>
      <c r="J593" s="47"/>
      <c r="K593" s="47"/>
      <c r="L593" s="47"/>
      <c r="M593" s="47"/>
      <c r="N593" s="47"/>
      <c r="O593" s="47"/>
      <c r="P593" s="45" t="str">
        <f aca="false">IF($A593="","",IF(COUNTIF(Accounts!$C$2:$C$201,$A593)+COUNTIF('Service Principals'!$C$2:$C$201,$A593)+COUNTIF('Managed Identities'!$C$2:$C$201,$A593)&gt;0,"Yes","NOT IN INVENTORY"))</f>
        <v/>
      </c>
    </row>
    <row r="594" customFormat="false" ht="15" hidden="false" customHeight="false" outlineLevel="0" collapsed="false">
      <c r="A594" s="46"/>
      <c r="B594" s="47"/>
      <c r="C594" s="47"/>
      <c r="D594" s="46"/>
      <c r="E594" s="47"/>
      <c r="F594" s="47"/>
      <c r="G594" s="47"/>
      <c r="H594" s="46"/>
      <c r="I594" s="47"/>
      <c r="J594" s="47"/>
      <c r="K594" s="47"/>
      <c r="L594" s="47"/>
      <c r="M594" s="47"/>
      <c r="N594" s="47"/>
      <c r="O594" s="47"/>
      <c r="P594" s="45" t="str">
        <f aca="false">IF($A594="","",IF(COUNTIF(Accounts!$C$2:$C$201,$A594)+COUNTIF('Service Principals'!$C$2:$C$201,$A594)+COUNTIF('Managed Identities'!$C$2:$C$201,$A594)&gt;0,"Yes","NOT IN INVENTORY"))</f>
        <v/>
      </c>
    </row>
    <row r="595" customFormat="false" ht="15" hidden="false" customHeight="false" outlineLevel="0" collapsed="false">
      <c r="A595" s="46"/>
      <c r="B595" s="47"/>
      <c r="C595" s="47"/>
      <c r="D595" s="46"/>
      <c r="E595" s="47"/>
      <c r="F595" s="47"/>
      <c r="G595" s="47"/>
      <c r="H595" s="46"/>
      <c r="I595" s="47"/>
      <c r="J595" s="47"/>
      <c r="K595" s="47"/>
      <c r="L595" s="47"/>
      <c r="M595" s="47"/>
      <c r="N595" s="47"/>
      <c r="O595" s="47"/>
      <c r="P595" s="45" t="str">
        <f aca="false">IF($A595="","",IF(COUNTIF(Accounts!$C$2:$C$201,$A595)+COUNTIF('Service Principals'!$C$2:$C$201,$A595)+COUNTIF('Managed Identities'!$C$2:$C$201,$A595)&gt;0,"Yes","NOT IN INVENTORY"))</f>
        <v/>
      </c>
    </row>
    <row r="596" customFormat="false" ht="15" hidden="false" customHeight="false" outlineLevel="0" collapsed="false">
      <c r="A596" s="46"/>
      <c r="B596" s="47"/>
      <c r="C596" s="47"/>
      <c r="D596" s="46"/>
      <c r="E596" s="47"/>
      <c r="F596" s="47"/>
      <c r="G596" s="47"/>
      <c r="H596" s="46"/>
      <c r="I596" s="47"/>
      <c r="J596" s="47"/>
      <c r="K596" s="47"/>
      <c r="L596" s="47"/>
      <c r="M596" s="47"/>
      <c r="N596" s="47"/>
      <c r="O596" s="47"/>
      <c r="P596" s="45" t="str">
        <f aca="false">IF($A596="","",IF(COUNTIF(Accounts!$C$2:$C$201,$A596)+COUNTIF('Service Principals'!$C$2:$C$201,$A596)+COUNTIF('Managed Identities'!$C$2:$C$201,$A596)&gt;0,"Yes","NOT IN INVENTORY"))</f>
        <v/>
      </c>
    </row>
    <row r="597" customFormat="false" ht="15" hidden="false" customHeight="false" outlineLevel="0" collapsed="false">
      <c r="A597" s="46"/>
      <c r="B597" s="47"/>
      <c r="C597" s="47"/>
      <c r="D597" s="46"/>
      <c r="E597" s="47"/>
      <c r="F597" s="47"/>
      <c r="G597" s="47"/>
      <c r="H597" s="46"/>
      <c r="I597" s="47"/>
      <c r="J597" s="47"/>
      <c r="K597" s="47"/>
      <c r="L597" s="47"/>
      <c r="M597" s="47"/>
      <c r="N597" s="47"/>
      <c r="O597" s="47"/>
      <c r="P597" s="45" t="str">
        <f aca="false">IF($A597="","",IF(COUNTIF(Accounts!$C$2:$C$201,$A597)+COUNTIF('Service Principals'!$C$2:$C$201,$A597)+COUNTIF('Managed Identities'!$C$2:$C$201,$A597)&gt;0,"Yes","NOT IN INVENTORY"))</f>
        <v/>
      </c>
    </row>
    <row r="598" customFormat="false" ht="15" hidden="false" customHeight="false" outlineLevel="0" collapsed="false">
      <c r="A598" s="46"/>
      <c r="B598" s="47"/>
      <c r="C598" s="47"/>
      <c r="D598" s="46"/>
      <c r="E598" s="47"/>
      <c r="F598" s="47"/>
      <c r="G598" s="47"/>
      <c r="H598" s="46"/>
      <c r="I598" s="47"/>
      <c r="J598" s="47"/>
      <c r="K598" s="47"/>
      <c r="L598" s="47"/>
      <c r="M598" s="47"/>
      <c r="N598" s="47"/>
      <c r="O598" s="47"/>
      <c r="P598" s="45" t="str">
        <f aca="false">IF($A598="","",IF(COUNTIF(Accounts!$C$2:$C$201,$A598)+COUNTIF('Service Principals'!$C$2:$C$201,$A598)+COUNTIF('Managed Identities'!$C$2:$C$201,$A598)&gt;0,"Yes","NOT IN INVENTORY"))</f>
        <v/>
      </c>
    </row>
    <row r="599" customFormat="false" ht="15" hidden="false" customHeight="false" outlineLevel="0" collapsed="false">
      <c r="A599" s="46"/>
      <c r="B599" s="47"/>
      <c r="C599" s="47"/>
      <c r="D599" s="46"/>
      <c r="E599" s="47"/>
      <c r="F599" s="47"/>
      <c r="G599" s="47"/>
      <c r="H599" s="46"/>
      <c r="I599" s="47"/>
      <c r="J599" s="47"/>
      <c r="K599" s="47"/>
      <c r="L599" s="47"/>
      <c r="M599" s="47"/>
      <c r="N599" s="47"/>
      <c r="O599" s="47"/>
      <c r="P599" s="45" t="str">
        <f aca="false">IF($A599="","",IF(COUNTIF(Accounts!$C$2:$C$201,$A599)+COUNTIF('Service Principals'!$C$2:$C$201,$A599)+COUNTIF('Managed Identities'!$C$2:$C$201,$A599)&gt;0,"Yes","NOT IN INVENTORY"))</f>
        <v/>
      </c>
    </row>
    <row r="600" customFormat="false" ht="15" hidden="false" customHeight="false" outlineLevel="0" collapsed="false">
      <c r="A600" s="46"/>
      <c r="B600" s="47"/>
      <c r="C600" s="47"/>
      <c r="D600" s="46"/>
      <c r="E600" s="47"/>
      <c r="F600" s="47"/>
      <c r="G600" s="47"/>
      <c r="H600" s="46"/>
      <c r="I600" s="47"/>
      <c r="J600" s="47"/>
      <c r="K600" s="47"/>
      <c r="L600" s="47"/>
      <c r="M600" s="47"/>
      <c r="N600" s="47"/>
      <c r="O600" s="47"/>
      <c r="P600" s="45" t="str">
        <f aca="false">IF($A600="","",IF(COUNTIF(Accounts!$C$2:$C$201,$A600)+COUNTIF('Service Principals'!$C$2:$C$201,$A600)+COUNTIF('Managed Identities'!$C$2:$C$201,$A600)&gt;0,"Yes","NOT IN INVENTORY"))</f>
        <v/>
      </c>
    </row>
    <row r="601" customFormat="false" ht="15" hidden="false" customHeight="false" outlineLevel="0" collapsed="false">
      <c r="A601" s="46"/>
      <c r="B601" s="47"/>
      <c r="C601" s="47"/>
      <c r="D601" s="46"/>
      <c r="E601" s="47"/>
      <c r="F601" s="47"/>
      <c r="G601" s="47"/>
      <c r="H601" s="46"/>
      <c r="I601" s="47"/>
      <c r="J601" s="47"/>
      <c r="K601" s="47"/>
      <c r="L601" s="47"/>
      <c r="M601" s="47"/>
      <c r="N601" s="47"/>
      <c r="O601" s="47"/>
      <c r="P601" s="45" t="str">
        <f aca="false">IF($A601="","",IF(COUNTIF(Accounts!$C$2:$C$201,$A601)+COUNTIF('Service Principals'!$C$2:$C$201,$A601)+COUNTIF('Managed Identities'!$C$2:$C$201,$A601)&gt;0,"Yes","NOT IN INVENTORY"))</f>
        <v/>
      </c>
    </row>
    <row r="602" customFormat="false" ht="15" hidden="false" customHeight="false" outlineLevel="0" collapsed="false">
      <c r="A602" s="46"/>
      <c r="B602" s="47"/>
      <c r="C602" s="47"/>
      <c r="D602" s="46"/>
      <c r="E602" s="47"/>
      <c r="F602" s="47"/>
      <c r="G602" s="47"/>
      <c r="H602" s="46"/>
      <c r="I602" s="47"/>
      <c r="J602" s="47"/>
      <c r="K602" s="47"/>
      <c r="L602" s="47"/>
      <c r="M602" s="47"/>
      <c r="N602" s="47"/>
      <c r="O602" s="47"/>
      <c r="P602" s="45" t="str">
        <f aca="false">IF($A602="","",IF(COUNTIF(Accounts!$C$2:$C$201,$A602)+COUNTIF('Service Principals'!$C$2:$C$201,$A602)+COUNTIF('Managed Identities'!$C$2:$C$201,$A602)&gt;0,"Yes","NOT IN INVENTORY"))</f>
        <v/>
      </c>
    </row>
    <row r="603" customFormat="false" ht="15" hidden="false" customHeight="false" outlineLevel="0" collapsed="false">
      <c r="A603" s="46"/>
      <c r="B603" s="47"/>
      <c r="C603" s="47"/>
      <c r="D603" s="46"/>
      <c r="E603" s="47"/>
      <c r="F603" s="47"/>
      <c r="G603" s="47"/>
      <c r="H603" s="46"/>
      <c r="I603" s="47"/>
      <c r="J603" s="47"/>
      <c r="K603" s="47"/>
      <c r="L603" s="47"/>
      <c r="M603" s="47"/>
      <c r="N603" s="47"/>
      <c r="O603" s="47"/>
      <c r="P603" s="45" t="str">
        <f aca="false">IF($A603="","",IF(COUNTIF(Accounts!$C$2:$C$201,$A603)+COUNTIF('Service Principals'!$C$2:$C$201,$A603)+COUNTIF('Managed Identities'!$C$2:$C$201,$A603)&gt;0,"Yes","NOT IN INVENTORY"))</f>
        <v/>
      </c>
    </row>
    <row r="604" customFormat="false" ht="15" hidden="false" customHeight="false" outlineLevel="0" collapsed="false">
      <c r="A604" s="46"/>
      <c r="B604" s="47"/>
      <c r="C604" s="47"/>
      <c r="D604" s="46"/>
      <c r="E604" s="47"/>
      <c r="F604" s="47"/>
      <c r="G604" s="47"/>
      <c r="H604" s="46"/>
      <c r="I604" s="47"/>
      <c r="J604" s="47"/>
      <c r="K604" s="47"/>
      <c r="L604" s="47"/>
      <c r="M604" s="47"/>
      <c r="N604" s="47"/>
      <c r="O604" s="47"/>
      <c r="P604" s="45" t="str">
        <f aca="false">IF($A604="","",IF(COUNTIF(Accounts!$C$2:$C$201,$A604)+COUNTIF('Service Principals'!$C$2:$C$201,$A604)+COUNTIF('Managed Identities'!$C$2:$C$201,$A604)&gt;0,"Yes","NOT IN INVENTORY"))</f>
        <v/>
      </c>
    </row>
    <row r="605" customFormat="false" ht="15" hidden="false" customHeight="false" outlineLevel="0" collapsed="false">
      <c r="A605" s="46"/>
      <c r="B605" s="47"/>
      <c r="C605" s="47"/>
      <c r="D605" s="46"/>
      <c r="E605" s="47"/>
      <c r="F605" s="47"/>
      <c r="G605" s="47"/>
      <c r="H605" s="46"/>
      <c r="I605" s="47"/>
      <c r="J605" s="47"/>
      <c r="K605" s="47"/>
      <c r="L605" s="47"/>
      <c r="M605" s="47"/>
      <c r="N605" s="47"/>
      <c r="O605" s="47"/>
      <c r="P605" s="45" t="str">
        <f aca="false">IF($A605="","",IF(COUNTIF(Accounts!$C$2:$C$201,$A605)+COUNTIF('Service Principals'!$C$2:$C$201,$A605)+COUNTIF('Managed Identities'!$C$2:$C$201,$A605)&gt;0,"Yes","NOT IN INVENTORY"))</f>
        <v/>
      </c>
    </row>
    <row r="606" customFormat="false" ht="15" hidden="false" customHeight="false" outlineLevel="0" collapsed="false">
      <c r="A606" s="46"/>
      <c r="B606" s="47"/>
      <c r="C606" s="47"/>
      <c r="D606" s="46"/>
      <c r="E606" s="47"/>
      <c r="F606" s="47"/>
      <c r="G606" s="47"/>
      <c r="H606" s="46"/>
      <c r="I606" s="47"/>
      <c r="J606" s="47"/>
      <c r="K606" s="47"/>
      <c r="L606" s="47"/>
      <c r="M606" s="47"/>
      <c r="N606" s="47"/>
      <c r="O606" s="47"/>
      <c r="P606" s="45" t="str">
        <f aca="false">IF($A606="","",IF(COUNTIF(Accounts!$C$2:$C$201,$A606)+COUNTIF('Service Principals'!$C$2:$C$201,$A606)+COUNTIF('Managed Identities'!$C$2:$C$201,$A606)&gt;0,"Yes","NOT IN INVENTORY"))</f>
        <v/>
      </c>
    </row>
    <row r="607" customFormat="false" ht="15" hidden="false" customHeight="false" outlineLevel="0" collapsed="false">
      <c r="A607" s="46"/>
      <c r="B607" s="47"/>
      <c r="C607" s="47"/>
      <c r="D607" s="46"/>
      <c r="E607" s="47"/>
      <c r="F607" s="47"/>
      <c r="G607" s="47"/>
      <c r="H607" s="46"/>
      <c r="I607" s="47"/>
      <c r="J607" s="47"/>
      <c r="K607" s="47"/>
      <c r="L607" s="47"/>
      <c r="M607" s="47"/>
      <c r="N607" s="47"/>
      <c r="O607" s="47"/>
      <c r="P607" s="45" t="str">
        <f aca="false">IF($A607="","",IF(COUNTIF(Accounts!$C$2:$C$201,$A607)+COUNTIF('Service Principals'!$C$2:$C$201,$A607)+COUNTIF('Managed Identities'!$C$2:$C$201,$A607)&gt;0,"Yes","NOT IN INVENTORY"))</f>
        <v/>
      </c>
    </row>
    <row r="608" customFormat="false" ht="15" hidden="false" customHeight="false" outlineLevel="0" collapsed="false">
      <c r="A608" s="46"/>
      <c r="B608" s="47"/>
      <c r="C608" s="47"/>
      <c r="D608" s="46"/>
      <c r="E608" s="47"/>
      <c r="F608" s="47"/>
      <c r="G608" s="47"/>
      <c r="H608" s="46"/>
      <c r="I608" s="47"/>
      <c r="J608" s="47"/>
      <c r="K608" s="47"/>
      <c r="L608" s="47"/>
      <c r="M608" s="47"/>
      <c r="N608" s="47"/>
      <c r="O608" s="47"/>
      <c r="P608" s="45" t="str">
        <f aca="false">IF($A608="","",IF(COUNTIF(Accounts!$C$2:$C$201,$A608)+COUNTIF('Service Principals'!$C$2:$C$201,$A608)+COUNTIF('Managed Identities'!$C$2:$C$201,$A608)&gt;0,"Yes","NOT IN INVENTORY"))</f>
        <v/>
      </c>
    </row>
    <row r="609" customFormat="false" ht="15" hidden="false" customHeight="false" outlineLevel="0" collapsed="false">
      <c r="A609" s="46"/>
      <c r="B609" s="47"/>
      <c r="C609" s="47"/>
      <c r="D609" s="46"/>
      <c r="E609" s="47"/>
      <c r="F609" s="47"/>
      <c r="G609" s="47"/>
      <c r="H609" s="46"/>
      <c r="I609" s="47"/>
      <c r="J609" s="47"/>
      <c r="K609" s="47"/>
      <c r="L609" s="47"/>
      <c r="M609" s="47"/>
      <c r="N609" s="47"/>
      <c r="O609" s="47"/>
      <c r="P609" s="45" t="str">
        <f aca="false">IF($A609="","",IF(COUNTIF(Accounts!$C$2:$C$201,$A609)+COUNTIF('Service Principals'!$C$2:$C$201,$A609)+COUNTIF('Managed Identities'!$C$2:$C$201,$A609)&gt;0,"Yes","NOT IN INVENTORY"))</f>
        <v/>
      </c>
    </row>
    <row r="610" customFormat="false" ht="15" hidden="false" customHeight="false" outlineLevel="0" collapsed="false">
      <c r="A610" s="46"/>
      <c r="B610" s="47"/>
      <c r="C610" s="47"/>
      <c r="D610" s="46"/>
      <c r="E610" s="47"/>
      <c r="F610" s="47"/>
      <c r="G610" s="47"/>
      <c r="H610" s="46"/>
      <c r="I610" s="47"/>
      <c r="J610" s="47"/>
      <c r="K610" s="47"/>
      <c r="L610" s="47"/>
      <c r="M610" s="47"/>
      <c r="N610" s="47"/>
      <c r="O610" s="47"/>
      <c r="P610" s="45" t="str">
        <f aca="false">IF($A610="","",IF(COUNTIF(Accounts!$C$2:$C$201,$A610)+COUNTIF('Service Principals'!$C$2:$C$201,$A610)+COUNTIF('Managed Identities'!$C$2:$C$201,$A610)&gt;0,"Yes","NOT IN INVENTORY"))</f>
        <v/>
      </c>
    </row>
    <row r="611" customFormat="false" ht="15" hidden="false" customHeight="false" outlineLevel="0" collapsed="false">
      <c r="A611" s="46"/>
      <c r="B611" s="47"/>
      <c r="C611" s="47"/>
      <c r="D611" s="46"/>
      <c r="E611" s="47"/>
      <c r="F611" s="47"/>
      <c r="G611" s="47"/>
      <c r="H611" s="46"/>
      <c r="I611" s="47"/>
      <c r="J611" s="47"/>
      <c r="K611" s="47"/>
      <c r="L611" s="47"/>
      <c r="M611" s="47"/>
      <c r="N611" s="47"/>
      <c r="O611" s="47"/>
      <c r="P611" s="45" t="str">
        <f aca="false">IF($A611="","",IF(COUNTIF(Accounts!$C$2:$C$201,$A611)+COUNTIF('Service Principals'!$C$2:$C$201,$A611)+COUNTIF('Managed Identities'!$C$2:$C$201,$A611)&gt;0,"Yes","NOT IN INVENTORY"))</f>
        <v/>
      </c>
    </row>
    <row r="612" customFormat="false" ht="15" hidden="false" customHeight="false" outlineLevel="0" collapsed="false">
      <c r="A612" s="46"/>
      <c r="B612" s="47"/>
      <c r="C612" s="47"/>
      <c r="D612" s="46"/>
      <c r="E612" s="47"/>
      <c r="F612" s="47"/>
      <c r="G612" s="47"/>
      <c r="H612" s="46"/>
      <c r="I612" s="47"/>
      <c r="J612" s="47"/>
      <c r="K612" s="47"/>
      <c r="L612" s="47"/>
      <c r="M612" s="47"/>
      <c r="N612" s="47"/>
      <c r="O612" s="47"/>
      <c r="P612" s="45" t="str">
        <f aca="false">IF($A612="","",IF(COUNTIF(Accounts!$C$2:$C$201,$A612)+COUNTIF('Service Principals'!$C$2:$C$201,$A612)+COUNTIF('Managed Identities'!$C$2:$C$201,$A612)&gt;0,"Yes","NOT IN INVENTORY"))</f>
        <v/>
      </c>
    </row>
    <row r="613" customFormat="false" ht="15" hidden="false" customHeight="false" outlineLevel="0" collapsed="false">
      <c r="A613" s="46"/>
      <c r="B613" s="47"/>
      <c r="C613" s="47"/>
      <c r="D613" s="46"/>
      <c r="E613" s="47"/>
      <c r="F613" s="47"/>
      <c r="G613" s="47"/>
      <c r="H613" s="46"/>
      <c r="I613" s="47"/>
      <c r="J613" s="47"/>
      <c r="K613" s="47"/>
      <c r="L613" s="47"/>
      <c r="M613" s="47"/>
      <c r="N613" s="47"/>
      <c r="O613" s="47"/>
      <c r="P613" s="45" t="str">
        <f aca="false">IF($A613="","",IF(COUNTIF(Accounts!$C$2:$C$201,$A613)+COUNTIF('Service Principals'!$C$2:$C$201,$A613)+COUNTIF('Managed Identities'!$C$2:$C$201,$A613)&gt;0,"Yes","NOT IN INVENTORY"))</f>
        <v/>
      </c>
    </row>
    <row r="614" customFormat="false" ht="15" hidden="false" customHeight="false" outlineLevel="0" collapsed="false">
      <c r="A614" s="46"/>
      <c r="B614" s="47"/>
      <c r="C614" s="47"/>
      <c r="D614" s="46"/>
      <c r="E614" s="47"/>
      <c r="F614" s="47"/>
      <c r="G614" s="47"/>
      <c r="H614" s="46"/>
      <c r="I614" s="47"/>
      <c r="J614" s="47"/>
      <c r="K614" s="47"/>
      <c r="L614" s="47"/>
      <c r="M614" s="47"/>
      <c r="N614" s="47"/>
      <c r="O614" s="47"/>
      <c r="P614" s="45" t="str">
        <f aca="false">IF($A614="","",IF(COUNTIF(Accounts!$C$2:$C$201,$A614)+COUNTIF('Service Principals'!$C$2:$C$201,$A614)+COUNTIF('Managed Identities'!$C$2:$C$201,$A614)&gt;0,"Yes","NOT IN INVENTORY"))</f>
        <v/>
      </c>
    </row>
    <row r="615" customFormat="false" ht="15" hidden="false" customHeight="false" outlineLevel="0" collapsed="false">
      <c r="A615" s="46"/>
      <c r="B615" s="47"/>
      <c r="C615" s="47"/>
      <c r="D615" s="46"/>
      <c r="E615" s="47"/>
      <c r="F615" s="47"/>
      <c r="G615" s="47"/>
      <c r="H615" s="46"/>
      <c r="I615" s="47"/>
      <c r="J615" s="47"/>
      <c r="K615" s="47"/>
      <c r="L615" s="47"/>
      <c r="M615" s="47"/>
      <c r="N615" s="47"/>
      <c r="O615" s="47"/>
      <c r="P615" s="45" t="str">
        <f aca="false">IF($A615="","",IF(COUNTIF(Accounts!$C$2:$C$201,$A615)+COUNTIF('Service Principals'!$C$2:$C$201,$A615)+COUNTIF('Managed Identities'!$C$2:$C$201,$A615)&gt;0,"Yes","NOT IN INVENTORY"))</f>
        <v/>
      </c>
    </row>
    <row r="616" customFormat="false" ht="15" hidden="false" customHeight="false" outlineLevel="0" collapsed="false">
      <c r="A616" s="46"/>
      <c r="B616" s="47"/>
      <c r="C616" s="47"/>
      <c r="D616" s="46"/>
      <c r="E616" s="47"/>
      <c r="F616" s="47"/>
      <c r="G616" s="47"/>
      <c r="H616" s="46"/>
      <c r="I616" s="47"/>
      <c r="J616" s="47"/>
      <c r="K616" s="47"/>
      <c r="L616" s="47"/>
      <c r="M616" s="47"/>
      <c r="N616" s="47"/>
      <c r="O616" s="47"/>
      <c r="P616" s="45" t="str">
        <f aca="false">IF($A616="","",IF(COUNTIF(Accounts!$C$2:$C$201,$A616)+COUNTIF('Service Principals'!$C$2:$C$201,$A616)+COUNTIF('Managed Identities'!$C$2:$C$201,$A616)&gt;0,"Yes","NOT IN INVENTORY"))</f>
        <v/>
      </c>
    </row>
    <row r="617" customFormat="false" ht="15" hidden="false" customHeight="false" outlineLevel="0" collapsed="false">
      <c r="A617" s="46"/>
      <c r="B617" s="47"/>
      <c r="C617" s="47"/>
      <c r="D617" s="46"/>
      <c r="E617" s="47"/>
      <c r="F617" s="47"/>
      <c r="G617" s="47"/>
      <c r="H617" s="46"/>
      <c r="I617" s="47"/>
      <c r="J617" s="47"/>
      <c r="K617" s="47"/>
      <c r="L617" s="47"/>
      <c r="M617" s="47"/>
      <c r="N617" s="47"/>
      <c r="O617" s="47"/>
      <c r="P617" s="45" t="str">
        <f aca="false">IF($A617="","",IF(COUNTIF(Accounts!$C$2:$C$201,$A617)+COUNTIF('Service Principals'!$C$2:$C$201,$A617)+COUNTIF('Managed Identities'!$C$2:$C$201,$A617)&gt;0,"Yes","NOT IN INVENTORY"))</f>
        <v/>
      </c>
    </row>
    <row r="618" customFormat="false" ht="15" hidden="false" customHeight="false" outlineLevel="0" collapsed="false">
      <c r="A618" s="46"/>
      <c r="B618" s="47"/>
      <c r="C618" s="47"/>
      <c r="D618" s="46"/>
      <c r="E618" s="47"/>
      <c r="F618" s="47"/>
      <c r="G618" s="47"/>
      <c r="H618" s="46"/>
      <c r="I618" s="47"/>
      <c r="J618" s="47"/>
      <c r="K618" s="47"/>
      <c r="L618" s="47"/>
      <c r="M618" s="47"/>
      <c r="N618" s="47"/>
      <c r="O618" s="47"/>
      <c r="P618" s="45" t="str">
        <f aca="false">IF($A618="","",IF(COUNTIF(Accounts!$C$2:$C$201,$A618)+COUNTIF('Service Principals'!$C$2:$C$201,$A618)+COUNTIF('Managed Identities'!$C$2:$C$201,$A618)&gt;0,"Yes","NOT IN INVENTORY"))</f>
        <v/>
      </c>
    </row>
    <row r="619" customFormat="false" ht="15" hidden="false" customHeight="false" outlineLevel="0" collapsed="false">
      <c r="A619" s="46"/>
      <c r="B619" s="47"/>
      <c r="C619" s="47"/>
      <c r="D619" s="46"/>
      <c r="E619" s="47"/>
      <c r="F619" s="47"/>
      <c r="G619" s="47"/>
      <c r="H619" s="46"/>
      <c r="I619" s="47"/>
      <c r="J619" s="47"/>
      <c r="K619" s="47"/>
      <c r="L619" s="47"/>
      <c r="M619" s="47"/>
      <c r="N619" s="47"/>
      <c r="O619" s="47"/>
      <c r="P619" s="45" t="str">
        <f aca="false">IF($A619="","",IF(COUNTIF(Accounts!$C$2:$C$201,$A619)+COUNTIF('Service Principals'!$C$2:$C$201,$A619)+COUNTIF('Managed Identities'!$C$2:$C$201,$A619)&gt;0,"Yes","NOT IN INVENTORY"))</f>
        <v/>
      </c>
    </row>
    <row r="620" customFormat="false" ht="15" hidden="false" customHeight="false" outlineLevel="0" collapsed="false">
      <c r="A620" s="46"/>
      <c r="B620" s="47"/>
      <c r="C620" s="47"/>
      <c r="D620" s="46"/>
      <c r="E620" s="47"/>
      <c r="F620" s="47"/>
      <c r="G620" s="47"/>
      <c r="H620" s="46"/>
      <c r="I620" s="47"/>
      <c r="J620" s="47"/>
      <c r="K620" s="47"/>
      <c r="L620" s="47"/>
      <c r="M620" s="47"/>
      <c r="N620" s="47"/>
      <c r="O620" s="47"/>
      <c r="P620" s="45" t="str">
        <f aca="false">IF($A620="","",IF(COUNTIF(Accounts!$C$2:$C$201,$A620)+COUNTIF('Service Principals'!$C$2:$C$201,$A620)+COUNTIF('Managed Identities'!$C$2:$C$201,$A620)&gt;0,"Yes","NOT IN INVENTORY"))</f>
        <v/>
      </c>
    </row>
    <row r="621" customFormat="false" ht="15" hidden="false" customHeight="false" outlineLevel="0" collapsed="false">
      <c r="A621" s="46"/>
      <c r="B621" s="47"/>
      <c r="C621" s="47"/>
      <c r="D621" s="46"/>
      <c r="E621" s="47"/>
      <c r="F621" s="47"/>
      <c r="G621" s="47"/>
      <c r="H621" s="46"/>
      <c r="I621" s="47"/>
      <c r="J621" s="47"/>
      <c r="K621" s="47"/>
      <c r="L621" s="47"/>
      <c r="M621" s="47"/>
      <c r="N621" s="47"/>
      <c r="O621" s="47"/>
      <c r="P621" s="45" t="str">
        <f aca="false">IF($A621="","",IF(COUNTIF(Accounts!$C$2:$C$201,$A621)+COUNTIF('Service Principals'!$C$2:$C$201,$A621)+COUNTIF('Managed Identities'!$C$2:$C$201,$A621)&gt;0,"Yes","NOT IN INVENTORY"))</f>
        <v/>
      </c>
    </row>
    <row r="622" customFormat="false" ht="15" hidden="false" customHeight="false" outlineLevel="0" collapsed="false">
      <c r="A622" s="46"/>
      <c r="B622" s="47"/>
      <c r="C622" s="47"/>
      <c r="D622" s="46"/>
      <c r="E622" s="47"/>
      <c r="F622" s="47"/>
      <c r="G622" s="47"/>
      <c r="H622" s="46"/>
      <c r="I622" s="47"/>
      <c r="J622" s="47"/>
      <c r="K622" s="47"/>
      <c r="L622" s="47"/>
      <c r="M622" s="47"/>
      <c r="N622" s="47"/>
      <c r="O622" s="47"/>
      <c r="P622" s="45" t="str">
        <f aca="false">IF($A622="","",IF(COUNTIF(Accounts!$C$2:$C$201,$A622)+COUNTIF('Service Principals'!$C$2:$C$201,$A622)+COUNTIF('Managed Identities'!$C$2:$C$201,$A622)&gt;0,"Yes","NOT IN INVENTORY"))</f>
        <v/>
      </c>
    </row>
    <row r="623" customFormat="false" ht="15" hidden="false" customHeight="false" outlineLevel="0" collapsed="false">
      <c r="A623" s="46"/>
      <c r="B623" s="47"/>
      <c r="C623" s="47"/>
      <c r="D623" s="46"/>
      <c r="E623" s="47"/>
      <c r="F623" s="47"/>
      <c r="G623" s="47"/>
      <c r="H623" s="46"/>
      <c r="I623" s="47"/>
      <c r="J623" s="47"/>
      <c r="K623" s="47"/>
      <c r="L623" s="47"/>
      <c r="M623" s="47"/>
      <c r="N623" s="47"/>
      <c r="O623" s="47"/>
      <c r="P623" s="45" t="str">
        <f aca="false">IF($A623="","",IF(COUNTIF(Accounts!$C$2:$C$201,$A623)+COUNTIF('Service Principals'!$C$2:$C$201,$A623)+COUNTIF('Managed Identities'!$C$2:$C$201,$A623)&gt;0,"Yes","NOT IN INVENTORY"))</f>
        <v/>
      </c>
    </row>
    <row r="624" customFormat="false" ht="15" hidden="false" customHeight="false" outlineLevel="0" collapsed="false">
      <c r="A624" s="46"/>
      <c r="B624" s="47"/>
      <c r="C624" s="47"/>
      <c r="D624" s="46"/>
      <c r="E624" s="47"/>
      <c r="F624" s="47"/>
      <c r="G624" s="47"/>
      <c r="H624" s="46"/>
      <c r="I624" s="47"/>
      <c r="J624" s="47"/>
      <c r="K624" s="47"/>
      <c r="L624" s="47"/>
      <c r="M624" s="47"/>
      <c r="N624" s="47"/>
      <c r="O624" s="47"/>
      <c r="P624" s="45" t="str">
        <f aca="false">IF($A624="","",IF(COUNTIF(Accounts!$C$2:$C$201,$A624)+COUNTIF('Service Principals'!$C$2:$C$201,$A624)+COUNTIF('Managed Identities'!$C$2:$C$201,$A624)&gt;0,"Yes","NOT IN INVENTORY"))</f>
        <v/>
      </c>
    </row>
    <row r="625" customFormat="false" ht="15" hidden="false" customHeight="false" outlineLevel="0" collapsed="false">
      <c r="A625" s="46"/>
      <c r="B625" s="47"/>
      <c r="C625" s="47"/>
      <c r="D625" s="46"/>
      <c r="E625" s="47"/>
      <c r="F625" s="47"/>
      <c r="G625" s="47"/>
      <c r="H625" s="46"/>
      <c r="I625" s="47"/>
      <c r="J625" s="47"/>
      <c r="K625" s="47"/>
      <c r="L625" s="47"/>
      <c r="M625" s="47"/>
      <c r="N625" s="47"/>
      <c r="O625" s="47"/>
      <c r="P625" s="45" t="str">
        <f aca="false">IF($A625="","",IF(COUNTIF(Accounts!$C$2:$C$201,$A625)+COUNTIF('Service Principals'!$C$2:$C$201,$A625)+COUNTIF('Managed Identities'!$C$2:$C$201,$A625)&gt;0,"Yes","NOT IN INVENTORY"))</f>
        <v/>
      </c>
    </row>
    <row r="626" customFormat="false" ht="15" hidden="false" customHeight="false" outlineLevel="0" collapsed="false">
      <c r="A626" s="46"/>
      <c r="B626" s="47"/>
      <c r="C626" s="47"/>
      <c r="D626" s="46"/>
      <c r="E626" s="47"/>
      <c r="F626" s="47"/>
      <c r="G626" s="47"/>
      <c r="H626" s="46"/>
      <c r="I626" s="47"/>
      <c r="J626" s="47"/>
      <c r="K626" s="47"/>
      <c r="L626" s="47"/>
      <c r="M626" s="47"/>
      <c r="N626" s="47"/>
      <c r="O626" s="47"/>
      <c r="P626" s="45" t="str">
        <f aca="false">IF($A626="","",IF(COUNTIF(Accounts!$C$2:$C$201,$A626)+COUNTIF('Service Principals'!$C$2:$C$201,$A626)+COUNTIF('Managed Identities'!$C$2:$C$201,$A626)&gt;0,"Yes","NOT IN INVENTORY"))</f>
        <v/>
      </c>
    </row>
    <row r="627" customFormat="false" ht="15" hidden="false" customHeight="false" outlineLevel="0" collapsed="false">
      <c r="A627" s="46"/>
      <c r="B627" s="47"/>
      <c r="C627" s="47"/>
      <c r="D627" s="46"/>
      <c r="E627" s="47"/>
      <c r="F627" s="47"/>
      <c r="G627" s="47"/>
      <c r="H627" s="46"/>
      <c r="I627" s="47"/>
      <c r="J627" s="47"/>
      <c r="K627" s="47"/>
      <c r="L627" s="47"/>
      <c r="M627" s="47"/>
      <c r="N627" s="47"/>
      <c r="O627" s="47"/>
      <c r="P627" s="45" t="str">
        <f aca="false">IF($A627="","",IF(COUNTIF(Accounts!$C$2:$C$201,$A627)+COUNTIF('Service Principals'!$C$2:$C$201,$A627)+COUNTIF('Managed Identities'!$C$2:$C$201,$A627)&gt;0,"Yes","NOT IN INVENTORY"))</f>
        <v/>
      </c>
    </row>
    <row r="628" customFormat="false" ht="15" hidden="false" customHeight="false" outlineLevel="0" collapsed="false">
      <c r="A628" s="46"/>
      <c r="B628" s="47"/>
      <c r="C628" s="47"/>
      <c r="D628" s="46"/>
      <c r="E628" s="47"/>
      <c r="F628" s="47"/>
      <c r="G628" s="47"/>
      <c r="H628" s="46"/>
      <c r="I628" s="47"/>
      <c r="J628" s="47"/>
      <c r="K628" s="47"/>
      <c r="L628" s="47"/>
      <c r="M628" s="47"/>
      <c r="N628" s="47"/>
      <c r="O628" s="47"/>
      <c r="P628" s="45" t="str">
        <f aca="false">IF($A628="","",IF(COUNTIF(Accounts!$C$2:$C$201,$A628)+COUNTIF('Service Principals'!$C$2:$C$201,$A628)+COUNTIF('Managed Identities'!$C$2:$C$201,$A628)&gt;0,"Yes","NOT IN INVENTORY"))</f>
        <v/>
      </c>
    </row>
    <row r="629" customFormat="false" ht="15" hidden="false" customHeight="false" outlineLevel="0" collapsed="false">
      <c r="A629" s="46"/>
      <c r="B629" s="47"/>
      <c r="C629" s="47"/>
      <c r="D629" s="46"/>
      <c r="E629" s="47"/>
      <c r="F629" s="47"/>
      <c r="G629" s="47"/>
      <c r="H629" s="46"/>
      <c r="I629" s="47"/>
      <c r="J629" s="47"/>
      <c r="K629" s="47"/>
      <c r="L629" s="47"/>
      <c r="M629" s="47"/>
      <c r="N629" s="47"/>
      <c r="O629" s="47"/>
      <c r="P629" s="45" t="str">
        <f aca="false">IF($A629="","",IF(COUNTIF(Accounts!$C$2:$C$201,$A629)+COUNTIF('Service Principals'!$C$2:$C$201,$A629)+COUNTIF('Managed Identities'!$C$2:$C$201,$A629)&gt;0,"Yes","NOT IN INVENTORY"))</f>
        <v/>
      </c>
    </row>
    <row r="630" customFormat="false" ht="15" hidden="false" customHeight="false" outlineLevel="0" collapsed="false">
      <c r="A630" s="46"/>
      <c r="B630" s="47"/>
      <c r="C630" s="47"/>
      <c r="D630" s="46"/>
      <c r="E630" s="47"/>
      <c r="F630" s="47"/>
      <c r="G630" s="47"/>
      <c r="H630" s="46"/>
      <c r="I630" s="47"/>
      <c r="J630" s="47"/>
      <c r="K630" s="47"/>
      <c r="L630" s="47"/>
      <c r="M630" s="47"/>
      <c r="N630" s="47"/>
      <c r="O630" s="47"/>
      <c r="P630" s="45" t="str">
        <f aca="false">IF($A630="","",IF(COUNTIF(Accounts!$C$2:$C$201,$A630)+COUNTIF('Service Principals'!$C$2:$C$201,$A630)+COUNTIF('Managed Identities'!$C$2:$C$201,$A630)&gt;0,"Yes","NOT IN INVENTORY"))</f>
        <v/>
      </c>
    </row>
    <row r="631" customFormat="false" ht="15" hidden="false" customHeight="false" outlineLevel="0" collapsed="false">
      <c r="A631" s="46"/>
      <c r="B631" s="47"/>
      <c r="C631" s="47"/>
      <c r="D631" s="46"/>
      <c r="E631" s="47"/>
      <c r="F631" s="47"/>
      <c r="G631" s="47"/>
      <c r="H631" s="46"/>
      <c r="I631" s="47"/>
      <c r="J631" s="47"/>
      <c r="K631" s="47"/>
      <c r="L631" s="47"/>
      <c r="M631" s="47"/>
      <c r="N631" s="47"/>
      <c r="O631" s="47"/>
      <c r="P631" s="45" t="str">
        <f aca="false">IF($A631="","",IF(COUNTIF(Accounts!$C$2:$C$201,$A631)+COUNTIF('Service Principals'!$C$2:$C$201,$A631)+COUNTIF('Managed Identities'!$C$2:$C$201,$A631)&gt;0,"Yes","NOT IN INVENTORY"))</f>
        <v/>
      </c>
    </row>
    <row r="632" customFormat="false" ht="15" hidden="false" customHeight="false" outlineLevel="0" collapsed="false">
      <c r="A632" s="46"/>
      <c r="B632" s="47"/>
      <c r="C632" s="47"/>
      <c r="D632" s="46"/>
      <c r="E632" s="47"/>
      <c r="F632" s="47"/>
      <c r="G632" s="47"/>
      <c r="H632" s="46"/>
      <c r="I632" s="47"/>
      <c r="J632" s="47"/>
      <c r="K632" s="47"/>
      <c r="L632" s="47"/>
      <c r="M632" s="47"/>
      <c r="N632" s="47"/>
      <c r="O632" s="47"/>
      <c r="P632" s="45" t="str">
        <f aca="false">IF($A632="","",IF(COUNTIF(Accounts!$C$2:$C$201,$A632)+COUNTIF('Service Principals'!$C$2:$C$201,$A632)+COUNTIF('Managed Identities'!$C$2:$C$201,$A632)&gt;0,"Yes","NOT IN INVENTORY"))</f>
        <v/>
      </c>
    </row>
    <row r="633" customFormat="false" ht="15" hidden="false" customHeight="false" outlineLevel="0" collapsed="false">
      <c r="A633" s="46"/>
      <c r="B633" s="47"/>
      <c r="C633" s="47"/>
      <c r="D633" s="46"/>
      <c r="E633" s="47"/>
      <c r="F633" s="47"/>
      <c r="G633" s="47"/>
      <c r="H633" s="46"/>
      <c r="I633" s="47"/>
      <c r="J633" s="47"/>
      <c r="K633" s="47"/>
      <c r="L633" s="47"/>
      <c r="M633" s="47"/>
      <c r="N633" s="47"/>
      <c r="O633" s="47"/>
      <c r="P633" s="45" t="str">
        <f aca="false">IF($A633="","",IF(COUNTIF(Accounts!$C$2:$C$201,$A633)+COUNTIF('Service Principals'!$C$2:$C$201,$A633)+COUNTIF('Managed Identities'!$C$2:$C$201,$A633)&gt;0,"Yes","NOT IN INVENTORY"))</f>
        <v/>
      </c>
    </row>
    <row r="634" customFormat="false" ht="15" hidden="false" customHeight="false" outlineLevel="0" collapsed="false">
      <c r="A634" s="46"/>
      <c r="B634" s="47"/>
      <c r="C634" s="47"/>
      <c r="D634" s="46"/>
      <c r="E634" s="47"/>
      <c r="F634" s="47"/>
      <c r="G634" s="47"/>
      <c r="H634" s="46"/>
      <c r="I634" s="47"/>
      <c r="J634" s="47"/>
      <c r="K634" s="47"/>
      <c r="L634" s="47"/>
      <c r="M634" s="47"/>
      <c r="N634" s="47"/>
      <c r="O634" s="47"/>
      <c r="P634" s="45" t="str">
        <f aca="false">IF($A634="","",IF(COUNTIF(Accounts!$C$2:$C$201,$A634)+COUNTIF('Service Principals'!$C$2:$C$201,$A634)+COUNTIF('Managed Identities'!$C$2:$C$201,$A634)&gt;0,"Yes","NOT IN INVENTORY"))</f>
        <v/>
      </c>
    </row>
    <row r="635" customFormat="false" ht="15" hidden="false" customHeight="false" outlineLevel="0" collapsed="false">
      <c r="A635" s="46"/>
      <c r="B635" s="47"/>
      <c r="C635" s="47"/>
      <c r="D635" s="46"/>
      <c r="E635" s="47"/>
      <c r="F635" s="47"/>
      <c r="G635" s="47"/>
      <c r="H635" s="46"/>
      <c r="I635" s="47"/>
      <c r="J635" s="47"/>
      <c r="K635" s="47"/>
      <c r="L635" s="47"/>
      <c r="M635" s="47"/>
      <c r="N635" s="47"/>
      <c r="O635" s="47"/>
      <c r="P635" s="45" t="str">
        <f aca="false">IF($A635="","",IF(COUNTIF(Accounts!$C$2:$C$201,$A635)+COUNTIF('Service Principals'!$C$2:$C$201,$A635)+COUNTIF('Managed Identities'!$C$2:$C$201,$A635)&gt;0,"Yes","NOT IN INVENTORY"))</f>
        <v/>
      </c>
    </row>
    <row r="636" customFormat="false" ht="15" hidden="false" customHeight="false" outlineLevel="0" collapsed="false">
      <c r="A636" s="46"/>
      <c r="B636" s="47"/>
      <c r="C636" s="47"/>
      <c r="D636" s="46"/>
      <c r="E636" s="47"/>
      <c r="F636" s="47"/>
      <c r="G636" s="47"/>
      <c r="H636" s="46"/>
      <c r="I636" s="47"/>
      <c r="J636" s="47"/>
      <c r="K636" s="47"/>
      <c r="L636" s="47"/>
      <c r="M636" s="47"/>
      <c r="N636" s="47"/>
      <c r="O636" s="47"/>
      <c r="P636" s="45" t="str">
        <f aca="false">IF($A636="","",IF(COUNTIF(Accounts!$C$2:$C$201,$A636)+COUNTIF('Service Principals'!$C$2:$C$201,$A636)+COUNTIF('Managed Identities'!$C$2:$C$201,$A636)&gt;0,"Yes","NOT IN INVENTORY"))</f>
        <v/>
      </c>
    </row>
    <row r="637" customFormat="false" ht="15" hidden="false" customHeight="false" outlineLevel="0" collapsed="false">
      <c r="A637" s="46"/>
      <c r="B637" s="47"/>
      <c r="C637" s="47"/>
      <c r="D637" s="46"/>
      <c r="E637" s="47"/>
      <c r="F637" s="47"/>
      <c r="G637" s="47"/>
      <c r="H637" s="46"/>
      <c r="I637" s="47"/>
      <c r="J637" s="47"/>
      <c r="K637" s="47"/>
      <c r="L637" s="47"/>
      <c r="M637" s="47"/>
      <c r="N637" s="47"/>
      <c r="O637" s="47"/>
      <c r="P637" s="45" t="str">
        <f aca="false">IF($A637="","",IF(COUNTIF(Accounts!$C$2:$C$201,$A637)+COUNTIF('Service Principals'!$C$2:$C$201,$A637)+COUNTIF('Managed Identities'!$C$2:$C$201,$A637)&gt;0,"Yes","NOT IN INVENTORY"))</f>
        <v/>
      </c>
    </row>
    <row r="638" customFormat="false" ht="15" hidden="false" customHeight="false" outlineLevel="0" collapsed="false">
      <c r="A638" s="46"/>
      <c r="B638" s="47"/>
      <c r="C638" s="47"/>
      <c r="D638" s="46"/>
      <c r="E638" s="47"/>
      <c r="F638" s="47"/>
      <c r="G638" s="47"/>
      <c r="H638" s="46"/>
      <c r="I638" s="47"/>
      <c r="J638" s="47"/>
      <c r="K638" s="47"/>
      <c r="L638" s="47"/>
      <c r="M638" s="47"/>
      <c r="N638" s="47"/>
      <c r="O638" s="47"/>
      <c r="P638" s="45" t="str">
        <f aca="false">IF($A638="","",IF(COUNTIF(Accounts!$C$2:$C$201,$A638)+COUNTIF('Service Principals'!$C$2:$C$201,$A638)+COUNTIF('Managed Identities'!$C$2:$C$201,$A638)&gt;0,"Yes","NOT IN INVENTORY"))</f>
        <v/>
      </c>
    </row>
    <row r="639" customFormat="false" ht="15" hidden="false" customHeight="false" outlineLevel="0" collapsed="false">
      <c r="A639" s="46"/>
      <c r="B639" s="47"/>
      <c r="C639" s="47"/>
      <c r="D639" s="46"/>
      <c r="E639" s="47"/>
      <c r="F639" s="47"/>
      <c r="G639" s="47"/>
      <c r="H639" s="46"/>
      <c r="I639" s="47"/>
      <c r="J639" s="47"/>
      <c r="K639" s="47"/>
      <c r="L639" s="47"/>
      <c r="M639" s="47"/>
      <c r="N639" s="47"/>
      <c r="O639" s="47"/>
      <c r="P639" s="45" t="str">
        <f aca="false">IF($A639="","",IF(COUNTIF(Accounts!$C$2:$C$201,$A639)+COUNTIF('Service Principals'!$C$2:$C$201,$A639)+COUNTIF('Managed Identities'!$C$2:$C$201,$A639)&gt;0,"Yes","NOT IN INVENTORY"))</f>
        <v/>
      </c>
    </row>
    <row r="640" customFormat="false" ht="15" hidden="false" customHeight="false" outlineLevel="0" collapsed="false">
      <c r="A640" s="46"/>
      <c r="B640" s="47"/>
      <c r="C640" s="47"/>
      <c r="D640" s="46"/>
      <c r="E640" s="47"/>
      <c r="F640" s="47"/>
      <c r="G640" s="47"/>
      <c r="H640" s="46"/>
      <c r="I640" s="47"/>
      <c r="J640" s="47"/>
      <c r="K640" s="47"/>
      <c r="L640" s="47"/>
      <c r="M640" s="47"/>
      <c r="N640" s="47"/>
      <c r="O640" s="47"/>
      <c r="P640" s="45" t="str">
        <f aca="false">IF($A640="","",IF(COUNTIF(Accounts!$C$2:$C$201,$A640)+COUNTIF('Service Principals'!$C$2:$C$201,$A640)+COUNTIF('Managed Identities'!$C$2:$C$201,$A640)&gt;0,"Yes","NOT IN INVENTORY"))</f>
        <v/>
      </c>
    </row>
    <row r="641" customFormat="false" ht="15" hidden="false" customHeight="false" outlineLevel="0" collapsed="false">
      <c r="A641" s="46"/>
      <c r="B641" s="47"/>
      <c r="C641" s="47"/>
      <c r="D641" s="46"/>
      <c r="E641" s="47"/>
      <c r="F641" s="47"/>
      <c r="G641" s="47"/>
      <c r="H641" s="46"/>
      <c r="I641" s="47"/>
      <c r="J641" s="47"/>
      <c r="K641" s="47"/>
      <c r="L641" s="47"/>
      <c r="M641" s="47"/>
      <c r="N641" s="47"/>
      <c r="O641" s="47"/>
      <c r="P641" s="45" t="str">
        <f aca="false">IF($A641="","",IF(COUNTIF(Accounts!$C$2:$C$201,$A641)+COUNTIF('Service Principals'!$C$2:$C$201,$A641)+COUNTIF('Managed Identities'!$C$2:$C$201,$A641)&gt;0,"Yes","NOT IN INVENTORY"))</f>
        <v/>
      </c>
    </row>
    <row r="642" customFormat="false" ht="15" hidden="false" customHeight="false" outlineLevel="0" collapsed="false">
      <c r="A642" s="46"/>
      <c r="B642" s="47"/>
      <c r="C642" s="47"/>
      <c r="D642" s="46"/>
      <c r="E642" s="47"/>
      <c r="F642" s="47"/>
      <c r="G642" s="47"/>
      <c r="H642" s="46"/>
      <c r="I642" s="47"/>
      <c r="J642" s="47"/>
      <c r="K642" s="47"/>
      <c r="L642" s="47"/>
      <c r="M642" s="47"/>
      <c r="N642" s="47"/>
      <c r="O642" s="47"/>
      <c r="P642" s="45" t="str">
        <f aca="false">IF($A642="","",IF(COUNTIF(Accounts!$C$2:$C$201,$A642)+COUNTIF('Service Principals'!$C$2:$C$201,$A642)+COUNTIF('Managed Identities'!$C$2:$C$201,$A642)&gt;0,"Yes","NOT IN INVENTORY"))</f>
        <v/>
      </c>
    </row>
    <row r="643" customFormat="false" ht="15" hidden="false" customHeight="false" outlineLevel="0" collapsed="false">
      <c r="A643" s="46"/>
      <c r="B643" s="47"/>
      <c r="C643" s="47"/>
      <c r="D643" s="46"/>
      <c r="E643" s="47"/>
      <c r="F643" s="47"/>
      <c r="G643" s="47"/>
      <c r="H643" s="46"/>
      <c r="I643" s="47"/>
      <c r="J643" s="47"/>
      <c r="K643" s="47"/>
      <c r="L643" s="47"/>
      <c r="M643" s="47"/>
      <c r="N643" s="47"/>
      <c r="O643" s="47"/>
      <c r="P643" s="45" t="str">
        <f aca="false">IF($A643="","",IF(COUNTIF(Accounts!$C$2:$C$201,$A643)+COUNTIF('Service Principals'!$C$2:$C$201,$A643)+COUNTIF('Managed Identities'!$C$2:$C$201,$A643)&gt;0,"Yes","NOT IN INVENTORY"))</f>
        <v/>
      </c>
    </row>
    <row r="644" customFormat="false" ht="15" hidden="false" customHeight="false" outlineLevel="0" collapsed="false">
      <c r="A644" s="46"/>
      <c r="B644" s="47"/>
      <c r="C644" s="47"/>
      <c r="D644" s="46"/>
      <c r="E644" s="47"/>
      <c r="F644" s="47"/>
      <c r="G644" s="47"/>
      <c r="H644" s="46"/>
      <c r="I644" s="47"/>
      <c r="J644" s="47"/>
      <c r="K644" s="47"/>
      <c r="L644" s="47"/>
      <c r="M644" s="47"/>
      <c r="N644" s="47"/>
      <c r="O644" s="47"/>
      <c r="P644" s="45" t="str">
        <f aca="false">IF($A644="","",IF(COUNTIF(Accounts!$C$2:$C$201,$A644)+COUNTIF('Service Principals'!$C$2:$C$201,$A644)+COUNTIF('Managed Identities'!$C$2:$C$201,$A644)&gt;0,"Yes","NOT IN INVENTORY"))</f>
        <v/>
      </c>
    </row>
    <row r="645" customFormat="false" ht="15" hidden="false" customHeight="false" outlineLevel="0" collapsed="false">
      <c r="A645" s="46"/>
      <c r="B645" s="47"/>
      <c r="C645" s="47"/>
      <c r="D645" s="46"/>
      <c r="E645" s="47"/>
      <c r="F645" s="47"/>
      <c r="G645" s="47"/>
      <c r="H645" s="46"/>
      <c r="I645" s="47"/>
      <c r="J645" s="47"/>
      <c r="K645" s="47"/>
      <c r="L645" s="47"/>
      <c r="M645" s="47"/>
      <c r="N645" s="47"/>
      <c r="O645" s="47"/>
      <c r="P645" s="45" t="str">
        <f aca="false">IF($A645="","",IF(COUNTIF(Accounts!$C$2:$C$201,$A645)+COUNTIF('Service Principals'!$C$2:$C$201,$A645)+COUNTIF('Managed Identities'!$C$2:$C$201,$A645)&gt;0,"Yes","NOT IN INVENTORY"))</f>
        <v/>
      </c>
    </row>
    <row r="646" customFormat="false" ht="15" hidden="false" customHeight="false" outlineLevel="0" collapsed="false">
      <c r="A646" s="46"/>
      <c r="B646" s="47"/>
      <c r="C646" s="47"/>
      <c r="D646" s="46"/>
      <c r="E646" s="47"/>
      <c r="F646" s="47"/>
      <c r="G646" s="47"/>
      <c r="H646" s="46"/>
      <c r="I646" s="47"/>
      <c r="J646" s="47"/>
      <c r="K646" s="47"/>
      <c r="L646" s="47"/>
      <c r="M646" s="47"/>
      <c r="N646" s="47"/>
      <c r="O646" s="47"/>
      <c r="P646" s="45" t="str">
        <f aca="false">IF($A646="","",IF(COUNTIF(Accounts!$C$2:$C$201,$A646)+COUNTIF('Service Principals'!$C$2:$C$201,$A646)+COUNTIF('Managed Identities'!$C$2:$C$201,$A646)&gt;0,"Yes","NOT IN INVENTORY"))</f>
        <v/>
      </c>
    </row>
    <row r="647" customFormat="false" ht="15" hidden="false" customHeight="false" outlineLevel="0" collapsed="false">
      <c r="A647" s="46"/>
      <c r="B647" s="47"/>
      <c r="C647" s="47"/>
      <c r="D647" s="46"/>
      <c r="E647" s="47"/>
      <c r="F647" s="47"/>
      <c r="G647" s="47"/>
      <c r="H647" s="46"/>
      <c r="I647" s="47"/>
      <c r="J647" s="47"/>
      <c r="K647" s="47"/>
      <c r="L647" s="47"/>
      <c r="M647" s="47"/>
      <c r="N647" s="47"/>
      <c r="O647" s="47"/>
      <c r="P647" s="45" t="str">
        <f aca="false">IF($A647="","",IF(COUNTIF(Accounts!$C$2:$C$201,$A647)+COUNTIF('Service Principals'!$C$2:$C$201,$A647)+COUNTIF('Managed Identities'!$C$2:$C$201,$A647)&gt;0,"Yes","NOT IN INVENTORY"))</f>
        <v/>
      </c>
    </row>
    <row r="648" customFormat="false" ht="15" hidden="false" customHeight="false" outlineLevel="0" collapsed="false">
      <c r="A648" s="46"/>
      <c r="B648" s="47"/>
      <c r="C648" s="47"/>
      <c r="D648" s="46"/>
      <c r="E648" s="47"/>
      <c r="F648" s="47"/>
      <c r="G648" s="47"/>
      <c r="H648" s="46"/>
      <c r="I648" s="47"/>
      <c r="J648" s="47"/>
      <c r="K648" s="47"/>
      <c r="L648" s="47"/>
      <c r="M648" s="47"/>
      <c r="N648" s="47"/>
      <c r="O648" s="47"/>
      <c r="P648" s="45" t="str">
        <f aca="false">IF($A648="","",IF(COUNTIF(Accounts!$C$2:$C$201,$A648)+COUNTIF('Service Principals'!$C$2:$C$201,$A648)+COUNTIF('Managed Identities'!$C$2:$C$201,$A648)&gt;0,"Yes","NOT IN INVENTORY"))</f>
        <v/>
      </c>
    </row>
    <row r="649" customFormat="false" ht="15" hidden="false" customHeight="false" outlineLevel="0" collapsed="false">
      <c r="A649" s="46"/>
      <c r="B649" s="47"/>
      <c r="C649" s="47"/>
      <c r="D649" s="46"/>
      <c r="E649" s="47"/>
      <c r="F649" s="47"/>
      <c r="G649" s="47"/>
      <c r="H649" s="46"/>
      <c r="I649" s="47"/>
      <c r="J649" s="47"/>
      <c r="K649" s="47"/>
      <c r="L649" s="47"/>
      <c r="M649" s="47"/>
      <c r="N649" s="47"/>
      <c r="O649" s="47"/>
      <c r="P649" s="45" t="str">
        <f aca="false">IF($A649="","",IF(COUNTIF(Accounts!$C$2:$C$201,$A649)+COUNTIF('Service Principals'!$C$2:$C$201,$A649)+COUNTIF('Managed Identities'!$C$2:$C$201,$A649)&gt;0,"Yes","NOT IN INVENTORY"))</f>
        <v/>
      </c>
    </row>
    <row r="650" customFormat="false" ht="15" hidden="false" customHeight="false" outlineLevel="0" collapsed="false">
      <c r="A650" s="46"/>
      <c r="B650" s="47"/>
      <c r="C650" s="47"/>
      <c r="D650" s="46"/>
      <c r="E650" s="47"/>
      <c r="F650" s="47"/>
      <c r="G650" s="47"/>
      <c r="H650" s="46"/>
      <c r="I650" s="47"/>
      <c r="J650" s="47"/>
      <c r="K650" s="47"/>
      <c r="L650" s="47"/>
      <c r="M650" s="47"/>
      <c r="N650" s="47"/>
      <c r="O650" s="47"/>
      <c r="P650" s="45" t="str">
        <f aca="false">IF($A650="","",IF(COUNTIF(Accounts!$C$2:$C$201,$A650)+COUNTIF('Service Principals'!$C$2:$C$201,$A650)+COUNTIF('Managed Identities'!$C$2:$C$201,$A650)&gt;0,"Yes","NOT IN INVENTORY"))</f>
        <v/>
      </c>
    </row>
    <row r="651" customFormat="false" ht="15" hidden="false" customHeight="false" outlineLevel="0" collapsed="false">
      <c r="A651" s="46"/>
      <c r="B651" s="47"/>
      <c r="C651" s="47"/>
      <c r="D651" s="46"/>
      <c r="E651" s="47"/>
      <c r="F651" s="47"/>
      <c r="G651" s="47"/>
      <c r="H651" s="46"/>
      <c r="I651" s="47"/>
      <c r="J651" s="47"/>
      <c r="K651" s="47"/>
      <c r="L651" s="47"/>
      <c r="M651" s="47"/>
      <c r="N651" s="47"/>
      <c r="O651" s="47"/>
      <c r="P651" s="45" t="str">
        <f aca="false">IF($A651="","",IF(COUNTIF(Accounts!$C$2:$C$201,$A651)+COUNTIF('Service Principals'!$C$2:$C$201,$A651)+COUNTIF('Managed Identities'!$C$2:$C$201,$A651)&gt;0,"Yes","NOT IN INVENTORY"))</f>
        <v/>
      </c>
    </row>
    <row r="652" customFormat="false" ht="15" hidden="false" customHeight="false" outlineLevel="0" collapsed="false">
      <c r="A652" s="46"/>
      <c r="B652" s="47"/>
      <c r="C652" s="47"/>
      <c r="D652" s="46"/>
      <c r="E652" s="47"/>
      <c r="F652" s="47"/>
      <c r="G652" s="47"/>
      <c r="H652" s="46"/>
      <c r="I652" s="47"/>
      <c r="J652" s="47"/>
      <c r="K652" s="47"/>
      <c r="L652" s="47"/>
      <c r="M652" s="47"/>
      <c r="N652" s="47"/>
      <c r="O652" s="47"/>
      <c r="P652" s="45" t="str">
        <f aca="false">IF($A652="","",IF(COUNTIF(Accounts!$C$2:$C$201,$A652)+COUNTIF('Service Principals'!$C$2:$C$201,$A652)+COUNTIF('Managed Identities'!$C$2:$C$201,$A652)&gt;0,"Yes","NOT IN INVENTORY"))</f>
        <v/>
      </c>
    </row>
    <row r="653" customFormat="false" ht="15" hidden="false" customHeight="false" outlineLevel="0" collapsed="false">
      <c r="A653" s="46"/>
      <c r="B653" s="47"/>
      <c r="C653" s="47"/>
      <c r="D653" s="46"/>
      <c r="E653" s="47"/>
      <c r="F653" s="47"/>
      <c r="G653" s="47"/>
      <c r="H653" s="46"/>
      <c r="I653" s="47"/>
      <c r="J653" s="47"/>
      <c r="K653" s="47"/>
      <c r="L653" s="47"/>
      <c r="M653" s="47"/>
      <c r="N653" s="47"/>
      <c r="O653" s="47"/>
      <c r="P653" s="45" t="str">
        <f aca="false">IF($A653="","",IF(COUNTIF(Accounts!$C$2:$C$201,$A653)+COUNTIF('Service Principals'!$C$2:$C$201,$A653)+COUNTIF('Managed Identities'!$C$2:$C$201,$A653)&gt;0,"Yes","NOT IN INVENTORY"))</f>
        <v/>
      </c>
    </row>
    <row r="654" customFormat="false" ht="15" hidden="false" customHeight="false" outlineLevel="0" collapsed="false">
      <c r="A654" s="46"/>
      <c r="B654" s="47"/>
      <c r="C654" s="47"/>
      <c r="D654" s="46"/>
      <c r="E654" s="47"/>
      <c r="F654" s="47"/>
      <c r="G654" s="47"/>
      <c r="H654" s="46"/>
      <c r="I654" s="47"/>
      <c r="J654" s="47"/>
      <c r="K654" s="47"/>
      <c r="L654" s="47"/>
      <c r="M654" s="47"/>
      <c r="N654" s="47"/>
      <c r="O654" s="47"/>
      <c r="P654" s="45" t="str">
        <f aca="false">IF($A654="","",IF(COUNTIF(Accounts!$C$2:$C$201,$A654)+COUNTIF('Service Principals'!$C$2:$C$201,$A654)+COUNTIF('Managed Identities'!$C$2:$C$201,$A654)&gt;0,"Yes","NOT IN INVENTORY"))</f>
        <v/>
      </c>
    </row>
    <row r="655" customFormat="false" ht="15" hidden="false" customHeight="false" outlineLevel="0" collapsed="false">
      <c r="A655" s="46"/>
      <c r="B655" s="47"/>
      <c r="C655" s="47"/>
      <c r="D655" s="46"/>
      <c r="E655" s="47"/>
      <c r="F655" s="47"/>
      <c r="G655" s="47"/>
      <c r="H655" s="46"/>
      <c r="I655" s="47"/>
      <c r="J655" s="47"/>
      <c r="K655" s="47"/>
      <c r="L655" s="47"/>
      <c r="M655" s="47"/>
      <c r="N655" s="47"/>
      <c r="O655" s="47"/>
      <c r="P655" s="45" t="str">
        <f aca="false">IF($A655="","",IF(COUNTIF(Accounts!$C$2:$C$201,$A655)+COUNTIF('Service Principals'!$C$2:$C$201,$A655)+COUNTIF('Managed Identities'!$C$2:$C$201,$A655)&gt;0,"Yes","NOT IN INVENTORY"))</f>
        <v/>
      </c>
    </row>
    <row r="656" customFormat="false" ht="15" hidden="false" customHeight="false" outlineLevel="0" collapsed="false">
      <c r="A656" s="46"/>
      <c r="B656" s="47"/>
      <c r="C656" s="47"/>
      <c r="D656" s="46"/>
      <c r="E656" s="47"/>
      <c r="F656" s="47"/>
      <c r="G656" s="47"/>
      <c r="H656" s="46"/>
      <c r="I656" s="47"/>
      <c r="J656" s="47"/>
      <c r="K656" s="47"/>
      <c r="L656" s="47"/>
      <c r="M656" s="47"/>
      <c r="N656" s="47"/>
      <c r="O656" s="47"/>
      <c r="P656" s="45" t="str">
        <f aca="false">IF($A656="","",IF(COUNTIF(Accounts!$C$2:$C$201,$A656)+COUNTIF('Service Principals'!$C$2:$C$201,$A656)+COUNTIF('Managed Identities'!$C$2:$C$201,$A656)&gt;0,"Yes","NOT IN INVENTORY"))</f>
        <v/>
      </c>
    </row>
    <row r="657" customFormat="false" ht="15" hidden="false" customHeight="false" outlineLevel="0" collapsed="false">
      <c r="A657" s="46"/>
      <c r="B657" s="47"/>
      <c r="C657" s="47"/>
      <c r="D657" s="46"/>
      <c r="E657" s="47"/>
      <c r="F657" s="47"/>
      <c r="G657" s="47"/>
      <c r="H657" s="46"/>
      <c r="I657" s="47"/>
      <c r="J657" s="47"/>
      <c r="K657" s="47"/>
      <c r="L657" s="47"/>
      <c r="M657" s="47"/>
      <c r="N657" s="47"/>
      <c r="O657" s="47"/>
      <c r="P657" s="45" t="str">
        <f aca="false">IF($A657="","",IF(COUNTIF(Accounts!$C$2:$C$201,$A657)+COUNTIF('Service Principals'!$C$2:$C$201,$A657)+COUNTIF('Managed Identities'!$C$2:$C$201,$A657)&gt;0,"Yes","NOT IN INVENTORY"))</f>
        <v/>
      </c>
    </row>
    <row r="658" customFormat="false" ht="15" hidden="false" customHeight="false" outlineLevel="0" collapsed="false">
      <c r="A658" s="46"/>
      <c r="B658" s="47"/>
      <c r="C658" s="47"/>
      <c r="D658" s="46"/>
      <c r="E658" s="47"/>
      <c r="F658" s="47"/>
      <c r="G658" s="47"/>
      <c r="H658" s="46"/>
      <c r="I658" s="47"/>
      <c r="J658" s="47"/>
      <c r="K658" s="47"/>
      <c r="L658" s="47"/>
      <c r="M658" s="47"/>
      <c r="N658" s="47"/>
      <c r="O658" s="47"/>
      <c r="P658" s="45" t="str">
        <f aca="false">IF($A658="","",IF(COUNTIF(Accounts!$C$2:$C$201,$A658)+COUNTIF('Service Principals'!$C$2:$C$201,$A658)+COUNTIF('Managed Identities'!$C$2:$C$201,$A658)&gt;0,"Yes","NOT IN INVENTORY"))</f>
        <v/>
      </c>
    </row>
    <row r="659" customFormat="false" ht="15" hidden="false" customHeight="false" outlineLevel="0" collapsed="false">
      <c r="A659" s="46"/>
      <c r="B659" s="47"/>
      <c r="C659" s="47"/>
      <c r="D659" s="46"/>
      <c r="E659" s="47"/>
      <c r="F659" s="47"/>
      <c r="G659" s="47"/>
      <c r="H659" s="46"/>
      <c r="I659" s="47"/>
      <c r="J659" s="47"/>
      <c r="K659" s="47"/>
      <c r="L659" s="47"/>
      <c r="M659" s="47"/>
      <c r="N659" s="47"/>
      <c r="O659" s="47"/>
      <c r="P659" s="45" t="str">
        <f aca="false">IF($A659="","",IF(COUNTIF(Accounts!$C$2:$C$201,$A659)+COUNTIF('Service Principals'!$C$2:$C$201,$A659)+COUNTIF('Managed Identities'!$C$2:$C$201,$A659)&gt;0,"Yes","NOT IN INVENTORY"))</f>
        <v/>
      </c>
    </row>
    <row r="660" customFormat="false" ht="15" hidden="false" customHeight="false" outlineLevel="0" collapsed="false">
      <c r="A660" s="46"/>
      <c r="B660" s="47"/>
      <c r="C660" s="47"/>
      <c r="D660" s="46"/>
      <c r="E660" s="47"/>
      <c r="F660" s="47"/>
      <c r="G660" s="47"/>
      <c r="H660" s="46"/>
      <c r="I660" s="47"/>
      <c r="J660" s="47"/>
      <c r="K660" s="47"/>
      <c r="L660" s="47"/>
      <c r="M660" s="47"/>
      <c r="N660" s="47"/>
      <c r="O660" s="47"/>
      <c r="P660" s="45" t="str">
        <f aca="false">IF($A660="","",IF(COUNTIF(Accounts!$C$2:$C$201,$A660)+COUNTIF('Service Principals'!$C$2:$C$201,$A660)+COUNTIF('Managed Identities'!$C$2:$C$201,$A660)&gt;0,"Yes","NOT IN INVENTORY"))</f>
        <v/>
      </c>
    </row>
    <row r="661" customFormat="false" ht="15" hidden="false" customHeight="false" outlineLevel="0" collapsed="false">
      <c r="A661" s="46"/>
      <c r="B661" s="47"/>
      <c r="C661" s="47"/>
      <c r="D661" s="46"/>
      <c r="E661" s="47"/>
      <c r="F661" s="47"/>
      <c r="G661" s="47"/>
      <c r="H661" s="46"/>
      <c r="I661" s="47"/>
      <c r="J661" s="47"/>
      <c r="K661" s="47"/>
      <c r="L661" s="47"/>
      <c r="M661" s="47"/>
      <c r="N661" s="47"/>
      <c r="O661" s="47"/>
      <c r="P661" s="45" t="str">
        <f aca="false">IF($A661="","",IF(COUNTIF(Accounts!$C$2:$C$201,$A661)+COUNTIF('Service Principals'!$C$2:$C$201,$A661)+COUNTIF('Managed Identities'!$C$2:$C$201,$A661)&gt;0,"Yes","NOT IN INVENTORY"))</f>
        <v/>
      </c>
    </row>
    <row r="662" customFormat="false" ht="15" hidden="false" customHeight="false" outlineLevel="0" collapsed="false">
      <c r="A662" s="46"/>
      <c r="B662" s="47"/>
      <c r="C662" s="47"/>
      <c r="D662" s="46"/>
      <c r="E662" s="47"/>
      <c r="F662" s="47"/>
      <c r="G662" s="47"/>
      <c r="H662" s="46"/>
      <c r="I662" s="47"/>
      <c r="J662" s="47"/>
      <c r="K662" s="47"/>
      <c r="L662" s="47"/>
      <c r="M662" s="47"/>
      <c r="N662" s="47"/>
      <c r="O662" s="47"/>
      <c r="P662" s="45" t="str">
        <f aca="false">IF($A662="","",IF(COUNTIF(Accounts!$C$2:$C$201,$A662)+COUNTIF('Service Principals'!$C$2:$C$201,$A662)+COUNTIF('Managed Identities'!$C$2:$C$201,$A662)&gt;0,"Yes","NOT IN INVENTORY"))</f>
        <v/>
      </c>
    </row>
    <row r="663" customFormat="false" ht="15" hidden="false" customHeight="false" outlineLevel="0" collapsed="false">
      <c r="A663" s="46"/>
      <c r="B663" s="47"/>
      <c r="C663" s="47"/>
      <c r="D663" s="46"/>
      <c r="E663" s="47"/>
      <c r="F663" s="47"/>
      <c r="G663" s="47"/>
      <c r="H663" s="46"/>
      <c r="I663" s="47"/>
      <c r="J663" s="47"/>
      <c r="K663" s="47"/>
      <c r="L663" s="47"/>
      <c r="M663" s="47"/>
      <c r="N663" s="47"/>
      <c r="O663" s="47"/>
      <c r="P663" s="45" t="str">
        <f aca="false">IF($A663="","",IF(COUNTIF(Accounts!$C$2:$C$201,$A663)+COUNTIF('Service Principals'!$C$2:$C$201,$A663)+COUNTIF('Managed Identities'!$C$2:$C$201,$A663)&gt;0,"Yes","NOT IN INVENTORY"))</f>
        <v/>
      </c>
    </row>
    <row r="664" customFormat="false" ht="15" hidden="false" customHeight="false" outlineLevel="0" collapsed="false">
      <c r="A664" s="46"/>
      <c r="B664" s="47"/>
      <c r="C664" s="47"/>
      <c r="D664" s="46"/>
      <c r="E664" s="47"/>
      <c r="F664" s="47"/>
      <c r="G664" s="47"/>
      <c r="H664" s="46"/>
      <c r="I664" s="47"/>
      <c r="J664" s="47"/>
      <c r="K664" s="47"/>
      <c r="L664" s="47"/>
      <c r="M664" s="47"/>
      <c r="N664" s="47"/>
      <c r="O664" s="47"/>
      <c r="P664" s="45" t="str">
        <f aca="false">IF($A664="","",IF(COUNTIF(Accounts!$C$2:$C$201,$A664)+COUNTIF('Service Principals'!$C$2:$C$201,$A664)+COUNTIF('Managed Identities'!$C$2:$C$201,$A664)&gt;0,"Yes","NOT IN INVENTORY"))</f>
        <v/>
      </c>
    </row>
    <row r="665" customFormat="false" ht="15" hidden="false" customHeight="false" outlineLevel="0" collapsed="false">
      <c r="A665" s="46"/>
      <c r="B665" s="47"/>
      <c r="C665" s="47"/>
      <c r="D665" s="46"/>
      <c r="E665" s="47"/>
      <c r="F665" s="47"/>
      <c r="G665" s="47"/>
      <c r="H665" s="46"/>
      <c r="I665" s="47"/>
      <c r="J665" s="47"/>
      <c r="K665" s="47"/>
      <c r="L665" s="47"/>
      <c r="M665" s="47"/>
      <c r="N665" s="47"/>
      <c r="O665" s="47"/>
      <c r="P665" s="45" t="str">
        <f aca="false">IF($A665="","",IF(COUNTIF(Accounts!$C$2:$C$201,$A665)+COUNTIF('Service Principals'!$C$2:$C$201,$A665)+COUNTIF('Managed Identities'!$C$2:$C$201,$A665)&gt;0,"Yes","NOT IN INVENTORY"))</f>
        <v/>
      </c>
    </row>
    <row r="666" customFormat="false" ht="15" hidden="false" customHeight="false" outlineLevel="0" collapsed="false">
      <c r="A666" s="46"/>
      <c r="B666" s="47"/>
      <c r="C666" s="47"/>
      <c r="D666" s="46"/>
      <c r="E666" s="47"/>
      <c r="F666" s="47"/>
      <c r="G666" s="47"/>
      <c r="H666" s="46"/>
      <c r="I666" s="47"/>
      <c r="J666" s="47"/>
      <c r="K666" s="47"/>
      <c r="L666" s="47"/>
      <c r="M666" s="47"/>
      <c r="N666" s="47"/>
      <c r="O666" s="47"/>
      <c r="P666" s="45" t="str">
        <f aca="false">IF($A666="","",IF(COUNTIF(Accounts!$C$2:$C$201,$A666)+COUNTIF('Service Principals'!$C$2:$C$201,$A666)+COUNTIF('Managed Identities'!$C$2:$C$201,$A666)&gt;0,"Yes","NOT IN INVENTORY"))</f>
        <v/>
      </c>
    </row>
    <row r="667" customFormat="false" ht="15" hidden="false" customHeight="false" outlineLevel="0" collapsed="false">
      <c r="A667" s="46"/>
      <c r="B667" s="47"/>
      <c r="C667" s="47"/>
      <c r="D667" s="46"/>
      <c r="E667" s="47"/>
      <c r="F667" s="47"/>
      <c r="G667" s="47"/>
      <c r="H667" s="46"/>
      <c r="I667" s="47"/>
      <c r="J667" s="47"/>
      <c r="K667" s="47"/>
      <c r="L667" s="47"/>
      <c r="M667" s="47"/>
      <c r="N667" s="47"/>
      <c r="O667" s="47"/>
      <c r="P667" s="45" t="str">
        <f aca="false">IF($A667="","",IF(COUNTIF(Accounts!$C$2:$C$201,$A667)+COUNTIF('Service Principals'!$C$2:$C$201,$A667)+COUNTIF('Managed Identities'!$C$2:$C$201,$A667)&gt;0,"Yes","NOT IN INVENTORY"))</f>
        <v/>
      </c>
    </row>
    <row r="668" customFormat="false" ht="15" hidden="false" customHeight="false" outlineLevel="0" collapsed="false">
      <c r="A668" s="46"/>
      <c r="B668" s="47"/>
      <c r="C668" s="47"/>
      <c r="D668" s="46"/>
      <c r="E668" s="47"/>
      <c r="F668" s="47"/>
      <c r="G668" s="47"/>
      <c r="H668" s="46"/>
      <c r="I668" s="47"/>
      <c r="J668" s="47"/>
      <c r="K668" s="47"/>
      <c r="L668" s="47"/>
      <c r="M668" s="47"/>
      <c r="N668" s="47"/>
      <c r="O668" s="47"/>
      <c r="P668" s="45" t="str">
        <f aca="false">IF($A668="","",IF(COUNTIF(Accounts!$C$2:$C$201,$A668)+COUNTIF('Service Principals'!$C$2:$C$201,$A668)+COUNTIF('Managed Identities'!$C$2:$C$201,$A668)&gt;0,"Yes","NOT IN INVENTORY"))</f>
        <v/>
      </c>
    </row>
    <row r="669" customFormat="false" ht="15" hidden="false" customHeight="false" outlineLevel="0" collapsed="false">
      <c r="A669" s="46"/>
      <c r="B669" s="47"/>
      <c r="C669" s="47"/>
      <c r="D669" s="46"/>
      <c r="E669" s="47"/>
      <c r="F669" s="47"/>
      <c r="G669" s="47"/>
      <c r="H669" s="46"/>
      <c r="I669" s="47"/>
      <c r="J669" s="47"/>
      <c r="K669" s="47"/>
      <c r="L669" s="47"/>
      <c r="M669" s="47"/>
      <c r="N669" s="47"/>
      <c r="O669" s="47"/>
      <c r="P669" s="45" t="str">
        <f aca="false">IF($A669="","",IF(COUNTIF(Accounts!$C$2:$C$201,$A669)+COUNTIF('Service Principals'!$C$2:$C$201,$A669)+COUNTIF('Managed Identities'!$C$2:$C$201,$A669)&gt;0,"Yes","NOT IN INVENTORY"))</f>
        <v/>
      </c>
    </row>
    <row r="670" customFormat="false" ht="15" hidden="false" customHeight="false" outlineLevel="0" collapsed="false">
      <c r="A670" s="46"/>
      <c r="B670" s="47"/>
      <c r="C670" s="47"/>
      <c r="D670" s="46"/>
      <c r="E670" s="47"/>
      <c r="F670" s="47"/>
      <c r="G670" s="47"/>
      <c r="H670" s="46"/>
      <c r="I670" s="47"/>
      <c r="J670" s="47"/>
      <c r="K670" s="47"/>
      <c r="L670" s="47"/>
      <c r="M670" s="47"/>
      <c r="N670" s="47"/>
      <c r="O670" s="47"/>
      <c r="P670" s="45" t="str">
        <f aca="false">IF($A670="","",IF(COUNTIF(Accounts!$C$2:$C$201,$A670)+COUNTIF('Service Principals'!$C$2:$C$201,$A670)+COUNTIF('Managed Identities'!$C$2:$C$201,$A670)&gt;0,"Yes","NOT IN INVENTORY"))</f>
        <v/>
      </c>
    </row>
    <row r="671" customFormat="false" ht="15" hidden="false" customHeight="false" outlineLevel="0" collapsed="false">
      <c r="A671" s="46"/>
      <c r="B671" s="47"/>
      <c r="C671" s="47"/>
      <c r="D671" s="46"/>
      <c r="E671" s="47"/>
      <c r="F671" s="47"/>
      <c r="G671" s="47"/>
      <c r="H671" s="46"/>
      <c r="I671" s="47"/>
      <c r="J671" s="47"/>
      <c r="K671" s="47"/>
      <c r="L671" s="47"/>
      <c r="M671" s="47"/>
      <c r="N671" s="47"/>
      <c r="O671" s="47"/>
      <c r="P671" s="45" t="str">
        <f aca="false">IF($A671="","",IF(COUNTIF(Accounts!$C$2:$C$201,$A671)+COUNTIF('Service Principals'!$C$2:$C$201,$A671)+COUNTIF('Managed Identities'!$C$2:$C$201,$A671)&gt;0,"Yes","NOT IN INVENTORY"))</f>
        <v/>
      </c>
    </row>
    <row r="672" customFormat="false" ht="15" hidden="false" customHeight="false" outlineLevel="0" collapsed="false">
      <c r="A672" s="46"/>
      <c r="B672" s="47"/>
      <c r="C672" s="47"/>
      <c r="D672" s="46"/>
      <c r="E672" s="47"/>
      <c r="F672" s="47"/>
      <c r="G672" s="47"/>
      <c r="H672" s="46"/>
      <c r="I672" s="47"/>
      <c r="J672" s="47"/>
      <c r="K672" s="47"/>
      <c r="L672" s="47"/>
      <c r="M672" s="47"/>
      <c r="N672" s="47"/>
      <c r="O672" s="47"/>
      <c r="P672" s="45" t="str">
        <f aca="false">IF($A672="","",IF(COUNTIF(Accounts!$C$2:$C$201,$A672)+COUNTIF('Service Principals'!$C$2:$C$201,$A672)+COUNTIF('Managed Identities'!$C$2:$C$201,$A672)&gt;0,"Yes","NOT IN INVENTORY"))</f>
        <v/>
      </c>
    </row>
    <row r="673" customFormat="false" ht="15" hidden="false" customHeight="false" outlineLevel="0" collapsed="false">
      <c r="A673" s="46"/>
      <c r="B673" s="47"/>
      <c r="C673" s="47"/>
      <c r="D673" s="46"/>
      <c r="E673" s="47"/>
      <c r="F673" s="47"/>
      <c r="G673" s="47"/>
      <c r="H673" s="46"/>
      <c r="I673" s="47"/>
      <c r="J673" s="47"/>
      <c r="K673" s="47"/>
      <c r="L673" s="47"/>
      <c r="M673" s="47"/>
      <c r="N673" s="47"/>
      <c r="O673" s="47"/>
      <c r="P673" s="45" t="str">
        <f aca="false">IF($A673="","",IF(COUNTIF(Accounts!$C$2:$C$201,$A673)+COUNTIF('Service Principals'!$C$2:$C$201,$A673)+COUNTIF('Managed Identities'!$C$2:$C$201,$A673)&gt;0,"Yes","NOT IN INVENTORY"))</f>
        <v/>
      </c>
    </row>
    <row r="674" customFormat="false" ht="15" hidden="false" customHeight="false" outlineLevel="0" collapsed="false">
      <c r="A674" s="46"/>
      <c r="B674" s="47"/>
      <c r="C674" s="47"/>
      <c r="D674" s="46"/>
      <c r="E674" s="47"/>
      <c r="F674" s="47"/>
      <c r="G674" s="47"/>
      <c r="H674" s="46"/>
      <c r="I674" s="47"/>
      <c r="J674" s="47"/>
      <c r="K674" s="47"/>
      <c r="L674" s="47"/>
      <c r="M674" s="47"/>
      <c r="N674" s="47"/>
      <c r="O674" s="47"/>
      <c r="P674" s="45" t="str">
        <f aca="false">IF($A674="","",IF(COUNTIF(Accounts!$C$2:$C$201,$A674)+COUNTIF('Service Principals'!$C$2:$C$201,$A674)+COUNTIF('Managed Identities'!$C$2:$C$201,$A674)&gt;0,"Yes","NOT IN INVENTORY"))</f>
        <v/>
      </c>
    </row>
    <row r="675" customFormat="false" ht="15" hidden="false" customHeight="false" outlineLevel="0" collapsed="false">
      <c r="A675" s="46"/>
      <c r="B675" s="47"/>
      <c r="C675" s="47"/>
      <c r="D675" s="46"/>
      <c r="E675" s="47"/>
      <c r="F675" s="47"/>
      <c r="G675" s="47"/>
      <c r="H675" s="46"/>
      <c r="I675" s="47"/>
      <c r="J675" s="47"/>
      <c r="K675" s="47"/>
      <c r="L675" s="47"/>
      <c r="M675" s="47"/>
      <c r="N675" s="47"/>
      <c r="O675" s="47"/>
      <c r="P675" s="45" t="str">
        <f aca="false">IF($A675="","",IF(COUNTIF(Accounts!$C$2:$C$201,$A675)+COUNTIF('Service Principals'!$C$2:$C$201,$A675)+COUNTIF('Managed Identities'!$C$2:$C$201,$A675)&gt;0,"Yes","NOT IN INVENTORY"))</f>
        <v/>
      </c>
    </row>
    <row r="676" customFormat="false" ht="15" hidden="false" customHeight="false" outlineLevel="0" collapsed="false">
      <c r="A676" s="46"/>
      <c r="B676" s="47"/>
      <c r="C676" s="47"/>
      <c r="D676" s="46"/>
      <c r="E676" s="47"/>
      <c r="F676" s="47"/>
      <c r="G676" s="47"/>
      <c r="H676" s="46"/>
      <c r="I676" s="47"/>
      <c r="J676" s="47"/>
      <c r="K676" s="47"/>
      <c r="L676" s="47"/>
      <c r="M676" s="47"/>
      <c r="N676" s="47"/>
      <c r="O676" s="47"/>
      <c r="P676" s="45" t="str">
        <f aca="false">IF($A676="","",IF(COUNTIF(Accounts!$C$2:$C$201,$A676)+COUNTIF('Service Principals'!$C$2:$C$201,$A676)+COUNTIF('Managed Identities'!$C$2:$C$201,$A676)&gt;0,"Yes","NOT IN INVENTORY"))</f>
        <v/>
      </c>
    </row>
    <row r="677" customFormat="false" ht="15" hidden="false" customHeight="false" outlineLevel="0" collapsed="false">
      <c r="A677" s="46"/>
      <c r="B677" s="47"/>
      <c r="C677" s="47"/>
      <c r="D677" s="46"/>
      <c r="E677" s="47"/>
      <c r="F677" s="47"/>
      <c r="G677" s="47"/>
      <c r="H677" s="46"/>
      <c r="I677" s="47"/>
      <c r="J677" s="47"/>
      <c r="K677" s="47"/>
      <c r="L677" s="47"/>
      <c r="M677" s="47"/>
      <c r="N677" s="47"/>
      <c r="O677" s="47"/>
      <c r="P677" s="45" t="str">
        <f aca="false">IF($A677="","",IF(COUNTIF(Accounts!$C$2:$C$201,$A677)+COUNTIF('Service Principals'!$C$2:$C$201,$A677)+COUNTIF('Managed Identities'!$C$2:$C$201,$A677)&gt;0,"Yes","NOT IN INVENTORY"))</f>
        <v/>
      </c>
    </row>
    <row r="678" customFormat="false" ht="15" hidden="false" customHeight="false" outlineLevel="0" collapsed="false">
      <c r="A678" s="46"/>
      <c r="B678" s="47"/>
      <c r="C678" s="47"/>
      <c r="D678" s="46"/>
      <c r="E678" s="47"/>
      <c r="F678" s="47"/>
      <c r="G678" s="47"/>
      <c r="H678" s="46"/>
      <c r="I678" s="47"/>
      <c r="J678" s="47"/>
      <c r="K678" s="47"/>
      <c r="L678" s="47"/>
      <c r="M678" s="47"/>
      <c r="N678" s="47"/>
      <c r="O678" s="47"/>
      <c r="P678" s="45" t="str">
        <f aca="false">IF($A678="","",IF(COUNTIF(Accounts!$C$2:$C$201,$A678)+COUNTIF('Service Principals'!$C$2:$C$201,$A678)+COUNTIF('Managed Identities'!$C$2:$C$201,$A678)&gt;0,"Yes","NOT IN INVENTORY"))</f>
        <v/>
      </c>
    </row>
    <row r="679" customFormat="false" ht="15" hidden="false" customHeight="false" outlineLevel="0" collapsed="false">
      <c r="A679" s="46"/>
      <c r="B679" s="47"/>
      <c r="C679" s="47"/>
      <c r="D679" s="46"/>
      <c r="E679" s="47"/>
      <c r="F679" s="47"/>
      <c r="G679" s="47"/>
      <c r="H679" s="46"/>
      <c r="I679" s="47"/>
      <c r="J679" s="47"/>
      <c r="K679" s="47"/>
      <c r="L679" s="47"/>
      <c r="M679" s="47"/>
      <c r="N679" s="47"/>
      <c r="O679" s="47"/>
      <c r="P679" s="45" t="str">
        <f aca="false">IF($A679="","",IF(COUNTIF(Accounts!$C$2:$C$201,$A679)+COUNTIF('Service Principals'!$C$2:$C$201,$A679)+COUNTIF('Managed Identities'!$C$2:$C$201,$A679)&gt;0,"Yes","NOT IN INVENTORY"))</f>
        <v/>
      </c>
    </row>
    <row r="680" customFormat="false" ht="15" hidden="false" customHeight="false" outlineLevel="0" collapsed="false">
      <c r="A680" s="46"/>
      <c r="B680" s="47"/>
      <c r="C680" s="47"/>
      <c r="D680" s="46"/>
      <c r="E680" s="47"/>
      <c r="F680" s="47"/>
      <c r="G680" s="47"/>
      <c r="H680" s="46"/>
      <c r="I680" s="47"/>
      <c r="J680" s="47"/>
      <c r="K680" s="47"/>
      <c r="L680" s="47"/>
      <c r="M680" s="47"/>
      <c r="N680" s="47"/>
      <c r="O680" s="47"/>
      <c r="P680" s="45" t="str">
        <f aca="false">IF($A680="","",IF(COUNTIF(Accounts!$C$2:$C$201,$A680)+COUNTIF('Service Principals'!$C$2:$C$201,$A680)+COUNTIF('Managed Identities'!$C$2:$C$201,$A680)&gt;0,"Yes","NOT IN INVENTORY"))</f>
        <v/>
      </c>
    </row>
    <row r="681" customFormat="false" ht="15" hidden="false" customHeight="false" outlineLevel="0" collapsed="false">
      <c r="A681" s="46"/>
      <c r="B681" s="47"/>
      <c r="C681" s="47"/>
      <c r="D681" s="46"/>
      <c r="E681" s="47"/>
      <c r="F681" s="47"/>
      <c r="G681" s="47"/>
      <c r="H681" s="46"/>
      <c r="I681" s="47"/>
      <c r="J681" s="47"/>
      <c r="K681" s="47"/>
      <c r="L681" s="47"/>
      <c r="M681" s="47"/>
      <c r="N681" s="47"/>
      <c r="O681" s="47"/>
      <c r="P681" s="45" t="str">
        <f aca="false">IF($A681="","",IF(COUNTIF(Accounts!$C$2:$C$201,$A681)+COUNTIF('Service Principals'!$C$2:$C$201,$A681)+COUNTIF('Managed Identities'!$C$2:$C$201,$A681)&gt;0,"Yes","NOT IN INVENTORY"))</f>
        <v/>
      </c>
    </row>
    <row r="682" customFormat="false" ht="15" hidden="false" customHeight="false" outlineLevel="0" collapsed="false">
      <c r="A682" s="46"/>
      <c r="B682" s="47"/>
      <c r="C682" s="47"/>
      <c r="D682" s="46"/>
      <c r="E682" s="47"/>
      <c r="F682" s="47"/>
      <c r="G682" s="47"/>
      <c r="H682" s="46"/>
      <c r="I682" s="47"/>
      <c r="J682" s="47"/>
      <c r="K682" s="47"/>
      <c r="L682" s="47"/>
      <c r="M682" s="47"/>
      <c r="N682" s="47"/>
      <c r="O682" s="47"/>
      <c r="P682" s="45" t="str">
        <f aca="false">IF($A682="","",IF(COUNTIF(Accounts!$C$2:$C$201,$A682)+COUNTIF('Service Principals'!$C$2:$C$201,$A682)+COUNTIF('Managed Identities'!$C$2:$C$201,$A682)&gt;0,"Yes","NOT IN INVENTORY"))</f>
        <v/>
      </c>
    </row>
    <row r="683" customFormat="false" ht="15" hidden="false" customHeight="false" outlineLevel="0" collapsed="false">
      <c r="A683" s="46"/>
      <c r="B683" s="47"/>
      <c r="C683" s="47"/>
      <c r="D683" s="46"/>
      <c r="E683" s="47"/>
      <c r="F683" s="47"/>
      <c r="G683" s="47"/>
      <c r="H683" s="46"/>
      <c r="I683" s="47"/>
      <c r="J683" s="47"/>
      <c r="K683" s="47"/>
      <c r="L683" s="47"/>
      <c r="M683" s="47"/>
      <c r="N683" s="47"/>
      <c r="O683" s="47"/>
      <c r="P683" s="45" t="str">
        <f aca="false">IF($A683="","",IF(COUNTIF(Accounts!$C$2:$C$201,$A683)+COUNTIF('Service Principals'!$C$2:$C$201,$A683)+COUNTIF('Managed Identities'!$C$2:$C$201,$A683)&gt;0,"Yes","NOT IN INVENTORY"))</f>
        <v/>
      </c>
    </row>
    <row r="684" customFormat="false" ht="15" hidden="false" customHeight="false" outlineLevel="0" collapsed="false">
      <c r="A684" s="46"/>
      <c r="B684" s="47"/>
      <c r="C684" s="47"/>
      <c r="D684" s="46"/>
      <c r="E684" s="47"/>
      <c r="F684" s="47"/>
      <c r="G684" s="47"/>
      <c r="H684" s="46"/>
      <c r="I684" s="47"/>
      <c r="J684" s="47"/>
      <c r="K684" s="47"/>
      <c r="L684" s="47"/>
      <c r="M684" s="47"/>
      <c r="N684" s="47"/>
      <c r="O684" s="47"/>
      <c r="P684" s="45" t="str">
        <f aca="false">IF($A684="","",IF(COUNTIF(Accounts!$C$2:$C$201,$A684)+COUNTIF('Service Principals'!$C$2:$C$201,$A684)+COUNTIF('Managed Identities'!$C$2:$C$201,$A684)&gt;0,"Yes","NOT IN INVENTORY"))</f>
        <v/>
      </c>
    </row>
    <row r="685" customFormat="false" ht="15" hidden="false" customHeight="false" outlineLevel="0" collapsed="false">
      <c r="A685" s="46"/>
      <c r="B685" s="47"/>
      <c r="C685" s="47"/>
      <c r="D685" s="46"/>
      <c r="E685" s="47"/>
      <c r="F685" s="47"/>
      <c r="G685" s="47"/>
      <c r="H685" s="46"/>
      <c r="I685" s="47"/>
      <c r="J685" s="47"/>
      <c r="K685" s="47"/>
      <c r="L685" s="47"/>
      <c r="M685" s="47"/>
      <c r="N685" s="47"/>
      <c r="O685" s="47"/>
      <c r="P685" s="45" t="str">
        <f aca="false">IF($A685="","",IF(COUNTIF(Accounts!$C$2:$C$201,$A685)+COUNTIF('Service Principals'!$C$2:$C$201,$A685)+COUNTIF('Managed Identities'!$C$2:$C$201,$A685)&gt;0,"Yes","NOT IN INVENTORY"))</f>
        <v/>
      </c>
    </row>
    <row r="686" customFormat="false" ht="15" hidden="false" customHeight="false" outlineLevel="0" collapsed="false">
      <c r="A686" s="46"/>
      <c r="B686" s="47"/>
      <c r="C686" s="47"/>
      <c r="D686" s="46"/>
      <c r="E686" s="47"/>
      <c r="F686" s="47"/>
      <c r="G686" s="47"/>
      <c r="H686" s="46"/>
      <c r="I686" s="47"/>
      <c r="J686" s="47"/>
      <c r="K686" s="47"/>
      <c r="L686" s="47"/>
      <c r="M686" s="47"/>
      <c r="N686" s="47"/>
      <c r="O686" s="47"/>
      <c r="P686" s="45" t="str">
        <f aca="false">IF($A686="","",IF(COUNTIF(Accounts!$C$2:$C$201,$A686)+COUNTIF('Service Principals'!$C$2:$C$201,$A686)+COUNTIF('Managed Identities'!$C$2:$C$201,$A686)&gt;0,"Yes","NOT IN INVENTORY"))</f>
        <v/>
      </c>
    </row>
    <row r="687" customFormat="false" ht="15" hidden="false" customHeight="false" outlineLevel="0" collapsed="false">
      <c r="A687" s="46"/>
      <c r="B687" s="47"/>
      <c r="C687" s="47"/>
      <c r="D687" s="46"/>
      <c r="E687" s="47"/>
      <c r="F687" s="47"/>
      <c r="G687" s="47"/>
      <c r="H687" s="46"/>
      <c r="I687" s="47"/>
      <c r="J687" s="47"/>
      <c r="K687" s="47"/>
      <c r="L687" s="47"/>
      <c r="M687" s="47"/>
      <c r="N687" s="47"/>
      <c r="O687" s="47"/>
      <c r="P687" s="45" t="str">
        <f aca="false">IF($A687="","",IF(COUNTIF(Accounts!$C$2:$C$201,$A687)+COUNTIF('Service Principals'!$C$2:$C$201,$A687)+COUNTIF('Managed Identities'!$C$2:$C$201,$A687)&gt;0,"Yes","NOT IN INVENTORY"))</f>
        <v/>
      </c>
    </row>
    <row r="688" customFormat="false" ht="15" hidden="false" customHeight="false" outlineLevel="0" collapsed="false">
      <c r="A688" s="46"/>
      <c r="B688" s="47"/>
      <c r="C688" s="47"/>
      <c r="D688" s="46"/>
      <c r="E688" s="47"/>
      <c r="F688" s="47"/>
      <c r="G688" s="47"/>
      <c r="H688" s="46"/>
      <c r="I688" s="47"/>
      <c r="J688" s="47"/>
      <c r="K688" s="47"/>
      <c r="L688" s="47"/>
      <c r="M688" s="47"/>
      <c r="N688" s="47"/>
      <c r="O688" s="47"/>
      <c r="P688" s="45" t="str">
        <f aca="false">IF($A688="","",IF(COUNTIF(Accounts!$C$2:$C$201,$A688)+COUNTIF('Service Principals'!$C$2:$C$201,$A688)+COUNTIF('Managed Identities'!$C$2:$C$201,$A688)&gt;0,"Yes","NOT IN INVENTORY"))</f>
        <v/>
      </c>
    </row>
    <row r="689" customFormat="false" ht="15" hidden="false" customHeight="false" outlineLevel="0" collapsed="false">
      <c r="A689" s="46"/>
      <c r="B689" s="47"/>
      <c r="C689" s="47"/>
      <c r="D689" s="46"/>
      <c r="E689" s="47"/>
      <c r="F689" s="47"/>
      <c r="G689" s="47"/>
      <c r="H689" s="46"/>
      <c r="I689" s="47"/>
      <c r="J689" s="47"/>
      <c r="K689" s="47"/>
      <c r="L689" s="47"/>
      <c r="M689" s="47"/>
      <c r="N689" s="47"/>
      <c r="O689" s="47"/>
      <c r="P689" s="45" t="str">
        <f aca="false">IF($A689="","",IF(COUNTIF(Accounts!$C$2:$C$201,$A689)+COUNTIF('Service Principals'!$C$2:$C$201,$A689)+COUNTIF('Managed Identities'!$C$2:$C$201,$A689)&gt;0,"Yes","NOT IN INVENTORY"))</f>
        <v/>
      </c>
    </row>
    <row r="690" customFormat="false" ht="15" hidden="false" customHeight="false" outlineLevel="0" collapsed="false">
      <c r="A690" s="46"/>
      <c r="B690" s="47"/>
      <c r="C690" s="47"/>
      <c r="D690" s="46"/>
      <c r="E690" s="47"/>
      <c r="F690" s="47"/>
      <c r="G690" s="47"/>
      <c r="H690" s="46"/>
      <c r="I690" s="47"/>
      <c r="J690" s="47"/>
      <c r="K690" s="47"/>
      <c r="L690" s="47"/>
      <c r="M690" s="47"/>
      <c r="N690" s="47"/>
      <c r="O690" s="47"/>
      <c r="P690" s="45" t="str">
        <f aca="false">IF($A690="","",IF(COUNTIF(Accounts!$C$2:$C$201,$A690)+COUNTIF('Service Principals'!$C$2:$C$201,$A690)+COUNTIF('Managed Identities'!$C$2:$C$201,$A690)&gt;0,"Yes","NOT IN INVENTORY"))</f>
        <v/>
      </c>
    </row>
    <row r="691" customFormat="false" ht="15" hidden="false" customHeight="false" outlineLevel="0" collapsed="false">
      <c r="A691" s="46"/>
      <c r="B691" s="47"/>
      <c r="C691" s="47"/>
      <c r="D691" s="46"/>
      <c r="E691" s="47"/>
      <c r="F691" s="47"/>
      <c r="G691" s="47"/>
      <c r="H691" s="46"/>
      <c r="I691" s="47"/>
      <c r="J691" s="47"/>
      <c r="K691" s="47"/>
      <c r="L691" s="47"/>
      <c r="M691" s="47"/>
      <c r="N691" s="47"/>
      <c r="O691" s="47"/>
      <c r="P691" s="45" t="str">
        <f aca="false">IF($A691="","",IF(COUNTIF(Accounts!$C$2:$C$201,$A691)+COUNTIF('Service Principals'!$C$2:$C$201,$A691)+COUNTIF('Managed Identities'!$C$2:$C$201,$A691)&gt;0,"Yes","NOT IN INVENTORY"))</f>
        <v/>
      </c>
    </row>
    <row r="692" customFormat="false" ht="15" hidden="false" customHeight="false" outlineLevel="0" collapsed="false">
      <c r="A692" s="46"/>
      <c r="B692" s="47"/>
      <c r="C692" s="47"/>
      <c r="D692" s="46"/>
      <c r="E692" s="47"/>
      <c r="F692" s="47"/>
      <c r="G692" s="47"/>
      <c r="H692" s="46"/>
      <c r="I692" s="47"/>
      <c r="J692" s="47"/>
      <c r="K692" s="47"/>
      <c r="L692" s="47"/>
      <c r="M692" s="47"/>
      <c r="N692" s="47"/>
      <c r="O692" s="47"/>
      <c r="P692" s="45" t="str">
        <f aca="false">IF($A692="","",IF(COUNTIF(Accounts!$C$2:$C$201,$A692)+COUNTIF('Service Principals'!$C$2:$C$201,$A692)+COUNTIF('Managed Identities'!$C$2:$C$201,$A692)&gt;0,"Yes","NOT IN INVENTORY"))</f>
        <v/>
      </c>
    </row>
    <row r="693" customFormat="false" ht="15" hidden="false" customHeight="false" outlineLevel="0" collapsed="false">
      <c r="A693" s="46"/>
      <c r="B693" s="47"/>
      <c r="C693" s="47"/>
      <c r="D693" s="46"/>
      <c r="E693" s="47"/>
      <c r="F693" s="47"/>
      <c r="G693" s="47"/>
      <c r="H693" s="46"/>
      <c r="I693" s="47"/>
      <c r="J693" s="47"/>
      <c r="K693" s="47"/>
      <c r="L693" s="47"/>
      <c r="M693" s="47"/>
      <c r="N693" s="47"/>
      <c r="O693" s="47"/>
      <c r="P693" s="45" t="str">
        <f aca="false">IF($A693="","",IF(COUNTIF(Accounts!$C$2:$C$201,$A693)+COUNTIF('Service Principals'!$C$2:$C$201,$A693)+COUNTIF('Managed Identities'!$C$2:$C$201,$A693)&gt;0,"Yes","NOT IN INVENTORY"))</f>
        <v/>
      </c>
    </row>
    <row r="694" customFormat="false" ht="15" hidden="false" customHeight="false" outlineLevel="0" collapsed="false">
      <c r="A694" s="46"/>
      <c r="B694" s="47"/>
      <c r="C694" s="47"/>
      <c r="D694" s="46"/>
      <c r="E694" s="47"/>
      <c r="F694" s="47"/>
      <c r="G694" s="47"/>
      <c r="H694" s="46"/>
      <c r="I694" s="47"/>
      <c r="J694" s="47"/>
      <c r="K694" s="47"/>
      <c r="L694" s="47"/>
      <c r="M694" s="47"/>
      <c r="N694" s="47"/>
      <c r="O694" s="47"/>
      <c r="P694" s="45" t="str">
        <f aca="false">IF($A694="","",IF(COUNTIF(Accounts!$C$2:$C$201,$A694)+COUNTIF('Service Principals'!$C$2:$C$201,$A694)+COUNTIF('Managed Identities'!$C$2:$C$201,$A694)&gt;0,"Yes","NOT IN INVENTORY"))</f>
        <v/>
      </c>
    </row>
    <row r="695" customFormat="false" ht="15" hidden="false" customHeight="false" outlineLevel="0" collapsed="false">
      <c r="A695" s="46"/>
      <c r="B695" s="47"/>
      <c r="C695" s="47"/>
      <c r="D695" s="46"/>
      <c r="E695" s="47"/>
      <c r="F695" s="47"/>
      <c r="G695" s="47"/>
      <c r="H695" s="46"/>
      <c r="I695" s="47"/>
      <c r="J695" s="47"/>
      <c r="K695" s="47"/>
      <c r="L695" s="47"/>
      <c r="M695" s="47"/>
      <c r="N695" s="47"/>
      <c r="O695" s="47"/>
      <c r="P695" s="45" t="str">
        <f aca="false">IF($A695="","",IF(COUNTIF(Accounts!$C$2:$C$201,$A695)+COUNTIF('Service Principals'!$C$2:$C$201,$A695)+COUNTIF('Managed Identities'!$C$2:$C$201,$A695)&gt;0,"Yes","NOT IN INVENTORY"))</f>
        <v/>
      </c>
    </row>
    <row r="696" customFormat="false" ht="15" hidden="false" customHeight="false" outlineLevel="0" collapsed="false">
      <c r="A696" s="46"/>
      <c r="B696" s="47"/>
      <c r="C696" s="47"/>
      <c r="D696" s="46"/>
      <c r="E696" s="47"/>
      <c r="F696" s="47"/>
      <c r="G696" s="47"/>
      <c r="H696" s="46"/>
      <c r="I696" s="47"/>
      <c r="J696" s="47"/>
      <c r="K696" s="47"/>
      <c r="L696" s="47"/>
      <c r="M696" s="47"/>
      <c r="N696" s="47"/>
      <c r="O696" s="47"/>
      <c r="P696" s="45" t="str">
        <f aca="false">IF($A696="","",IF(COUNTIF(Accounts!$C$2:$C$201,$A696)+COUNTIF('Service Principals'!$C$2:$C$201,$A696)+COUNTIF('Managed Identities'!$C$2:$C$201,$A696)&gt;0,"Yes","NOT IN INVENTORY"))</f>
        <v/>
      </c>
    </row>
    <row r="697" customFormat="false" ht="15" hidden="false" customHeight="false" outlineLevel="0" collapsed="false">
      <c r="A697" s="46"/>
      <c r="B697" s="47"/>
      <c r="C697" s="47"/>
      <c r="D697" s="46"/>
      <c r="E697" s="47"/>
      <c r="F697" s="47"/>
      <c r="G697" s="47"/>
      <c r="H697" s="46"/>
      <c r="I697" s="47"/>
      <c r="J697" s="47"/>
      <c r="K697" s="47"/>
      <c r="L697" s="47"/>
      <c r="M697" s="47"/>
      <c r="N697" s="47"/>
      <c r="O697" s="47"/>
      <c r="P697" s="45" t="str">
        <f aca="false">IF($A697="","",IF(COUNTIF(Accounts!$C$2:$C$201,$A697)+COUNTIF('Service Principals'!$C$2:$C$201,$A697)+COUNTIF('Managed Identities'!$C$2:$C$201,$A697)&gt;0,"Yes","NOT IN INVENTORY"))</f>
        <v/>
      </c>
    </row>
    <row r="698" customFormat="false" ht="15" hidden="false" customHeight="false" outlineLevel="0" collapsed="false">
      <c r="A698" s="46"/>
      <c r="B698" s="47"/>
      <c r="C698" s="47"/>
      <c r="D698" s="46"/>
      <c r="E698" s="47"/>
      <c r="F698" s="47"/>
      <c r="G698" s="47"/>
      <c r="H698" s="46"/>
      <c r="I698" s="47"/>
      <c r="J698" s="47"/>
      <c r="K698" s="47"/>
      <c r="L698" s="47"/>
      <c r="M698" s="47"/>
      <c r="N698" s="47"/>
      <c r="O698" s="47"/>
      <c r="P698" s="45" t="str">
        <f aca="false">IF($A698="","",IF(COUNTIF(Accounts!$C$2:$C$201,$A698)+COUNTIF('Service Principals'!$C$2:$C$201,$A698)+COUNTIF('Managed Identities'!$C$2:$C$201,$A698)&gt;0,"Yes","NOT IN INVENTORY"))</f>
        <v/>
      </c>
    </row>
    <row r="699" customFormat="false" ht="15" hidden="false" customHeight="false" outlineLevel="0" collapsed="false">
      <c r="A699" s="46"/>
      <c r="B699" s="47"/>
      <c r="C699" s="47"/>
      <c r="D699" s="46"/>
      <c r="E699" s="47"/>
      <c r="F699" s="47"/>
      <c r="G699" s="47"/>
      <c r="H699" s="46"/>
      <c r="I699" s="47"/>
      <c r="J699" s="47"/>
      <c r="K699" s="47"/>
      <c r="L699" s="47"/>
      <c r="M699" s="47"/>
      <c r="N699" s="47"/>
      <c r="O699" s="47"/>
      <c r="P699" s="45" t="str">
        <f aca="false">IF($A699="","",IF(COUNTIF(Accounts!$C$2:$C$201,$A699)+COUNTIF('Service Principals'!$C$2:$C$201,$A699)+COUNTIF('Managed Identities'!$C$2:$C$201,$A699)&gt;0,"Yes","NOT IN INVENTORY"))</f>
        <v/>
      </c>
    </row>
    <row r="700" customFormat="false" ht="15" hidden="false" customHeight="false" outlineLevel="0" collapsed="false">
      <c r="A700" s="46"/>
      <c r="B700" s="47"/>
      <c r="C700" s="47"/>
      <c r="D700" s="46"/>
      <c r="E700" s="47"/>
      <c r="F700" s="47"/>
      <c r="G700" s="47"/>
      <c r="H700" s="46"/>
      <c r="I700" s="47"/>
      <c r="J700" s="47"/>
      <c r="K700" s="47"/>
      <c r="L700" s="47"/>
      <c r="M700" s="47"/>
      <c r="N700" s="47"/>
      <c r="O700" s="47"/>
      <c r="P700" s="45" t="str">
        <f aca="false">IF($A700="","",IF(COUNTIF(Accounts!$C$2:$C$201,$A700)+COUNTIF('Service Principals'!$C$2:$C$201,$A700)+COUNTIF('Managed Identities'!$C$2:$C$201,$A700)&gt;0,"Yes","NOT IN INVENTORY"))</f>
        <v/>
      </c>
    </row>
    <row r="701" customFormat="false" ht="15" hidden="false" customHeight="false" outlineLevel="0" collapsed="false">
      <c r="A701" s="46"/>
      <c r="B701" s="47"/>
      <c r="C701" s="47"/>
      <c r="D701" s="46"/>
      <c r="E701" s="47"/>
      <c r="F701" s="47"/>
      <c r="G701" s="47"/>
      <c r="H701" s="46"/>
      <c r="I701" s="47"/>
      <c r="J701" s="47"/>
      <c r="K701" s="47"/>
      <c r="L701" s="47"/>
      <c r="M701" s="47"/>
      <c r="N701" s="47"/>
      <c r="O701" s="47"/>
      <c r="P701" s="45" t="str">
        <f aca="false">IF($A701="","",IF(COUNTIF(Accounts!$C$2:$C$201,$A701)+COUNTIF('Service Principals'!$C$2:$C$201,$A701)+COUNTIF('Managed Identities'!$C$2:$C$201,$A701)&gt;0,"Yes","NOT IN INVENTORY"))</f>
        <v/>
      </c>
    </row>
    <row r="702" customFormat="false" ht="15" hidden="false" customHeight="false" outlineLevel="0" collapsed="false">
      <c r="A702" s="46"/>
      <c r="B702" s="47"/>
      <c r="C702" s="47"/>
      <c r="D702" s="46"/>
      <c r="E702" s="47"/>
      <c r="F702" s="47"/>
      <c r="G702" s="47"/>
      <c r="H702" s="46"/>
      <c r="I702" s="47"/>
      <c r="J702" s="47"/>
      <c r="K702" s="47"/>
      <c r="L702" s="47"/>
      <c r="M702" s="47"/>
      <c r="N702" s="47"/>
      <c r="O702" s="47"/>
      <c r="P702" s="45" t="str">
        <f aca="false">IF($A702="","",IF(COUNTIF(Accounts!$C$2:$C$201,$A702)+COUNTIF('Service Principals'!$C$2:$C$201,$A702)+COUNTIF('Managed Identities'!$C$2:$C$201,$A702)&gt;0,"Yes","NOT IN INVENTORY"))</f>
        <v/>
      </c>
    </row>
    <row r="703" customFormat="false" ht="15" hidden="false" customHeight="false" outlineLevel="0" collapsed="false">
      <c r="A703" s="46"/>
      <c r="B703" s="47"/>
      <c r="C703" s="47"/>
      <c r="D703" s="46"/>
      <c r="E703" s="47"/>
      <c r="F703" s="47"/>
      <c r="G703" s="47"/>
      <c r="H703" s="46"/>
      <c r="I703" s="47"/>
      <c r="J703" s="47"/>
      <c r="K703" s="47"/>
      <c r="L703" s="47"/>
      <c r="M703" s="47"/>
      <c r="N703" s="47"/>
      <c r="O703" s="47"/>
      <c r="P703" s="45" t="str">
        <f aca="false">IF($A703="","",IF(COUNTIF(Accounts!$C$2:$C$201,$A703)+COUNTIF('Service Principals'!$C$2:$C$201,$A703)+COUNTIF('Managed Identities'!$C$2:$C$201,$A703)&gt;0,"Yes","NOT IN INVENTORY"))</f>
        <v/>
      </c>
    </row>
    <row r="704" customFormat="false" ht="15" hidden="false" customHeight="false" outlineLevel="0" collapsed="false">
      <c r="A704" s="46"/>
      <c r="B704" s="47"/>
      <c r="C704" s="47"/>
      <c r="D704" s="46"/>
      <c r="E704" s="47"/>
      <c r="F704" s="47"/>
      <c r="G704" s="47"/>
      <c r="H704" s="46"/>
      <c r="I704" s="47"/>
      <c r="J704" s="47"/>
      <c r="K704" s="47"/>
      <c r="L704" s="47"/>
      <c r="M704" s="47"/>
      <c r="N704" s="47"/>
      <c r="O704" s="47"/>
      <c r="P704" s="45" t="str">
        <f aca="false">IF($A704="","",IF(COUNTIF(Accounts!$C$2:$C$201,$A704)+COUNTIF('Service Principals'!$C$2:$C$201,$A704)+COUNTIF('Managed Identities'!$C$2:$C$201,$A704)&gt;0,"Yes","NOT IN INVENTORY"))</f>
        <v/>
      </c>
    </row>
    <row r="705" customFormat="false" ht="15" hidden="false" customHeight="false" outlineLevel="0" collapsed="false">
      <c r="A705" s="46"/>
      <c r="B705" s="47"/>
      <c r="C705" s="47"/>
      <c r="D705" s="46"/>
      <c r="E705" s="47"/>
      <c r="F705" s="47"/>
      <c r="G705" s="47"/>
      <c r="H705" s="46"/>
      <c r="I705" s="47"/>
      <c r="J705" s="47"/>
      <c r="K705" s="47"/>
      <c r="L705" s="47"/>
      <c r="M705" s="47"/>
      <c r="N705" s="47"/>
      <c r="O705" s="47"/>
      <c r="P705" s="45" t="str">
        <f aca="false">IF($A705="","",IF(COUNTIF(Accounts!$C$2:$C$201,$A705)+COUNTIF('Service Principals'!$C$2:$C$201,$A705)+COUNTIF('Managed Identities'!$C$2:$C$201,$A705)&gt;0,"Yes","NOT IN INVENTORY"))</f>
        <v/>
      </c>
    </row>
    <row r="706" customFormat="false" ht="15" hidden="false" customHeight="false" outlineLevel="0" collapsed="false">
      <c r="A706" s="46"/>
      <c r="B706" s="47"/>
      <c r="C706" s="47"/>
      <c r="D706" s="46"/>
      <c r="E706" s="47"/>
      <c r="F706" s="47"/>
      <c r="G706" s="47"/>
      <c r="H706" s="46"/>
      <c r="I706" s="47"/>
      <c r="J706" s="47"/>
      <c r="K706" s="47"/>
      <c r="L706" s="47"/>
      <c r="M706" s="47"/>
      <c r="N706" s="47"/>
      <c r="O706" s="47"/>
      <c r="P706" s="45" t="str">
        <f aca="false">IF($A706="","",IF(COUNTIF(Accounts!$C$2:$C$201,$A706)+COUNTIF('Service Principals'!$C$2:$C$201,$A706)+COUNTIF('Managed Identities'!$C$2:$C$201,$A706)&gt;0,"Yes","NOT IN INVENTORY"))</f>
        <v/>
      </c>
    </row>
    <row r="707" customFormat="false" ht="15" hidden="false" customHeight="false" outlineLevel="0" collapsed="false">
      <c r="A707" s="46"/>
      <c r="B707" s="47"/>
      <c r="C707" s="47"/>
      <c r="D707" s="46"/>
      <c r="E707" s="47"/>
      <c r="F707" s="47"/>
      <c r="G707" s="47"/>
      <c r="H707" s="46"/>
      <c r="I707" s="47"/>
      <c r="J707" s="47"/>
      <c r="K707" s="47"/>
      <c r="L707" s="47"/>
      <c r="M707" s="47"/>
      <c r="N707" s="47"/>
      <c r="O707" s="47"/>
      <c r="P707" s="45" t="str">
        <f aca="false">IF($A707="","",IF(COUNTIF(Accounts!$C$2:$C$201,$A707)+COUNTIF('Service Principals'!$C$2:$C$201,$A707)+COUNTIF('Managed Identities'!$C$2:$C$201,$A707)&gt;0,"Yes","NOT IN INVENTORY"))</f>
        <v/>
      </c>
    </row>
    <row r="708" customFormat="false" ht="15" hidden="false" customHeight="false" outlineLevel="0" collapsed="false">
      <c r="A708" s="46"/>
      <c r="B708" s="47"/>
      <c r="C708" s="47"/>
      <c r="D708" s="46"/>
      <c r="E708" s="47"/>
      <c r="F708" s="47"/>
      <c r="G708" s="47"/>
      <c r="H708" s="46"/>
      <c r="I708" s="47"/>
      <c r="J708" s="47"/>
      <c r="K708" s="47"/>
      <c r="L708" s="47"/>
      <c r="M708" s="47"/>
      <c r="N708" s="47"/>
      <c r="O708" s="47"/>
      <c r="P708" s="45" t="str">
        <f aca="false">IF($A708="","",IF(COUNTIF(Accounts!$C$2:$C$201,$A708)+COUNTIF('Service Principals'!$C$2:$C$201,$A708)+COUNTIF('Managed Identities'!$C$2:$C$201,$A708)&gt;0,"Yes","NOT IN INVENTORY"))</f>
        <v/>
      </c>
    </row>
    <row r="709" customFormat="false" ht="15" hidden="false" customHeight="false" outlineLevel="0" collapsed="false">
      <c r="A709" s="46"/>
      <c r="B709" s="47"/>
      <c r="C709" s="47"/>
      <c r="D709" s="46"/>
      <c r="E709" s="47"/>
      <c r="F709" s="47"/>
      <c r="G709" s="47"/>
      <c r="H709" s="46"/>
      <c r="I709" s="47"/>
      <c r="J709" s="47"/>
      <c r="K709" s="47"/>
      <c r="L709" s="47"/>
      <c r="M709" s="47"/>
      <c r="N709" s="47"/>
      <c r="O709" s="47"/>
      <c r="P709" s="45" t="str">
        <f aca="false">IF($A709="","",IF(COUNTIF(Accounts!$C$2:$C$201,$A709)+COUNTIF('Service Principals'!$C$2:$C$201,$A709)+COUNTIF('Managed Identities'!$C$2:$C$201,$A709)&gt;0,"Yes","NOT IN INVENTORY"))</f>
        <v/>
      </c>
    </row>
    <row r="710" customFormat="false" ht="15" hidden="false" customHeight="false" outlineLevel="0" collapsed="false">
      <c r="A710" s="46"/>
      <c r="B710" s="47"/>
      <c r="C710" s="47"/>
      <c r="D710" s="46"/>
      <c r="E710" s="47"/>
      <c r="F710" s="47"/>
      <c r="G710" s="47"/>
      <c r="H710" s="46"/>
      <c r="I710" s="47"/>
      <c r="J710" s="47"/>
      <c r="K710" s="47"/>
      <c r="L710" s="47"/>
      <c r="M710" s="47"/>
      <c r="N710" s="47"/>
      <c r="O710" s="47"/>
      <c r="P710" s="45" t="str">
        <f aca="false">IF($A710="","",IF(COUNTIF(Accounts!$C$2:$C$201,$A710)+COUNTIF('Service Principals'!$C$2:$C$201,$A710)+COUNTIF('Managed Identities'!$C$2:$C$201,$A710)&gt;0,"Yes","NOT IN INVENTORY"))</f>
        <v/>
      </c>
    </row>
    <row r="711" customFormat="false" ht="15" hidden="false" customHeight="false" outlineLevel="0" collapsed="false">
      <c r="A711" s="46"/>
      <c r="B711" s="47"/>
      <c r="C711" s="47"/>
      <c r="D711" s="46"/>
      <c r="E711" s="47"/>
      <c r="F711" s="47"/>
      <c r="G711" s="47"/>
      <c r="H711" s="46"/>
      <c r="I711" s="47"/>
      <c r="J711" s="47"/>
      <c r="K711" s="47"/>
      <c r="L711" s="47"/>
      <c r="M711" s="47"/>
      <c r="N711" s="47"/>
      <c r="O711" s="47"/>
      <c r="P711" s="45" t="str">
        <f aca="false">IF($A711="","",IF(COUNTIF(Accounts!$C$2:$C$201,$A711)+COUNTIF('Service Principals'!$C$2:$C$201,$A711)+COUNTIF('Managed Identities'!$C$2:$C$201,$A711)&gt;0,"Yes","NOT IN INVENTORY"))</f>
        <v/>
      </c>
    </row>
    <row r="712" customFormat="false" ht="15" hidden="false" customHeight="false" outlineLevel="0" collapsed="false">
      <c r="A712" s="46"/>
      <c r="B712" s="47"/>
      <c r="C712" s="47"/>
      <c r="D712" s="46"/>
      <c r="E712" s="47"/>
      <c r="F712" s="47"/>
      <c r="G712" s="47"/>
      <c r="H712" s="46"/>
      <c r="I712" s="47"/>
      <c r="J712" s="47"/>
      <c r="K712" s="47"/>
      <c r="L712" s="47"/>
      <c r="M712" s="47"/>
      <c r="N712" s="47"/>
      <c r="O712" s="47"/>
      <c r="P712" s="45" t="str">
        <f aca="false">IF($A712="","",IF(COUNTIF(Accounts!$C$2:$C$201,$A712)+COUNTIF('Service Principals'!$C$2:$C$201,$A712)+COUNTIF('Managed Identities'!$C$2:$C$201,$A712)&gt;0,"Yes","NOT IN INVENTORY"))</f>
        <v/>
      </c>
    </row>
    <row r="713" customFormat="false" ht="15" hidden="false" customHeight="false" outlineLevel="0" collapsed="false">
      <c r="A713" s="46"/>
      <c r="B713" s="47"/>
      <c r="C713" s="47"/>
      <c r="D713" s="46"/>
      <c r="E713" s="47"/>
      <c r="F713" s="47"/>
      <c r="G713" s="47"/>
      <c r="H713" s="46"/>
      <c r="I713" s="47"/>
      <c r="J713" s="47"/>
      <c r="K713" s="47"/>
      <c r="L713" s="47"/>
      <c r="M713" s="47"/>
      <c r="N713" s="47"/>
      <c r="O713" s="47"/>
      <c r="P713" s="45" t="str">
        <f aca="false">IF($A713="","",IF(COUNTIF(Accounts!$C$2:$C$201,$A713)+COUNTIF('Service Principals'!$C$2:$C$201,$A713)+COUNTIF('Managed Identities'!$C$2:$C$201,$A713)&gt;0,"Yes","NOT IN INVENTORY"))</f>
        <v/>
      </c>
    </row>
    <row r="714" customFormat="false" ht="15" hidden="false" customHeight="false" outlineLevel="0" collapsed="false">
      <c r="A714" s="46"/>
      <c r="B714" s="47"/>
      <c r="C714" s="47"/>
      <c r="D714" s="46"/>
      <c r="E714" s="47"/>
      <c r="F714" s="47"/>
      <c r="G714" s="47"/>
      <c r="H714" s="46"/>
      <c r="I714" s="47"/>
      <c r="J714" s="47"/>
      <c r="K714" s="47"/>
      <c r="L714" s="47"/>
      <c r="M714" s="47"/>
      <c r="N714" s="47"/>
      <c r="O714" s="47"/>
      <c r="P714" s="45" t="str">
        <f aca="false">IF($A714="","",IF(COUNTIF(Accounts!$C$2:$C$201,$A714)+COUNTIF('Service Principals'!$C$2:$C$201,$A714)+COUNTIF('Managed Identities'!$C$2:$C$201,$A714)&gt;0,"Yes","NOT IN INVENTORY"))</f>
        <v/>
      </c>
    </row>
    <row r="715" customFormat="false" ht="15" hidden="false" customHeight="false" outlineLevel="0" collapsed="false">
      <c r="A715" s="46"/>
      <c r="B715" s="47"/>
      <c r="C715" s="47"/>
      <c r="D715" s="46"/>
      <c r="E715" s="47"/>
      <c r="F715" s="47"/>
      <c r="G715" s="47"/>
      <c r="H715" s="46"/>
      <c r="I715" s="47"/>
      <c r="J715" s="47"/>
      <c r="K715" s="47"/>
      <c r="L715" s="47"/>
      <c r="M715" s="47"/>
      <c r="N715" s="47"/>
      <c r="O715" s="47"/>
      <c r="P715" s="45" t="str">
        <f aca="false">IF($A715="","",IF(COUNTIF(Accounts!$C$2:$C$201,$A715)+COUNTIF('Service Principals'!$C$2:$C$201,$A715)+COUNTIF('Managed Identities'!$C$2:$C$201,$A715)&gt;0,"Yes","NOT IN INVENTORY"))</f>
        <v/>
      </c>
    </row>
    <row r="716" customFormat="false" ht="15" hidden="false" customHeight="false" outlineLevel="0" collapsed="false">
      <c r="A716" s="46"/>
      <c r="B716" s="47"/>
      <c r="C716" s="47"/>
      <c r="D716" s="46"/>
      <c r="E716" s="47"/>
      <c r="F716" s="47"/>
      <c r="G716" s="47"/>
      <c r="H716" s="46"/>
      <c r="I716" s="47"/>
      <c r="J716" s="47"/>
      <c r="K716" s="47"/>
      <c r="L716" s="47"/>
      <c r="M716" s="47"/>
      <c r="N716" s="47"/>
      <c r="O716" s="47"/>
      <c r="P716" s="45" t="str">
        <f aca="false">IF($A716="","",IF(COUNTIF(Accounts!$C$2:$C$201,$A716)+COUNTIF('Service Principals'!$C$2:$C$201,$A716)+COUNTIF('Managed Identities'!$C$2:$C$201,$A716)&gt;0,"Yes","NOT IN INVENTORY"))</f>
        <v/>
      </c>
    </row>
    <row r="717" customFormat="false" ht="15" hidden="false" customHeight="false" outlineLevel="0" collapsed="false">
      <c r="A717" s="46"/>
      <c r="B717" s="47"/>
      <c r="C717" s="47"/>
      <c r="D717" s="46"/>
      <c r="E717" s="47"/>
      <c r="F717" s="47"/>
      <c r="G717" s="47"/>
      <c r="H717" s="46"/>
      <c r="I717" s="47"/>
      <c r="J717" s="47"/>
      <c r="K717" s="47"/>
      <c r="L717" s="47"/>
      <c r="M717" s="47"/>
      <c r="N717" s="47"/>
      <c r="O717" s="47"/>
      <c r="P717" s="45" t="str">
        <f aca="false">IF($A717="","",IF(COUNTIF(Accounts!$C$2:$C$201,$A717)+COUNTIF('Service Principals'!$C$2:$C$201,$A717)+COUNTIF('Managed Identities'!$C$2:$C$201,$A717)&gt;0,"Yes","NOT IN INVENTORY"))</f>
        <v/>
      </c>
    </row>
    <row r="718" customFormat="false" ht="15" hidden="false" customHeight="false" outlineLevel="0" collapsed="false">
      <c r="A718" s="46"/>
      <c r="B718" s="47"/>
      <c r="C718" s="47"/>
      <c r="D718" s="46"/>
      <c r="E718" s="47"/>
      <c r="F718" s="47"/>
      <c r="G718" s="47"/>
      <c r="H718" s="46"/>
      <c r="I718" s="47"/>
      <c r="J718" s="47"/>
      <c r="K718" s="47"/>
      <c r="L718" s="47"/>
      <c r="M718" s="47"/>
      <c r="N718" s="47"/>
      <c r="O718" s="47"/>
      <c r="P718" s="45" t="str">
        <f aca="false">IF($A718="","",IF(COUNTIF(Accounts!$C$2:$C$201,$A718)+COUNTIF('Service Principals'!$C$2:$C$201,$A718)+COUNTIF('Managed Identities'!$C$2:$C$201,$A718)&gt;0,"Yes","NOT IN INVENTORY"))</f>
        <v/>
      </c>
    </row>
    <row r="719" customFormat="false" ht="15" hidden="false" customHeight="false" outlineLevel="0" collapsed="false">
      <c r="A719" s="46"/>
      <c r="B719" s="47"/>
      <c r="C719" s="47"/>
      <c r="D719" s="46"/>
      <c r="E719" s="47"/>
      <c r="F719" s="47"/>
      <c r="G719" s="47"/>
      <c r="H719" s="46"/>
      <c r="I719" s="47"/>
      <c r="J719" s="47"/>
      <c r="K719" s="47"/>
      <c r="L719" s="47"/>
      <c r="M719" s="47"/>
      <c r="N719" s="47"/>
      <c r="O719" s="47"/>
      <c r="P719" s="45" t="str">
        <f aca="false">IF($A719="","",IF(COUNTIF(Accounts!$C$2:$C$201,$A719)+COUNTIF('Service Principals'!$C$2:$C$201,$A719)+COUNTIF('Managed Identities'!$C$2:$C$201,$A719)&gt;0,"Yes","NOT IN INVENTORY"))</f>
        <v/>
      </c>
    </row>
    <row r="720" customFormat="false" ht="15" hidden="false" customHeight="false" outlineLevel="0" collapsed="false">
      <c r="A720" s="46"/>
      <c r="B720" s="47"/>
      <c r="C720" s="47"/>
      <c r="D720" s="46"/>
      <c r="E720" s="47"/>
      <c r="F720" s="47"/>
      <c r="G720" s="47"/>
      <c r="H720" s="46"/>
      <c r="I720" s="47"/>
      <c r="J720" s="47"/>
      <c r="K720" s="47"/>
      <c r="L720" s="47"/>
      <c r="M720" s="47"/>
      <c r="N720" s="47"/>
      <c r="O720" s="47"/>
      <c r="P720" s="45" t="str">
        <f aca="false">IF($A720="","",IF(COUNTIF(Accounts!$C$2:$C$201,$A720)+COUNTIF('Service Principals'!$C$2:$C$201,$A720)+COUNTIF('Managed Identities'!$C$2:$C$201,$A720)&gt;0,"Yes","NOT IN INVENTORY"))</f>
        <v/>
      </c>
    </row>
    <row r="721" customFormat="false" ht="15" hidden="false" customHeight="false" outlineLevel="0" collapsed="false">
      <c r="A721" s="46"/>
      <c r="B721" s="47"/>
      <c r="C721" s="47"/>
      <c r="D721" s="46"/>
      <c r="E721" s="47"/>
      <c r="F721" s="47"/>
      <c r="G721" s="47"/>
      <c r="H721" s="46"/>
      <c r="I721" s="47"/>
      <c r="J721" s="47"/>
      <c r="K721" s="47"/>
      <c r="L721" s="47"/>
      <c r="M721" s="47"/>
      <c r="N721" s="47"/>
      <c r="O721" s="47"/>
      <c r="P721" s="45" t="str">
        <f aca="false">IF($A721="","",IF(COUNTIF(Accounts!$C$2:$C$201,$A721)+COUNTIF('Service Principals'!$C$2:$C$201,$A721)+COUNTIF('Managed Identities'!$C$2:$C$201,$A721)&gt;0,"Yes","NOT IN INVENTORY"))</f>
        <v/>
      </c>
    </row>
    <row r="722" customFormat="false" ht="15" hidden="false" customHeight="false" outlineLevel="0" collapsed="false">
      <c r="A722" s="46"/>
      <c r="B722" s="47"/>
      <c r="C722" s="47"/>
      <c r="D722" s="46"/>
      <c r="E722" s="47"/>
      <c r="F722" s="47"/>
      <c r="G722" s="47"/>
      <c r="H722" s="46"/>
      <c r="I722" s="47"/>
      <c r="J722" s="47"/>
      <c r="K722" s="47"/>
      <c r="L722" s="47"/>
      <c r="M722" s="47"/>
      <c r="N722" s="47"/>
      <c r="O722" s="47"/>
      <c r="P722" s="45" t="str">
        <f aca="false">IF($A722="","",IF(COUNTIF(Accounts!$C$2:$C$201,$A722)+COUNTIF('Service Principals'!$C$2:$C$201,$A722)+COUNTIF('Managed Identities'!$C$2:$C$201,$A722)&gt;0,"Yes","NOT IN INVENTORY"))</f>
        <v/>
      </c>
    </row>
    <row r="723" customFormat="false" ht="15" hidden="false" customHeight="false" outlineLevel="0" collapsed="false">
      <c r="A723" s="46"/>
      <c r="B723" s="47"/>
      <c r="C723" s="47"/>
      <c r="D723" s="46"/>
      <c r="E723" s="47"/>
      <c r="F723" s="47"/>
      <c r="G723" s="47"/>
      <c r="H723" s="46"/>
      <c r="I723" s="47"/>
      <c r="J723" s="47"/>
      <c r="K723" s="47"/>
      <c r="L723" s="47"/>
      <c r="M723" s="47"/>
      <c r="N723" s="47"/>
      <c r="O723" s="47"/>
      <c r="P723" s="45" t="str">
        <f aca="false">IF($A723="","",IF(COUNTIF(Accounts!$C$2:$C$201,$A723)+COUNTIF('Service Principals'!$C$2:$C$201,$A723)+COUNTIF('Managed Identities'!$C$2:$C$201,$A723)&gt;0,"Yes","NOT IN INVENTORY"))</f>
        <v/>
      </c>
    </row>
    <row r="724" customFormat="false" ht="15" hidden="false" customHeight="false" outlineLevel="0" collapsed="false">
      <c r="A724" s="46"/>
      <c r="B724" s="47"/>
      <c r="C724" s="47"/>
      <c r="D724" s="46"/>
      <c r="E724" s="47"/>
      <c r="F724" s="47"/>
      <c r="G724" s="47"/>
      <c r="H724" s="46"/>
      <c r="I724" s="47"/>
      <c r="J724" s="47"/>
      <c r="K724" s="47"/>
      <c r="L724" s="47"/>
      <c r="M724" s="47"/>
      <c r="N724" s="47"/>
      <c r="O724" s="47"/>
      <c r="P724" s="45" t="str">
        <f aca="false">IF($A724="","",IF(COUNTIF(Accounts!$C$2:$C$201,$A724)+COUNTIF('Service Principals'!$C$2:$C$201,$A724)+COUNTIF('Managed Identities'!$C$2:$C$201,$A724)&gt;0,"Yes","NOT IN INVENTORY"))</f>
        <v/>
      </c>
    </row>
    <row r="725" customFormat="false" ht="15" hidden="false" customHeight="false" outlineLevel="0" collapsed="false">
      <c r="A725" s="46"/>
      <c r="B725" s="47"/>
      <c r="C725" s="47"/>
      <c r="D725" s="46"/>
      <c r="E725" s="47"/>
      <c r="F725" s="47"/>
      <c r="G725" s="47"/>
      <c r="H725" s="46"/>
      <c r="I725" s="47"/>
      <c r="J725" s="47"/>
      <c r="K725" s="47"/>
      <c r="L725" s="47"/>
      <c r="M725" s="47"/>
      <c r="N725" s="47"/>
      <c r="O725" s="47"/>
      <c r="P725" s="45" t="str">
        <f aca="false">IF($A725="","",IF(COUNTIF(Accounts!$C$2:$C$201,$A725)+COUNTIF('Service Principals'!$C$2:$C$201,$A725)+COUNTIF('Managed Identities'!$C$2:$C$201,$A725)&gt;0,"Yes","NOT IN INVENTORY"))</f>
        <v/>
      </c>
    </row>
    <row r="726" customFormat="false" ht="15" hidden="false" customHeight="false" outlineLevel="0" collapsed="false">
      <c r="A726" s="46"/>
      <c r="B726" s="47"/>
      <c r="C726" s="47"/>
      <c r="D726" s="46"/>
      <c r="E726" s="47"/>
      <c r="F726" s="47"/>
      <c r="G726" s="47"/>
      <c r="H726" s="46"/>
      <c r="I726" s="47"/>
      <c r="J726" s="47"/>
      <c r="K726" s="47"/>
      <c r="L726" s="47"/>
      <c r="M726" s="47"/>
      <c r="N726" s="47"/>
      <c r="O726" s="47"/>
      <c r="P726" s="45" t="str">
        <f aca="false">IF($A726="","",IF(COUNTIF(Accounts!$C$2:$C$201,$A726)+COUNTIF('Service Principals'!$C$2:$C$201,$A726)+COUNTIF('Managed Identities'!$C$2:$C$201,$A726)&gt;0,"Yes","NOT IN INVENTORY"))</f>
        <v/>
      </c>
    </row>
    <row r="727" customFormat="false" ht="15" hidden="false" customHeight="false" outlineLevel="0" collapsed="false">
      <c r="A727" s="46"/>
      <c r="B727" s="47"/>
      <c r="C727" s="47"/>
      <c r="D727" s="46"/>
      <c r="E727" s="47"/>
      <c r="F727" s="47"/>
      <c r="G727" s="47"/>
      <c r="H727" s="46"/>
      <c r="I727" s="47"/>
      <c r="J727" s="47"/>
      <c r="K727" s="47"/>
      <c r="L727" s="47"/>
      <c r="M727" s="47"/>
      <c r="N727" s="47"/>
      <c r="O727" s="47"/>
      <c r="P727" s="45" t="str">
        <f aca="false">IF($A727="","",IF(COUNTIF(Accounts!$C$2:$C$201,$A727)+COUNTIF('Service Principals'!$C$2:$C$201,$A727)+COUNTIF('Managed Identities'!$C$2:$C$201,$A727)&gt;0,"Yes","NOT IN INVENTORY"))</f>
        <v/>
      </c>
    </row>
    <row r="728" customFormat="false" ht="15" hidden="false" customHeight="false" outlineLevel="0" collapsed="false">
      <c r="A728" s="46"/>
      <c r="B728" s="47"/>
      <c r="C728" s="47"/>
      <c r="D728" s="46"/>
      <c r="E728" s="47"/>
      <c r="F728" s="47"/>
      <c r="G728" s="47"/>
      <c r="H728" s="46"/>
      <c r="I728" s="47"/>
      <c r="J728" s="47"/>
      <c r="K728" s="47"/>
      <c r="L728" s="47"/>
      <c r="M728" s="47"/>
      <c r="N728" s="47"/>
      <c r="O728" s="47"/>
      <c r="P728" s="45" t="str">
        <f aca="false">IF($A728="","",IF(COUNTIF(Accounts!$C$2:$C$201,$A728)+COUNTIF('Service Principals'!$C$2:$C$201,$A728)+COUNTIF('Managed Identities'!$C$2:$C$201,$A728)&gt;0,"Yes","NOT IN INVENTORY"))</f>
        <v/>
      </c>
    </row>
    <row r="729" customFormat="false" ht="15" hidden="false" customHeight="false" outlineLevel="0" collapsed="false">
      <c r="A729" s="46"/>
      <c r="B729" s="47"/>
      <c r="C729" s="47"/>
      <c r="D729" s="46"/>
      <c r="E729" s="47"/>
      <c r="F729" s="47"/>
      <c r="G729" s="47"/>
      <c r="H729" s="46"/>
      <c r="I729" s="47"/>
      <c r="J729" s="47"/>
      <c r="K729" s="47"/>
      <c r="L729" s="47"/>
      <c r="M729" s="47"/>
      <c r="N729" s="47"/>
      <c r="O729" s="47"/>
      <c r="P729" s="45" t="str">
        <f aca="false">IF($A729="","",IF(COUNTIF(Accounts!$C$2:$C$201,$A729)+COUNTIF('Service Principals'!$C$2:$C$201,$A729)+COUNTIF('Managed Identities'!$C$2:$C$201,$A729)&gt;0,"Yes","NOT IN INVENTORY"))</f>
        <v/>
      </c>
    </row>
    <row r="730" customFormat="false" ht="15" hidden="false" customHeight="false" outlineLevel="0" collapsed="false">
      <c r="A730" s="46"/>
      <c r="B730" s="47"/>
      <c r="C730" s="47"/>
      <c r="D730" s="46"/>
      <c r="E730" s="47"/>
      <c r="F730" s="47"/>
      <c r="G730" s="47"/>
      <c r="H730" s="46"/>
      <c r="I730" s="47"/>
      <c r="J730" s="47"/>
      <c r="K730" s="47"/>
      <c r="L730" s="47"/>
      <c r="M730" s="47"/>
      <c r="N730" s="47"/>
      <c r="O730" s="47"/>
      <c r="P730" s="45" t="str">
        <f aca="false">IF($A730="","",IF(COUNTIF(Accounts!$C$2:$C$201,$A730)+COUNTIF('Service Principals'!$C$2:$C$201,$A730)+COUNTIF('Managed Identities'!$C$2:$C$201,$A730)&gt;0,"Yes","NOT IN INVENTORY"))</f>
        <v/>
      </c>
    </row>
    <row r="731" customFormat="false" ht="15" hidden="false" customHeight="false" outlineLevel="0" collapsed="false">
      <c r="A731" s="46"/>
      <c r="B731" s="47"/>
      <c r="C731" s="47"/>
      <c r="D731" s="46"/>
      <c r="E731" s="47"/>
      <c r="F731" s="47"/>
      <c r="G731" s="47"/>
      <c r="H731" s="46"/>
      <c r="I731" s="47"/>
      <c r="J731" s="47"/>
      <c r="K731" s="47"/>
      <c r="L731" s="47"/>
      <c r="M731" s="47"/>
      <c r="N731" s="47"/>
      <c r="O731" s="47"/>
      <c r="P731" s="45" t="str">
        <f aca="false">IF($A731="","",IF(COUNTIF(Accounts!$C$2:$C$201,$A731)+COUNTIF('Service Principals'!$C$2:$C$201,$A731)+COUNTIF('Managed Identities'!$C$2:$C$201,$A731)&gt;0,"Yes","NOT IN INVENTORY"))</f>
        <v/>
      </c>
    </row>
    <row r="732" customFormat="false" ht="15" hidden="false" customHeight="false" outlineLevel="0" collapsed="false">
      <c r="A732" s="46"/>
      <c r="B732" s="47"/>
      <c r="C732" s="47"/>
      <c r="D732" s="46"/>
      <c r="E732" s="47"/>
      <c r="F732" s="47"/>
      <c r="G732" s="47"/>
      <c r="H732" s="46"/>
      <c r="I732" s="47"/>
      <c r="J732" s="47"/>
      <c r="K732" s="47"/>
      <c r="L732" s="47"/>
      <c r="M732" s="47"/>
      <c r="N732" s="47"/>
      <c r="O732" s="47"/>
      <c r="P732" s="45" t="str">
        <f aca="false">IF($A732="","",IF(COUNTIF(Accounts!$C$2:$C$201,$A732)+COUNTIF('Service Principals'!$C$2:$C$201,$A732)+COUNTIF('Managed Identities'!$C$2:$C$201,$A732)&gt;0,"Yes","NOT IN INVENTORY"))</f>
        <v/>
      </c>
    </row>
    <row r="733" customFormat="false" ht="15" hidden="false" customHeight="false" outlineLevel="0" collapsed="false">
      <c r="A733" s="46"/>
      <c r="B733" s="47"/>
      <c r="C733" s="47"/>
      <c r="D733" s="46"/>
      <c r="E733" s="47"/>
      <c r="F733" s="47"/>
      <c r="G733" s="47"/>
      <c r="H733" s="46"/>
      <c r="I733" s="47"/>
      <c r="J733" s="47"/>
      <c r="K733" s="47"/>
      <c r="L733" s="47"/>
      <c r="M733" s="47"/>
      <c r="N733" s="47"/>
      <c r="O733" s="47"/>
      <c r="P733" s="45" t="str">
        <f aca="false">IF($A733="","",IF(COUNTIF(Accounts!$C$2:$C$201,$A733)+COUNTIF('Service Principals'!$C$2:$C$201,$A733)+COUNTIF('Managed Identities'!$C$2:$C$201,$A733)&gt;0,"Yes","NOT IN INVENTORY"))</f>
        <v/>
      </c>
    </row>
    <row r="734" customFormat="false" ht="15" hidden="false" customHeight="false" outlineLevel="0" collapsed="false">
      <c r="A734" s="46"/>
      <c r="B734" s="47"/>
      <c r="C734" s="47"/>
      <c r="D734" s="46"/>
      <c r="E734" s="47"/>
      <c r="F734" s="47"/>
      <c r="G734" s="47"/>
      <c r="H734" s="46"/>
      <c r="I734" s="47"/>
      <c r="J734" s="47"/>
      <c r="K734" s="47"/>
      <c r="L734" s="47"/>
      <c r="M734" s="47"/>
      <c r="N734" s="47"/>
      <c r="O734" s="47"/>
      <c r="P734" s="45" t="str">
        <f aca="false">IF($A734="","",IF(COUNTIF(Accounts!$C$2:$C$201,$A734)+COUNTIF('Service Principals'!$C$2:$C$201,$A734)+COUNTIF('Managed Identities'!$C$2:$C$201,$A734)&gt;0,"Yes","NOT IN INVENTORY"))</f>
        <v/>
      </c>
    </row>
    <row r="735" customFormat="false" ht="15" hidden="false" customHeight="false" outlineLevel="0" collapsed="false">
      <c r="A735" s="46"/>
      <c r="B735" s="47"/>
      <c r="C735" s="47"/>
      <c r="D735" s="46"/>
      <c r="E735" s="47"/>
      <c r="F735" s="47"/>
      <c r="G735" s="47"/>
      <c r="H735" s="46"/>
      <c r="I735" s="47"/>
      <c r="J735" s="47"/>
      <c r="K735" s="47"/>
      <c r="L735" s="47"/>
      <c r="M735" s="47"/>
      <c r="N735" s="47"/>
      <c r="O735" s="47"/>
      <c r="P735" s="45" t="str">
        <f aca="false">IF($A735="","",IF(COUNTIF(Accounts!$C$2:$C$201,$A735)+COUNTIF('Service Principals'!$C$2:$C$201,$A735)+COUNTIF('Managed Identities'!$C$2:$C$201,$A735)&gt;0,"Yes","NOT IN INVENTORY"))</f>
        <v/>
      </c>
    </row>
    <row r="736" customFormat="false" ht="15" hidden="false" customHeight="false" outlineLevel="0" collapsed="false">
      <c r="A736" s="46"/>
      <c r="B736" s="47"/>
      <c r="C736" s="47"/>
      <c r="D736" s="46"/>
      <c r="E736" s="47"/>
      <c r="F736" s="47"/>
      <c r="G736" s="47"/>
      <c r="H736" s="46"/>
      <c r="I736" s="47"/>
      <c r="J736" s="47"/>
      <c r="K736" s="47"/>
      <c r="L736" s="47"/>
      <c r="M736" s="47"/>
      <c r="N736" s="47"/>
      <c r="O736" s="47"/>
      <c r="P736" s="45" t="str">
        <f aca="false">IF($A736="","",IF(COUNTIF(Accounts!$C$2:$C$201,$A736)+COUNTIF('Service Principals'!$C$2:$C$201,$A736)+COUNTIF('Managed Identities'!$C$2:$C$201,$A736)&gt;0,"Yes","NOT IN INVENTORY"))</f>
        <v/>
      </c>
    </row>
    <row r="737" customFormat="false" ht="15" hidden="false" customHeight="false" outlineLevel="0" collapsed="false">
      <c r="A737" s="46"/>
      <c r="B737" s="47"/>
      <c r="C737" s="47"/>
      <c r="D737" s="46"/>
      <c r="E737" s="47"/>
      <c r="F737" s="47"/>
      <c r="G737" s="47"/>
      <c r="H737" s="46"/>
      <c r="I737" s="47"/>
      <c r="J737" s="47"/>
      <c r="K737" s="47"/>
      <c r="L737" s="47"/>
      <c r="M737" s="47"/>
      <c r="N737" s="47"/>
      <c r="O737" s="47"/>
      <c r="P737" s="45" t="str">
        <f aca="false">IF($A737="","",IF(COUNTIF(Accounts!$C$2:$C$201,$A737)+COUNTIF('Service Principals'!$C$2:$C$201,$A737)+COUNTIF('Managed Identities'!$C$2:$C$201,$A737)&gt;0,"Yes","NOT IN INVENTORY"))</f>
        <v/>
      </c>
    </row>
    <row r="738" customFormat="false" ht="15" hidden="false" customHeight="false" outlineLevel="0" collapsed="false">
      <c r="A738" s="46"/>
      <c r="B738" s="47"/>
      <c r="C738" s="47"/>
      <c r="D738" s="46"/>
      <c r="E738" s="47"/>
      <c r="F738" s="47"/>
      <c r="G738" s="47"/>
      <c r="H738" s="46"/>
      <c r="I738" s="47"/>
      <c r="J738" s="47"/>
      <c r="K738" s="47"/>
      <c r="L738" s="47"/>
      <c r="M738" s="47"/>
      <c r="N738" s="47"/>
      <c r="O738" s="47"/>
      <c r="P738" s="45" t="str">
        <f aca="false">IF($A738="","",IF(COUNTIF(Accounts!$C$2:$C$201,$A738)+COUNTIF('Service Principals'!$C$2:$C$201,$A738)+COUNTIF('Managed Identities'!$C$2:$C$201,$A738)&gt;0,"Yes","NOT IN INVENTORY"))</f>
        <v/>
      </c>
    </row>
    <row r="739" customFormat="false" ht="15" hidden="false" customHeight="false" outlineLevel="0" collapsed="false">
      <c r="A739" s="46"/>
      <c r="B739" s="47"/>
      <c r="C739" s="47"/>
      <c r="D739" s="46"/>
      <c r="E739" s="47"/>
      <c r="F739" s="47"/>
      <c r="G739" s="47"/>
      <c r="H739" s="46"/>
      <c r="I739" s="47"/>
      <c r="J739" s="47"/>
      <c r="K739" s="47"/>
      <c r="L739" s="47"/>
      <c r="M739" s="47"/>
      <c r="N739" s="47"/>
      <c r="O739" s="47"/>
      <c r="P739" s="45" t="str">
        <f aca="false">IF($A739="","",IF(COUNTIF(Accounts!$C$2:$C$201,$A739)+COUNTIF('Service Principals'!$C$2:$C$201,$A739)+COUNTIF('Managed Identities'!$C$2:$C$201,$A739)&gt;0,"Yes","NOT IN INVENTORY"))</f>
        <v/>
      </c>
    </row>
    <row r="740" customFormat="false" ht="15" hidden="false" customHeight="false" outlineLevel="0" collapsed="false">
      <c r="A740" s="46"/>
      <c r="B740" s="47"/>
      <c r="C740" s="47"/>
      <c r="D740" s="46"/>
      <c r="E740" s="47"/>
      <c r="F740" s="47"/>
      <c r="G740" s="47"/>
      <c r="H740" s="46"/>
      <c r="I740" s="47"/>
      <c r="J740" s="47"/>
      <c r="K740" s="47"/>
      <c r="L740" s="47"/>
      <c r="M740" s="47"/>
      <c r="N740" s="47"/>
      <c r="O740" s="47"/>
      <c r="P740" s="45" t="str">
        <f aca="false">IF($A740="","",IF(COUNTIF(Accounts!$C$2:$C$201,$A740)+COUNTIF('Service Principals'!$C$2:$C$201,$A740)+COUNTIF('Managed Identities'!$C$2:$C$201,$A740)&gt;0,"Yes","NOT IN INVENTORY"))</f>
        <v/>
      </c>
    </row>
    <row r="741" customFormat="false" ht="15" hidden="false" customHeight="false" outlineLevel="0" collapsed="false">
      <c r="A741" s="46"/>
      <c r="B741" s="47"/>
      <c r="C741" s="47"/>
      <c r="D741" s="46"/>
      <c r="E741" s="47"/>
      <c r="F741" s="47"/>
      <c r="G741" s="47"/>
      <c r="H741" s="46"/>
      <c r="I741" s="47"/>
      <c r="J741" s="47"/>
      <c r="K741" s="47"/>
      <c r="L741" s="47"/>
      <c r="M741" s="47"/>
      <c r="N741" s="47"/>
      <c r="O741" s="47"/>
      <c r="P741" s="45" t="str">
        <f aca="false">IF($A741="","",IF(COUNTIF(Accounts!$C$2:$C$201,$A741)+COUNTIF('Service Principals'!$C$2:$C$201,$A741)+COUNTIF('Managed Identities'!$C$2:$C$201,$A741)&gt;0,"Yes","NOT IN INVENTORY"))</f>
        <v/>
      </c>
    </row>
    <row r="742" customFormat="false" ht="15" hidden="false" customHeight="false" outlineLevel="0" collapsed="false">
      <c r="A742" s="46"/>
      <c r="B742" s="47"/>
      <c r="C742" s="47"/>
      <c r="D742" s="46"/>
      <c r="E742" s="47"/>
      <c r="F742" s="47"/>
      <c r="G742" s="47"/>
      <c r="H742" s="46"/>
      <c r="I742" s="47"/>
      <c r="J742" s="47"/>
      <c r="K742" s="47"/>
      <c r="L742" s="47"/>
      <c r="M742" s="47"/>
      <c r="N742" s="47"/>
      <c r="O742" s="47"/>
      <c r="P742" s="45" t="str">
        <f aca="false">IF($A742="","",IF(COUNTIF(Accounts!$C$2:$C$201,$A742)+COUNTIF('Service Principals'!$C$2:$C$201,$A742)+COUNTIF('Managed Identities'!$C$2:$C$201,$A742)&gt;0,"Yes","NOT IN INVENTORY"))</f>
        <v/>
      </c>
    </row>
    <row r="743" customFormat="false" ht="15" hidden="false" customHeight="false" outlineLevel="0" collapsed="false">
      <c r="A743" s="46"/>
      <c r="B743" s="47"/>
      <c r="C743" s="47"/>
      <c r="D743" s="46"/>
      <c r="E743" s="47"/>
      <c r="F743" s="47"/>
      <c r="G743" s="47"/>
      <c r="H743" s="46"/>
      <c r="I743" s="47"/>
      <c r="J743" s="47"/>
      <c r="K743" s="47"/>
      <c r="L743" s="47"/>
      <c r="M743" s="47"/>
      <c r="N743" s="47"/>
      <c r="O743" s="47"/>
      <c r="P743" s="45" t="str">
        <f aca="false">IF($A743="","",IF(COUNTIF(Accounts!$C$2:$C$201,$A743)+COUNTIF('Service Principals'!$C$2:$C$201,$A743)+COUNTIF('Managed Identities'!$C$2:$C$201,$A743)&gt;0,"Yes","NOT IN INVENTORY"))</f>
        <v/>
      </c>
    </row>
    <row r="744" customFormat="false" ht="15" hidden="false" customHeight="false" outlineLevel="0" collapsed="false">
      <c r="A744" s="46"/>
      <c r="B744" s="47"/>
      <c r="C744" s="47"/>
      <c r="D744" s="46"/>
      <c r="E744" s="47"/>
      <c r="F744" s="47"/>
      <c r="G744" s="47"/>
      <c r="H744" s="46"/>
      <c r="I744" s="47"/>
      <c r="J744" s="47"/>
      <c r="K744" s="47"/>
      <c r="L744" s="47"/>
      <c r="M744" s="47"/>
      <c r="N744" s="47"/>
      <c r="O744" s="47"/>
      <c r="P744" s="45" t="str">
        <f aca="false">IF($A744="","",IF(COUNTIF(Accounts!$C$2:$C$201,$A744)+COUNTIF('Service Principals'!$C$2:$C$201,$A744)+COUNTIF('Managed Identities'!$C$2:$C$201,$A744)&gt;0,"Yes","NOT IN INVENTORY"))</f>
        <v/>
      </c>
    </row>
    <row r="745" customFormat="false" ht="15" hidden="false" customHeight="false" outlineLevel="0" collapsed="false">
      <c r="A745" s="46"/>
      <c r="B745" s="47"/>
      <c r="C745" s="47"/>
      <c r="D745" s="46"/>
      <c r="E745" s="47"/>
      <c r="F745" s="47"/>
      <c r="G745" s="47"/>
      <c r="H745" s="46"/>
      <c r="I745" s="47"/>
      <c r="J745" s="47"/>
      <c r="K745" s="47"/>
      <c r="L745" s="47"/>
      <c r="M745" s="47"/>
      <c r="N745" s="47"/>
      <c r="O745" s="47"/>
      <c r="P745" s="45" t="str">
        <f aca="false">IF($A745="","",IF(COUNTIF(Accounts!$C$2:$C$201,$A745)+COUNTIF('Service Principals'!$C$2:$C$201,$A745)+COUNTIF('Managed Identities'!$C$2:$C$201,$A745)&gt;0,"Yes","NOT IN INVENTORY"))</f>
        <v/>
      </c>
    </row>
    <row r="746" customFormat="false" ht="15" hidden="false" customHeight="false" outlineLevel="0" collapsed="false">
      <c r="A746" s="46"/>
      <c r="B746" s="47"/>
      <c r="C746" s="47"/>
      <c r="D746" s="46"/>
      <c r="E746" s="47"/>
      <c r="F746" s="47"/>
      <c r="G746" s="47"/>
      <c r="H746" s="46"/>
      <c r="I746" s="47"/>
      <c r="J746" s="47"/>
      <c r="K746" s="47"/>
      <c r="L746" s="47"/>
      <c r="M746" s="47"/>
      <c r="N746" s="47"/>
      <c r="O746" s="47"/>
      <c r="P746" s="45" t="str">
        <f aca="false">IF($A746="","",IF(COUNTIF(Accounts!$C$2:$C$201,$A746)+COUNTIF('Service Principals'!$C$2:$C$201,$A746)+COUNTIF('Managed Identities'!$C$2:$C$201,$A746)&gt;0,"Yes","NOT IN INVENTORY"))</f>
        <v/>
      </c>
    </row>
    <row r="747" customFormat="false" ht="15" hidden="false" customHeight="false" outlineLevel="0" collapsed="false">
      <c r="A747" s="46"/>
      <c r="B747" s="47"/>
      <c r="C747" s="47"/>
      <c r="D747" s="46"/>
      <c r="E747" s="47"/>
      <c r="F747" s="47"/>
      <c r="G747" s="47"/>
      <c r="H747" s="46"/>
      <c r="I747" s="47"/>
      <c r="J747" s="47"/>
      <c r="K747" s="47"/>
      <c r="L747" s="47"/>
      <c r="M747" s="47"/>
      <c r="N747" s="47"/>
      <c r="O747" s="47"/>
      <c r="P747" s="45" t="str">
        <f aca="false">IF($A747="","",IF(COUNTIF(Accounts!$C$2:$C$201,$A747)+COUNTIF('Service Principals'!$C$2:$C$201,$A747)+COUNTIF('Managed Identities'!$C$2:$C$201,$A747)&gt;0,"Yes","NOT IN INVENTORY"))</f>
        <v/>
      </c>
    </row>
    <row r="748" customFormat="false" ht="15" hidden="false" customHeight="false" outlineLevel="0" collapsed="false">
      <c r="A748" s="46"/>
      <c r="B748" s="47"/>
      <c r="C748" s="47"/>
      <c r="D748" s="46"/>
      <c r="E748" s="47"/>
      <c r="F748" s="47"/>
      <c r="G748" s="47"/>
      <c r="H748" s="46"/>
      <c r="I748" s="47"/>
      <c r="J748" s="47"/>
      <c r="K748" s="47"/>
      <c r="L748" s="47"/>
      <c r="M748" s="47"/>
      <c r="N748" s="47"/>
      <c r="O748" s="47"/>
      <c r="P748" s="45" t="str">
        <f aca="false">IF($A748="","",IF(COUNTIF(Accounts!$C$2:$C$201,$A748)+COUNTIF('Service Principals'!$C$2:$C$201,$A748)+COUNTIF('Managed Identities'!$C$2:$C$201,$A748)&gt;0,"Yes","NOT IN INVENTORY"))</f>
        <v/>
      </c>
    </row>
    <row r="749" customFormat="false" ht="15" hidden="false" customHeight="false" outlineLevel="0" collapsed="false">
      <c r="A749" s="46"/>
      <c r="B749" s="47"/>
      <c r="C749" s="47"/>
      <c r="D749" s="46"/>
      <c r="E749" s="47"/>
      <c r="F749" s="47"/>
      <c r="G749" s="47"/>
      <c r="H749" s="46"/>
      <c r="I749" s="47"/>
      <c r="J749" s="47"/>
      <c r="K749" s="47"/>
      <c r="L749" s="47"/>
      <c r="M749" s="47"/>
      <c r="N749" s="47"/>
      <c r="O749" s="47"/>
      <c r="P749" s="45" t="str">
        <f aca="false">IF($A749="","",IF(COUNTIF(Accounts!$C$2:$C$201,$A749)+COUNTIF('Service Principals'!$C$2:$C$201,$A749)+COUNTIF('Managed Identities'!$C$2:$C$201,$A749)&gt;0,"Yes","NOT IN INVENTORY"))</f>
        <v/>
      </c>
    </row>
    <row r="750" customFormat="false" ht="15" hidden="false" customHeight="false" outlineLevel="0" collapsed="false">
      <c r="A750" s="46"/>
      <c r="B750" s="47"/>
      <c r="C750" s="47"/>
      <c r="D750" s="46"/>
      <c r="E750" s="47"/>
      <c r="F750" s="47"/>
      <c r="G750" s="47"/>
      <c r="H750" s="46"/>
      <c r="I750" s="47"/>
      <c r="J750" s="47"/>
      <c r="K750" s="47"/>
      <c r="L750" s="47"/>
      <c r="M750" s="47"/>
      <c r="N750" s="47"/>
      <c r="O750" s="47"/>
      <c r="P750" s="45" t="str">
        <f aca="false">IF($A750="","",IF(COUNTIF(Accounts!$C$2:$C$201,$A750)+COUNTIF('Service Principals'!$C$2:$C$201,$A750)+COUNTIF('Managed Identities'!$C$2:$C$201,$A750)&gt;0,"Yes","NOT IN INVENTORY"))</f>
        <v/>
      </c>
    </row>
    <row r="751" customFormat="false" ht="15" hidden="false" customHeight="false" outlineLevel="0" collapsed="false">
      <c r="A751" s="46"/>
      <c r="B751" s="47"/>
      <c r="C751" s="47"/>
      <c r="D751" s="46"/>
      <c r="E751" s="47"/>
      <c r="F751" s="47"/>
      <c r="G751" s="47"/>
      <c r="H751" s="46"/>
      <c r="I751" s="47"/>
      <c r="J751" s="47"/>
      <c r="K751" s="47"/>
      <c r="L751" s="47"/>
      <c r="M751" s="47"/>
      <c r="N751" s="47"/>
      <c r="O751" s="47"/>
      <c r="P751" s="45" t="str">
        <f aca="false">IF($A751="","",IF(COUNTIF(Accounts!$C$2:$C$201,$A751)+COUNTIF('Service Principals'!$C$2:$C$201,$A751)+COUNTIF('Managed Identities'!$C$2:$C$201,$A751)&gt;0,"Yes","NOT IN INVENTORY"))</f>
        <v/>
      </c>
    </row>
    <row r="752" customFormat="false" ht="15" hidden="false" customHeight="false" outlineLevel="0" collapsed="false">
      <c r="A752" s="46"/>
      <c r="B752" s="47"/>
      <c r="C752" s="47"/>
      <c r="D752" s="46"/>
      <c r="E752" s="47"/>
      <c r="F752" s="47"/>
      <c r="G752" s="47"/>
      <c r="H752" s="46"/>
      <c r="I752" s="47"/>
      <c r="J752" s="47"/>
      <c r="K752" s="47"/>
      <c r="L752" s="47"/>
      <c r="M752" s="47"/>
      <c r="N752" s="47"/>
      <c r="O752" s="47"/>
      <c r="P752" s="45" t="str">
        <f aca="false">IF($A752="","",IF(COUNTIF(Accounts!$C$2:$C$201,$A752)+COUNTIF('Service Principals'!$C$2:$C$201,$A752)+COUNTIF('Managed Identities'!$C$2:$C$201,$A752)&gt;0,"Yes","NOT IN INVENTORY"))</f>
        <v/>
      </c>
    </row>
    <row r="753" customFormat="false" ht="15" hidden="false" customHeight="false" outlineLevel="0" collapsed="false">
      <c r="A753" s="46"/>
      <c r="B753" s="47"/>
      <c r="C753" s="47"/>
      <c r="D753" s="46"/>
      <c r="E753" s="47"/>
      <c r="F753" s="47"/>
      <c r="G753" s="47"/>
      <c r="H753" s="46"/>
      <c r="I753" s="47"/>
      <c r="J753" s="47"/>
      <c r="K753" s="47"/>
      <c r="L753" s="47"/>
      <c r="M753" s="47"/>
      <c r="N753" s="47"/>
      <c r="O753" s="47"/>
      <c r="P753" s="45" t="str">
        <f aca="false">IF($A753="","",IF(COUNTIF(Accounts!$C$2:$C$201,$A753)+COUNTIF('Service Principals'!$C$2:$C$201,$A753)+COUNTIF('Managed Identities'!$C$2:$C$201,$A753)&gt;0,"Yes","NOT IN INVENTORY"))</f>
        <v/>
      </c>
    </row>
    <row r="754" customFormat="false" ht="15" hidden="false" customHeight="false" outlineLevel="0" collapsed="false">
      <c r="A754" s="46"/>
      <c r="B754" s="47"/>
      <c r="C754" s="47"/>
      <c r="D754" s="46"/>
      <c r="E754" s="47"/>
      <c r="F754" s="47"/>
      <c r="G754" s="47"/>
      <c r="H754" s="46"/>
      <c r="I754" s="47"/>
      <c r="J754" s="47"/>
      <c r="K754" s="47"/>
      <c r="L754" s="47"/>
      <c r="M754" s="47"/>
      <c r="N754" s="47"/>
      <c r="O754" s="47"/>
      <c r="P754" s="45" t="str">
        <f aca="false">IF($A754="","",IF(COUNTIF(Accounts!$C$2:$C$201,$A754)+COUNTIF('Service Principals'!$C$2:$C$201,$A754)+COUNTIF('Managed Identities'!$C$2:$C$201,$A754)&gt;0,"Yes","NOT IN INVENTORY"))</f>
        <v/>
      </c>
    </row>
    <row r="755" customFormat="false" ht="15" hidden="false" customHeight="false" outlineLevel="0" collapsed="false">
      <c r="A755" s="46"/>
      <c r="B755" s="47"/>
      <c r="C755" s="47"/>
      <c r="D755" s="46"/>
      <c r="E755" s="47"/>
      <c r="F755" s="47"/>
      <c r="G755" s="47"/>
      <c r="H755" s="46"/>
      <c r="I755" s="47"/>
      <c r="J755" s="47"/>
      <c r="K755" s="47"/>
      <c r="L755" s="47"/>
      <c r="M755" s="47"/>
      <c r="N755" s="47"/>
      <c r="O755" s="47"/>
      <c r="P755" s="45" t="str">
        <f aca="false">IF($A755="","",IF(COUNTIF(Accounts!$C$2:$C$201,$A755)+COUNTIF('Service Principals'!$C$2:$C$201,$A755)+COUNTIF('Managed Identities'!$C$2:$C$201,$A755)&gt;0,"Yes","NOT IN INVENTORY"))</f>
        <v/>
      </c>
    </row>
    <row r="756" customFormat="false" ht="15" hidden="false" customHeight="false" outlineLevel="0" collapsed="false">
      <c r="A756" s="46"/>
      <c r="B756" s="47"/>
      <c r="C756" s="47"/>
      <c r="D756" s="46"/>
      <c r="E756" s="47"/>
      <c r="F756" s="47"/>
      <c r="G756" s="47"/>
      <c r="H756" s="46"/>
      <c r="I756" s="47"/>
      <c r="J756" s="47"/>
      <c r="K756" s="47"/>
      <c r="L756" s="47"/>
      <c r="M756" s="47"/>
      <c r="N756" s="47"/>
      <c r="O756" s="47"/>
      <c r="P756" s="45" t="str">
        <f aca="false">IF($A756="","",IF(COUNTIF(Accounts!$C$2:$C$201,$A756)+COUNTIF('Service Principals'!$C$2:$C$201,$A756)+COUNTIF('Managed Identities'!$C$2:$C$201,$A756)&gt;0,"Yes","NOT IN INVENTORY"))</f>
        <v/>
      </c>
    </row>
    <row r="757" customFormat="false" ht="15" hidden="false" customHeight="false" outlineLevel="0" collapsed="false">
      <c r="A757" s="46"/>
      <c r="B757" s="47"/>
      <c r="C757" s="47"/>
      <c r="D757" s="46"/>
      <c r="E757" s="47"/>
      <c r="F757" s="47"/>
      <c r="G757" s="47"/>
      <c r="H757" s="46"/>
      <c r="I757" s="47"/>
      <c r="J757" s="47"/>
      <c r="K757" s="47"/>
      <c r="L757" s="47"/>
      <c r="M757" s="47"/>
      <c r="N757" s="47"/>
      <c r="O757" s="47"/>
      <c r="P757" s="45" t="str">
        <f aca="false">IF($A757="","",IF(COUNTIF(Accounts!$C$2:$C$201,$A757)+COUNTIF('Service Principals'!$C$2:$C$201,$A757)+COUNTIF('Managed Identities'!$C$2:$C$201,$A757)&gt;0,"Yes","NOT IN INVENTORY"))</f>
        <v/>
      </c>
    </row>
    <row r="758" customFormat="false" ht="15" hidden="false" customHeight="false" outlineLevel="0" collapsed="false">
      <c r="A758" s="46"/>
      <c r="B758" s="47"/>
      <c r="C758" s="47"/>
      <c r="D758" s="46"/>
      <c r="E758" s="47"/>
      <c r="F758" s="47"/>
      <c r="G758" s="47"/>
      <c r="H758" s="46"/>
      <c r="I758" s="47"/>
      <c r="J758" s="47"/>
      <c r="K758" s="47"/>
      <c r="L758" s="47"/>
      <c r="M758" s="47"/>
      <c r="N758" s="47"/>
      <c r="O758" s="47"/>
      <c r="P758" s="45" t="str">
        <f aca="false">IF($A758="","",IF(COUNTIF(Accounts!$C$2:$C$201,$A758)+COUNTIF('Service Principals'!$C$2:$C$201,$A758)+COUNTIF('Managed Identities'!$C$2:$C$201,$A758)&gt;0,"Yes","NOT IN INVENTORY"))</f>
        <v/>
      </c>
    </row>
    <row r="759" customFormat="false" ht="15" hidden="false" customHeight="false" outlineLevel="0" collapsed="false">
      <c r="A759" s="46"/>
      <c r="B759" s="47"/>
      <c r="C759" s="47"/>
      <c r="D759" s="46"/>
      <c r="E759" s="47"/>
      <c r="F759" s="47"/>
      <c r="G759" s="47"/>
      <c r="H759" s="46"/>
      <c r="I759" s="47"/>
      <c r="J759" s="47"/>
      <c r="K759" s="47"/>
      <c r="L759" s="47"/>
      <c r="M759" s="47"/>
      <c r="N759" s="47"/>
      <c r="O759" s="47"/>
      <c r="P759" s="45" t="str">
        <f aca="false">IF($A759="","",IF(COUNTIF(Accounts!$C$2:$C$201,$A759)+COUNTIF('Service Principals'!$C$2:$C$201,$A759)+COUNTIF('Managed Identities'!$C$2:$C$201,$A759)&gt;0,"Yes","NOT IN INVENTORY"))</f>
        <v/>
      </c>
    </row>
    <row r="760" customFormat="false" ht="15" hidden="false" customHeight="false" outlineLevel="0" collapsed="false">
      <c r="A760" s="46"/>
      <c r="B760" s="47"/>
      <c r="C760" s="47"/>
      <c r="D760" s="46"/>
      <c r="E760" s="47"/>
      <c r="F760" s="47"/>
      <c r="G760" s="47"/>
      <c r="H760" s="46"/>
      <c r="I760" s="47"/>
      <c r="J760" s="47"/>
      <c r="K760" s="47"/>
      <c r="L760" s="47"/>
      <c r="M760" s="47"/>
      <c r="N760" s="47"/>
      <c r="O760" s="47"/>
      <c r="P760" s="45" t="str">
        <f aca="false">IF($A760="","",IF(COUNTIF(Accounts!$C$2:$C$201,$A760)+COUNTIF('Service Principals'!$C$2:$C$201,$A760)+COUNTIF('Managed Identities'!$C$2:$C$201,$A760)&gt;0,"Yes","NOT IN INVENTORY"))</f>
        <v/>
      </c>
    </row>
    <row r="761" customFormat="false" ht="15" hidden="false" customHeight="false" outlineLevel="0" collapsed="false">
      <c r="A761" s="46"/>
      <c r="B761" s="47"/>
      <c r="C761" s="47"/>
      <c r="D761" s="46"/>
      <c r="E761" s="47"/>
      <c r="F761" s="47"/>
      <c r="G761" s="47"/>
      <c r="H761" s="46"/>
      <c r="I761" s="47"/>
      <c r="J761" s="47"/>
      <c r="K761" s="47"/>
      <c r="L761" s="47"/>
      <c r="M761" s="47"/>
      <c r="N761" s="47"/>
      <c r="O761" s="47"/>
      <c r="P761" s="45" t="str">
        <f aca="false">IF($A761="","",IF(COUNTIF(Accounts!$C$2:$C$201,$A761)+COUNTIF('Service Principals'!$C$2:$C$201,$A761)+COUNTIF('Managed Identities'!$C$2:$C$201,$A761)&gt;0,"Yes","NOT IN INVENTORY"))</f>
        <v/>
      </c>
    </row>
    <row r="762" customFormat="false" ht="15" hidden="false" customHeight="false" outlineLevel="0" collapsed="false">
      <c r="A762" s="46"/>
      <c r="B762" s="47"/>
      <c r="C762" s="47"/>
      <c r="D762" s="46"/>
      <c r="E762" s="47"/>
      <c r="F762" s="47"/>
      <c r="G762" s="47"/>
      <c r="H762" s="46"/>
      <c r="I762" s="47"/>
      <c r="J762" s="47"/>
      <c r="K762" s="47"/>
      <c r="L762" s="47"/>
      <c r="M762" s="47"/>
      <c r="N762" s="47"/>
      <c r="O762" s="47"/>
      <c r="P762" s="45" t="str">
        <f aca="false">IF($A762="","",IF(COUNTIF(Accounts!$C$2:$C$201,$A762)+COUNTIF('Service Principals'!$C$2:$C$201,$A762)+COUNTIF('Managed Identities'!$C$2:$C$201,$A762)&gt;0,"Yes","NOT IN INVENTORY"))</f>
        <v/>
      </c>
    </row>
    <row r="763" customFormat="false" ht="15" hidden="false" customHeight="false" outlineLevel="0" collapsed="false">
      <c r="A763" s="46"/>
      <c r="B763" s="47"/>
      <c r="C763" s="47"/>
      <c r="D763" s="46"/>
      <c r="E763" s="47"/>
      <c r="F763" s="47"/>
      <c r="G763" s="47"/>
      <c r="H763" s="46"/>
      <c r="I763" s="47"/>
      <c r="J763" s="47"/>
      <c r="K763" s="47"/>
      <c r="L763" s="47"/>
      <c r="M763" s="47"/>
      <c r="N763" s="47"/>
      <c r="O763" s="47"/>
      <c r="P763" s="45" t="str">
        <f aca="false">IF($A763="","",IF(COUNTIF(Accounts!$C$2:$C$201,$A763)+COUNTIF('Service Principals'!$C$2:$C$201,$A763)+COUNTIF('Managed Identities'!$C$2:$C$201,$A763)&gt;0,"Yes","NOT IN INVENTORY"))</f>
        <v/>
      </c>
    </row>
    <row r="764" customFormat="false" ht="15" hidden="false" customHeight="false" outlineLevel="0" collapsed="false">
      <c r="A764" s="46"/>
      <c r="B764" s="47"/>
      <c r="C764" s="47"/>
      <c r="D764" s="46"/>
      <c r="E764" s="47"/>
      <c r="F764" s="47"/>
      <c r="G764" s="47"/>
      <c r="H764" s="46"/>
      <c r="I764" s="47"/>
      <c r="J764" s="47"/>
      <c r="K764" s="47"/>
      <c r="L764" s="47"/>
      <c r="M764" s="47"/>
      <c r="N764" s="47"/>
      <c r="O764" s="47"/>
      <c r="P764" s="45" t="str">
        <f aca="false">IF($A764="","",IF(COUNTIF(Accounts!$C$2:$C$201,$A764)+COUNTIF('Service Principals'!$C$2:$C$201,$A764)+COUNTIF('Managed Identities'!$C$2:$C$201,$A764)&gt;0,"Yes","NOT IN INVENTORY"))</f>
        <v/>
      </c>
    </row>
    <row r="765" customFormat="false" ht="15" hidden="false" customHeight="false" outlineLevel="0" collapsed="false">
      <c r="A765" s="46"/>
      <c r="B765" s="47"/>
      <c r="C765" s="47"/>
      <c r="D765" s="46"/>
      <c r="E765" s="47"/>
      <c r="F765" s="47"/>
      <c r="G765" s="47"/>
      <c r="H765" s="46"/>
      <c r="I765" s="47"/>
      <c r="J765" s="47"/>
      <c r="K765" s="47"/>
      <c r="L765" s="47"/>
      <c r="M765" s="47"/>
      <c r="N765" s="47"/>
      <c r="O765" s="47"/>
      <c r="P765" s="45" t="str">
        <f aca="false">IF($A765="","",IF(COUNTIF(Accounts!$C$2:$C$201,$A765)+COUNTIF('Service Principals'!$C$2:$C$201,$A765)+COUNTIF('Managed Identities'!$C$2:$C$201,$A765)&gt;0,"Yes","NOT IN INVENTORY"))</f>
        <v/>
      </c>
    </row>
    <row r="766" customFormat="false" ht="15" hidden="false" customHeight="false" outlineLevel="0" collapsed="false">
      <c r="A766" s="46"/>
      <c r="B766" s="47"/>
      <c r="C766" s="47"/>
      <c r="D766" s="46"/>
      <c r="E766" s="47"/>
      <c r="F766" s="47"/>
      <c r="G766" s="47"/>
      <c r="H766" s="46"/>
      <c r="I766" s="47"/>
      <c r="J766" s="47"/>
      <c r="K766" s="47"/>
      <c r="L766" s="47"/>
      <c r="M766" s="47"/>
      <c r="N766" s="47"/>
      <c r="O766" s="47"/>
      <c r="P766" s="45" t="str">
        <f aca="false">IF($A766="","",IF(COUNTIF(Accounts!$C$2:$C$201,$A766)+COUNTIF('Service Principals'!$C$2:$C$201,$A766)+COUNTIF('Managed Identities'!$C$2:$C$201,$A766)&gt;0,"Yes","NOT IN INVENTORY"))</f>
        <v/>
      </c>
    </row>
    <row r="767" customFormat="false" ht="15" hidden="false" customHeight="false" outlineLevel="0" collapsed="false">
      <c r="A767" s="46"/>
      <c r="B767" s="47"/>
      <c r="C767" s="47"/>
      <c r="D767" s="46"/>
      <c r="E767" s="47"/>
      <c r="F767" s="47"/>
      <c r="G767" s="47"/>
      <c r="H767" s="46"/>
      <c r="I767" s="47"/>
      <c r="J767" s="47"/>
      <c r="K767" s="47"/>
      <c r="L767" s="47"/>
      <c r="M767" s="47"/>
      <c r="N767" s="47"/>
      <c r="O767" s="47"/>
      <c r="P767" s="45" t="str">
        <f aca="false">IF($A767="","",IF(COUNTIF(Accounts!$C$2:$C$201,$A767)+COUNTIF('Service Principals'!$C$2:$C$201,$A767)+COUNTIF('Managed Identities'!$C$2:$C$201,$A767)&gt;0,"Yes","NOT IN INVENTORY"))</f>
        <v/>
      </c>
    </row>
    <row r="768" customFormat="false" ht="15" hidden="false" customHeight="false" outlineLevel="0" collapsed="false">
      <c r="A768" s="46"/>
      <c r="B768" s="47"/>
      <c r="C768" s="47"/>
      <c r="D768" s="46"/>
      <c r="E768" s="47"/>
      <c r="F768" s="47"/>
      <c r="G768" s="47"/>
      <c r="H768" s="46"/>
      <c r="I768" s="47"/>
      <c r="J768" s="47"/>
      <c r="K768" s="47"/>
      <c r="L768" s="47"/>
      <c r="M768" s="47"/>
      <c r="N768" s="47"/>
      <c r="O768" s="47"/>
      <c r="P768" s="45" t="str">
        <f aca="false">IF($A768="","",IF(COUNTIF(Accounts!$C$2:$C$201,$A768)+COUNTIF('Service Principals'!$C$2:$C$201,$A768)+COUNTIF('Managed Identities'!$C$2:$C$201,$A768)&gt;0,"Yes","NOT IN INVENTORY"))</f>
        <v/>
      </c>
    </row>
    <row r="769" customFormat="false" ht="15" hidden="false" customHeight="false" outlineLevel="0" collapsed="false">
      <c r="A769" s="46"/>
      <c r="B769" s="47"/>
      <c r="C769" s="47"/>
      <c r="D769" s="46"/>
      <c r="E769" s="47"/>
      <c r="F769" s="47"/>
      <c r="G769" s="47"/>
      <c r="H769" s="46"/>
      <c r="I769" s="47"/>
      <c r="J769" s="47"/>
      <c r="K769" s="47"/>
      <c r="L769" s="47"/>
      <c r="M769" s="47"/>
      <c r="N769" s="47"/>
      <c r="O769" s="47"/>
      <c r="P769" s="45" t="str">
        <f aca="false">IF($A769="","",IF(COUNTIF(Accounts!$C$2:$C$201,$A769)+COUNTIF('Service Principals'!$C$2:$C$201,$A769)+COUNTIF('Managed Identities'!$C$2:$C$201,$A769)&gt;0,"Yes","NOT IN INVENTORY"))</f>
        <v/>
      </c>
    </row>
    <row r="770" customFormat="false" ht="15" hidden="false" customHeight="false" outlineLevel="0" collapsed="false">
      <c r="A770" s="46"/>
      <c r="B770" s="47"/>
      <c r="C770" s="47"/>
      <c r="D770" s="46"/>
      <c r="E770" s="47"/>
      <c r="F770" s="47"/>
      <c r="G770" s="47"/>
      <c r="H770" s="46"/>
      <c r="I770" s="47"/>
      <c r="J770" s="47"/>
      <c r="K770" s="47"/>
      <c r="L770" s="47"/>
      <c r="M770" s="47"/>
      <c r="N770" s="47"/>
      <c r="O770" s="47"/>
      <c r="P770" s="45" t="str">
        <f aca="false">IF($A770="","",IF(COUNTIF(Accounts!$C$2:$C$201,$A770)+COUNTIF('Service Principals'!$C$2:$C$201,$A770)+COUNTIF('Managed Identities'!$C$2:$C$201,$A770)&gt;0,"Yes","NOT IN INVENTORY"))</f>
        <v/>
      </c>
    </row>
    <row r="771" customFormat="false" ht="15" hidden="false" customHeight="false" outlineLevel="0" collapsed="false">
      <c r="A771" s="46"/>
      <c r="B771" s="47"/>
      <c r="C771" s="47"/>
      <c r="D771" s="46"/>
      <c r="E771" s="47"/>
      <c r="F771" s="47"/>
      <c r="G771" s="47"/>
      <c r="H771" s="46"/>
      <c r="I771" s="47"/>
      <c r="J771" s="47"/>
      <c r="K771" s="47"/>
      <c r="L771" s="47"/>
      <c r="M771" s="47"/>
      <c r="N771" s="47"/>
      <c r="O771" s="47"/>
      <c r="P771" s="45" t="str">
        <f aca="false">IF($A771="","",IF(COUNTIF(Accounts!$C$2:$C$201,$A771)+COUNTIF('Service Principals'!$C$2:$C$201,$A771)+COUNTIF('Managed Identities'!$C$2:$C$201,$A771)&gt;0,"Yes","NOT IN INVENTORY"))</f>
        <v/>
      </c>
    </row>
    <row r="772" customFormat="false" ht="15" hidden="false" customHeight="false" outlineLevel="0" collapsed="false">
      <c r="A772" s="46"/>
      <c r="B772" s="47"/>
      <c r="C772" s="47"/>
      <c r="D772" s="46"/>
      <c r="E772" s="47"/>
      <c r="F772" s="47"/>
      <c r="G772" s="47"/>
      <c r="H772" s="46"/>
      <c r="I772" s="47"/>
      <c r="J772" s="47"/>
      <c r="K772" s="47"/>
      <c r="L772" s="47"/>
      <c r="M772" s="47"/>
      <c r="N772" s="47"/>
      <c r="O772" s="47"/>
      <c r="P772" s="45" t="str">
        <f aca="false">IF($A772="","",IF(COUNTIF(Accounts!$C$2:$C$201,$A772)+COUNTIF('Service Principals'!$C$2:$C$201,$A772)+COUNTIF('Managed Identities'!$C$2:$C$201,$A772)&gt;0,"Yes","NOT IN INVENTORY"))</f>
        <v/>
      </c>
    </row>
    <row r="773" customFormat="false" ht="15" hidden="false" customHeight="false" outlineLevel="0" collapsed="false">
      <c r="A773" s="46"/>
      <c r="B773" s="47"/>
      <c r="C773" s="47"/>
      <c r="D773" s="46"/>
      <c r="E773" s="47"/>
      <c r="F773" s="47"/>
      <c r="G773" s="47"/>
      <c r="H773" s="46"/>
      <c r="I773" s="47"/>
      <c r="J773" s="47"/>
      <c r="K773" s="47"/>
      <c r="L773" s="47"/>
      <c r="M773" s="47"/>
      <c r="N773" s="47"/>
      <c r="O773" s="47"/>
      <c r="P773" s="45" t="str">
        <f aca="false">IF($A773="","",IF(COUNTIF(Accounts!$C$2:$C$201,$A773)+COUNTIF('Service Principals'!$C$2:$C$201,$A773)+COUNTIF('Managed Identities'!$C$2:$C$201,$A773)&gt;0,"Yes","NOT IN INVENTORY"))</f>
        <v/>
      </c>
    </row>
    <row r="774" customFormat="false" ht="15" hidden="false" customHeight="false" outlineLevel="0" collapsed="false">
      <c r="A774" s="46"/>
      <c r="B774" s="47"/>
      <c r="C774" s="47"/>
      <c r="D774" s="46"/>
      <c r="E774" s="47"/>
      <c r="F774" s="47"/>
      <c r="G774" s="47"/>
      <c r="H774" s="46"/>
      <c r="I774" s="47"/>
      <c r="J774" s="47"/>
      <c r="K774" s="47"/>
      <c r="L774" s="47"/>
      <c r="M774" s="47"/>
      <c r="N774" s="47"/>
      <c r="O774" s="47"/>
      <c r="P774" s="45" t="str">
        <f aca="false">IF($A774="","",IF(COUNTIF(Accounts!$C$2:$C$201,$A774)+COUNTIF('Service Principals'!$C$2:$C$201,$A774)+COUNTIF('Managed Identities'!$C$2:$C$201,$A774)&gt;0,"Yes","NOT IN INVENTORY"))</f>
        <v/>
      </c>
    </row>
    <row r="775" customFormat="false" ht="15" hidden="false" customHeight="false" outlineLevel="0" collapsed="false">
      <c r="A775" s="46"/>
      <c r="B775" s="47"/>
      <c r="C775" s="47"/>
      <c r="D775" s="46"/>
      <c r="E775" s="47"/>
      <c r="F775" s="47"/>
      <c r="G775" s="47"/>
      <c r="H775" s="46"/>
      <c r="I775" s="47"/>
      <c r="J775" s="47"/>
      <c r="K775" s="47"/>
      <c r="L775" s="47"/>
      <c r="M775" s="47"/>
      <c r="N775" s="47"/>
      <c r="O775" s="47"/>
      <c r="P775" s="45" t="str">
        <f aca="false">IF($A775="","",IF(COUNTIF(Accounts!$C$2:$C$201,$A775)+COUNTIF('Service Principals'!$C$2:$C$201,$A775)+COUNTIF('Managed Identities'!$C$2:$C$201,$A775)&gt;0,"Yes","NOT IN INVENTORY"))</f>
        <v/>
      </c>
    </row>
    <row r="776" customFormat="false" ht="15" hidden="false" customHeight="false" outlineLevel="0" collapsed="false">
      <c r="A776" s="46"/>
      <c r="B776" s="47"/>
      <c r="C776" s="47"/>
      <c r="D776" s="46"/>
      <c r="E776" s="47"/>
      <c r="F776" s="47"/>
      <c r="G776" s="47"/>
      <c r="H776" s="46"/>
      <c r="I776" s="47"/>
      <c r="J776" s="47"/>
      <c r="K776" s="47"/>
      <c r="L776" s="47"/>
      <c r="M776" s="47"/>
      <c r="N776" s="47"/>
      <c r="O776" s="47"/>
      <c r="P776" s="45" t="str">
        <f aca="false">IF($A776="","",IF(COUNTIF(Accounts!$C$2:$C$201,$A776)+COUNTIF('Service Principals'!$C$2:$C$201,$A776)+COUNTIF('Managed Identities'!$C$2:$C$201,$A776)&gt;0,"Yes","NOT IN INVENTORY"))</f>
        <v/>
      </c>
    </row>
    <row r="777" customFormat="false" ht="15" hidden="false" customHeight="false" outlineLevel="0" collapsed="false">
      <c r="A777" s="46"/>
      <c r="B777" s="47"/>
      <c r="C777" s="47"/>
      <c r="D777" s="46"/>
      <c r="E777" s="47"/>
      <c r="F777" s="47"/>
      <c r="G777" s="47"/>
      <c r="H777" s="46"/>
      <c r="I777" s="47"/>
      <c r="J777" s="47"/>
      <c r="K777" s="47"/>
      <c r="L777" s="47"/>
      <c r="M777" s="47"/>
      <c r="N777" s="47"/>
      <c r="O777" s="47"/>
      <c r="P777" s="45" t="str">
        <f aca="false">IF($A777="","",IF(COUNTIF(Accounts!$C$2:$C$201,$A777)+COUNTIF('Service Principals'!$C$2:$C$201,$A777)+COUNTIF('Managed Identities'!$C$2:$C$201,$A777)&gt;0,"Yes","NOT IN INVENTORY"))</f>
        <v/>
      </c>
    </row>
    <row r="778" customFormat="false" ht="15" hidden="false" customHeight="false" outlineLevel="0" collapsed="false">
      <c r="A778" s="46"/>
      <c r="B778" s="47"/>
      <c r="C778" s="47"/>
      <c r="D778" s="46"/>
      <c r="E778" s="47"/>
      <c r="F778" s="47"/>
      <c r="G778" s="47"/>
      <c r="H778" s="46"/>
      <c r="I778" s="47"/>
      <c r="J778" s="47"/>
      <c r="K778" s="47"/>
      <c r="L778" s="47"/>
      <c r="M778" s="47"/>
      <c r="N778" s="47"/>
      <c r="O778" s="47"/>
      <c r="P778" s="45" t="str">
        <f aca="false">IF($A778="","",IF(COUNTIF(Accounts!$C$2:$C$201,$A778)+COUNTIF('Service Principals'!$C$2:$C$201,$A778)+COUNTIF('Managed Identities'!$C$2:$C$201,$A778)&gt;0,"Yes","NOT IN INVENTORY"))</f>
        <v/>
      </c>
    </row>
    <row r="779" customFormat="false" ht="15" hidden="false" customHeight="false" outlineLevel="0" collapsed="false">
      <c r="A779" s="46"/>
      <c r="B779" s="47"/>
      <c r="C779" s="47"/>
      <c r="D779" s="46"/>
      <c r="E779" s="47"/>
      <c r="F779" s="47"/>
      <c r="G779" s="47"/>
      <c r="H779" s="46"/>
      <c r="I779" s="47"/>
      <c r="J779" s="47"/>
      <c r="K779" s="47"/>
      <c r="L779" s="47"/>
      <c r="M779" s="47"/>
      <c r="N779" s="47"/>
      <c r="O779" s="47"/>
      <c r="P779" s="45" t="str">
        <f aca="false">IF($A779="","",IF(COUNTIF(Accounts!$C$2:$C$201,$A779)+COUNTIF('Service Principals'!$C$2:$C$201,$A779)+COUNTIF('Managed Identities'!$C$2:$C$201,$A779)&gt;0,"Yes","NOT IN INVENTORY"))</f>
        <v/>
      </c>
    </row>
    <row r="780" customFormat="false" ht="15" hidden="false" customHeight="false" outlineLevel="0" collapsed="false">
      <c r="A780" s="46"/>
      <c r="B780" s="47"/>
      <c r="C780" s="47"/>
      <c r="D780" s="46"/>
      <c r="E780" s="47"/>
      <c r="F780" s="47"/>
      <c r="G780" s="47"/>
      <c r="H780" s="46"/>
      <c r="I780" s="47"/>
      <c r="J780" s="47"/>
      <c r="K780" s="47"/>
      <c r="L780" s="47"/>
      <c r="M780" s="47"/>
      <c r="N780" s="47"/>
      <c r="O780" s="47"/>
      <c r="P780" s="45" t="str">
        <f aca="false">IF($A780="","",IF(COUNTIF(Accounts!$C$2:$C$201,$A780)+COUNTIF('Service Principals'!$C$2:$C$201,$A780)+COUNTIF('Managed Identities'!$C$2:$C$201,$A780)&gt;0,"Yes","NOT IN INVENTORY"))</f>
        <v/>
      </c>
    </row>
    <row r="781" customFormat="false" ht="15" hidden="false" customHeight="false" outlineLevel="0" collapsed="false">
      <c r="A781" s="46"/>
      <c r="B781" s="47"/>
      <c r="C781" s="47"/>
      <c r="D781" s="46"/>
      <c r="E781" s="47"/>
      <c r="F781" s="47"/>
      <c r="G781" s="47"/>
      <c r="H781" s="46"/>
      <c r="I781" s="47"/>
      <c r="J781" s="47"/>
      <c r="K781" s="47"/>
      <c r="L781" s="47"/>
      <c r="M781" s="47"/>
      <c r="N781" s="47"/>
      <c r="O781" s="47"/>
      <c r="P781" s="45" t="str">
        <f aca="false">IF($A781="","",IF(COUNTIF(Accounts!$C$2:$C$201,$A781)+COUNTIF('Service Principals'!$C$2:$C$201,$A781)+COUNTIF('Managed Identities'!$C$2:$C$201,$A781)&gt;0,"Yes","NOT IN INVENTORY"))</f>
        <v/>
      </c>
    </row>
    <row r="782" customFormat="false" ht="15" hidden="false" customHeight="false" outlineLevel="0" collapsed="false">
      <c r="A782" s="46"/>
      <c r="B782" s="47"/>
      <c r="C782" s="47"/>
      <c r="D782" s="46"/>
      <c r="E782" s="47"/>
      <c r="F782" s="47"/>
      <c r="G782" s="47"/>
      <c r="H782" s="46"/>
      <c r="I782" s="47"/>
      <c r="J782" s="47"/>
      <c r="K782" s="47"/>
      <c r="L782" s="47"/>
      <c r="M782" s="47"/>
      <c r="N782" s="47"/>
      <c r="O782" s="47"/>
      <c r="P782" s="45" t="str">
        <f aca="false">IF($A782="","",IF(COUNTIF(Accounts!$C$2:$C$201,$A782)+COUNTIF('Service Principals'!$C$2:$C$201,$A782)+COUNTIF('Managed Identities'!$C$2:$C$201,$A782)&gt;0,"Yes","NOT IN INVENTORY"))</f>
        <v/>
      </c>
    </row>
    <row r="783" customFormat="false" ht="15" hidden="false" customHeight="false" outlineLevel="0" collapsed="false">
      <c r="A783" s="46"/>
      <c r="B783" s="47"/>
      <c r="C783" s="47"/>
      <c r="D783" s="46"/>
      <c r="E783" s="47"/>
      <c r="F783" s="47"/>
      <c r="G783" s="47"/>
      <c r="H783" s="46"/>
      <c r="I783" s="47"/>
      <c r="J783" s="47"/>
      <c r="K783" s="47"/>
      <c r="L783" s="47"/>
      <c r="M783" s="47"/>
      <c r="N783" s="47"/>
      <c r="O783" s="47"/>
      <c r="P783" s="45" t="str">
        <f aca="false">IF($A783="","",IF(COUNTIF(Accounts!$C$2:$C$201,$A783)+COUNTIF('Service Principals'!$C$2:$C$201,$A783)+COUNTIF('Managed Identities'!$C$2:$C$201,$A783)&gt;0,"Yes","NOT IN INVENTORY"))</f>
        <v/>
      </c>
    </row>
    <row r="784" customFormat="false" ht="15" hidden="false" customHeight="false" outlineLevel="0" collapsed="false">
      <c r="A784" s="46"/>
      <c r="B784" s="47"/>
      <c r="C784" s="47"/>
      <c r="D784" s="46"/>
      <c r="E784" s="47"/>
      <c r="F784" s="47"/>
      <c r="G784" s="47"/>
      <c r="H784" s="46"/>
      <c r="I784" s="47"/>
      <c r="J784" s="47"/>
      <c r="K784" s="47"/>
      <c r="L784" s="47"/>
      <c r="M784" s="47"/>
      <c r="N784" s="47"/>
      <c r="O784" s="47"/>
      <c r="P784" s="45" t="str">
        <f aca="false">IF($A784="","",IF(COUNTIF(Accounts!$C$2:$C$201,$A784)+COUNTIF('Service Principals'!$C$2:$C$201,$A784)+COUNTIF('Managed Identities'!$C$2:$C$201,$A784)&gt;0,"Yes","NOT IN INVENTORY"))</f>
        <v/>
      </c>
    </row>
    <row r="785" customFormat="false" ht="15" hidden="false" customHeight="false" outlineLevel="0" collapsed="false">
      <c r="A785" s="46"/>
      <c r="B785" s="47"/>
      <c r="C785" s="47"/>
      <c r="D785" s="46"/>
      <c r="E785" s="47"/>
      <c r="F785" s="47"/>
      <c r="G785" s="47"/>
      <c r="H785" s="46"/>
      <c r="I785" s="47"/>
      <c r="J785" s="47"/>
      <c r="K785" s="47"/>
      <c r="L785" s="47"/>
      <c r="M785" s="47"/>
      <c r="N785" s="47"/>
      <c r="O785" s="47"/>
      <c r="P785" s="45" t="str">
        <f aca="false">IF($A785="","",IF(COUNTIF(Accounts!$C$2:$C$201,$A785)+COUNTIF('Service Principals'!$C$2:$C$201,$A785)+COUNTIF('Managed Identities'!$C$2:$C$201,$A785)&gt;0,"Yes","NOT IN INVENTORY"))</f>
        <v/>
      </c>
    </row>
    <row r="786" customFormat="false" ht="15" hidden="false" customHeight="false" outlineLevel="0" collapsed="false">
      <c r="A786" s="46"/>
      <c r="B786" s="47"/>
      <c r="C786" s="47"/>
      <c r="D786" s="46"/>
      <c r="E786" s="47"/>
      <c r="F786" s="47"/>
      <c r="G786" s="47"/>
      <c r="H786" s="46"/>
      <c r="I786" s="47"/>
      <c r="J786" s="47"/>
      <c r="K786" s="47"/>
      <c r="L786" s="47"/>
      <c r="M786" s="47"/>
      <c r="N786" s="47"/>
      <c r="O786" s="47"/>
      <c r="P786" s="45" t="str">
        <f aca="false">IF($A786="","",IF(COUNTIF(Accounts!$C$2:$C$201,$A786)+COUNTIF('Service Principals'!$C$2:$C$201,$A786)+COUNTIF('Managed Identities'!$C$2:$C$201,$A786)&gt;0,"Yes","NOT IN INVENTORY"))</f>
        <v/>
      </c>
    </row>
    <row r="787" customFormat="false" ht="15" hidden="false" customHeight="false" outlineLevel="0" collapsed="false">
      <c r="A787" s="46"/>
      <c r="B787" s="47"/>
      <c r="C787" s="47"/>
      <c r="D787" s="46"/>
      <c r="E787" s="47"/>
      <c r="F787" s="47"/>
      <c r="G787" s="47"/>
      <c r="H787" s="46"/>
      <c r="I787" s="47"/>
      <c r="J787" s="47"/>
      <c r="K787" s="47"/>
      <c r="L787" s="47"/>
      <c r="M787" s="47"/>
      <c r="N787" s="47"/>
      <c r="O787" s="47"/>
      <c r="P787" s="45" t="str">
        <f aca="false">IF($A787="","",IF(COUNTIF(Accounts!$C$2:$C$201,$A787)+COUNTIF('Service Principals'!$C$2:$C$201,$A787)+COUNTIF('Managed Identities'!$C$2:$C$201,$A787)&gt;0,"Yes","NOT IN INVENTORY"))</f>
        <v/>
      </c>
    </row>
    <row r="788" customFormat="false" ht="15" hidden="false" customHeight="false" outlineLevel="0" collapsed="false">
      <c r="A788" s="46"/>
      <c r="B788" s="47"/>
      <c r="C788" s="47"/>
      <c r="D788" s="46"/>
      <c r="E788" s="47"/>
      <c r="F788" s="47"/>
      <c r="G788" s="47"/>
      <c r="H788" s="46"/>
      <c r="I788" s="47"/>
      <c r="J788" s="47"/>
      <c r="K788" s="47"/>
      <c r="L788" s="47"/>
      <c r="M788" s="47"/>
      <c r="N788" s="47"/>
      <c r="O788" s="47"/>
      <c r="P788" s="45" t="str">
        <f aca="false">IF($A788="","",IF(COUNTIF(Accounts!$C$2:$C$201,$A788)+COUNTIF('Service Principals'!$C$2:$C$201,$A788)+COUNTIF('Managed Identities'!$C$2:$C$201,$A788)&gt;0,"Yes","NOT IN INVENTORY"))</f>
        <v/>
      </c>
    </row>
    <row r="789" customFormat="false" ht="15" hidden="false" customHeight="false" outlineLevel="0" collapsed="false">
      <c r="A789" s="46"/>
      <c r="B789" s="47"/>
      <c r="C789" s="47"/>
      <c r="D789" s="46"/>
      <c r="E789" s="47"/>
      <c r="F789" s="47"/>
      <c r="G789" s="47"/>
      <c r="H789" s="46"/>
      <c r="I789" s="47"/>
      <c r="J789" s="47"/>
      <c r="K789" s="47"/>
      <c r="L789" s="47"/>
      <c r="M789" s="47"/>
      <c r="N789" s="47"/>
      <c r="O789" s="47"/>
      <c r="P789" s="45" t="str">
        <f aca="false">IF($A789="","",IF(COUNTIF(Accounts!$C$2:$C$201,$A789)+COUNTIF('Service Principals'!$C$2:$C$201,$A789)+COUNTIF('Managed Identities'!$C$2:$C$201,$A789)&gt;0,"Yes","NOT IN INVENTORY"))</f>
        <v/>
      </c>
    </row>
    <row r="790" customFormat="false" ht="15" hidden="false" customHeight="false" outlineLevel="0" collapsed="false">
      <c r="A790" s="46"/>
      <c r="B790" s="47"/>
      <c r="C790" s="47"/>
      <c r="D790" s="46"/>
      <c r="E790" s="47"/>
      <c r="F790" s="47"/>
      <c r="G790" s="47"/>
      <c r="H790" s="46"/>
      <c r="I790" s="47"/>
      <c r="J790" s="47"/>
      <c r="K790" s="47"/>
      <c r="L790" s="47"/>
      <c r="M790" s="47"/>
      <c r="N790" s="47"/>
      <c r="O790" s="47"/>
      <c r="P790" s="45" t="str">
        <f aca="false">IF($A790="","",IF(COUNTIF(Accounts!$C$2:$C$201,$A790)+COUNTIF('Service Principals'!$C$2:$C$201,$A790)+COUNTIF('Managed Identities'!$C$2:$C$201,$A790)&gt;0,"Yes","NOT IN INVENTORY"))</f>
        <v/>
      </c>
    </row>
    <row r="791" customFormat="false" ht="15" hidden="false" customHeight="false" outlineLevel="0" collapsed="false">
      <c r="A791" s="46"/>
      <c r="B791" s="47"/>
      <c r="C791" s="47"/>
      <c r="D791" s="46"/>
      <c r="E791" s="47"/>
      <c r="F791" s="47"/>
      <c r="G791" s="47"/>
      <c r="H791" s="46"/>
      <c r="I791" s="47"/>
      <c r="J791" s="47"/>
      <c r="K791" s="47"/>
      <c r="L791" s="47"/>
      <c r="M791" s="47"/>
      <c r="N791" s="47"/>
      <c r="O791" s="47"/>
      <c r="P791" s="45" t="str">
        <f aca="false">IF($A791="","",IF(COUNTIF(Accounts!$C$2:$C$201,$A791)+COUNTIF('Service Principals'!$C$2:$C$201,$A791)+COUNTIF('Managed Identities'!$C$2:$C$201,$A791)&gt;0,"Yes","NOT IN INVENTORY"))</f>
        <v/>
      </c>
    </row>
    <row r="792" customFormat="false" ht="15" hidden="false" customHeight="false" outlineLevel="0" collapsed="false">
      <c r="A792" s="46"/>
      <c r="B792" s="47"/>
      <c r="C792" s="47"/>
      <c r="D792" s="46"/>
      <c r="E792" s="47"/>
      <c r="F792" s="47"/>
      <c r="G792" s="47"/>
      <c r="H792" s="46"/>
      <c r="I792" s="47"/>
      <c r="J792" s="47"/>
      <c r="K792" s="47"/>
      <c r="L792" s="47"/>
      <c r="M792" s="47"/>
      <c r="N792" s="47"/>
      <c r="O792" s="47"/>
      <c r="P792" s="45" t="str">
        <f aca="false">IF($A792="","",IF(COUNTIF(Accounts!$C$2:$C$201,$A792)+COUNTIF('Service Principals'!$C$2:$C$201,$A792)+COUNTIF('Managed Identities'!$C$2:$C$201,$A792)&gt;0,"Yes","NOT IN INVENTORY"))</f>
        <v/>
      </c>
    </row>
    <row r="793" customFormat="false" ht="15" hidden="false" customHeight="false" outlineLevel="0" collapsed="false">
      <c r="A793" s="46"/>
      <c r="B793" s="47"/>
      <c r="C793" s="47"/>
      <c r="D793" s="46"/>
      <c r="E793" s="47"/>
      <c r="F793" s="47"/>
      <c r="G793" s="47"/>
      <c r="H793" s="46"/>
      <c r="I793" s="47"/>
      <c r="J793" s="47"/>
      <c r="K793" s="47"/>
      <c r="L793" s="47"/>
      <c r="M793" s="47"/>
      <c r="N793" s="47"/>
      <c r="O793" s="47"/>
      <c r="P793" s="45" t="str">
        <f aca="false">IF($A793="","",IF(COUNTIF(Accounts!$C$2:$C$201,$A793)+COUNTIF('Service Principals'!$C$2:$C$201,$A793)+COUNTIF('Managed Identities'!$C$2:$C$201,$A793)&gt;0,"Yes","NOT IN INVENTORY"))</f>
        <v/>
      </c>
    </row>
    <row r="794" customFormat="false" ht="15" hidden="false" customHeight="false" outlineLevel="0" collapsed="false">
      <c r="A794" s="46"/>
      <c r="B794" s="47"/>
      <c r="C794" s="47"/>
      <c r="D794" s="46"/>
      <c r="E794" s="47"/>
      <c r="F794" s="47"/>
      <c r="G794" s="47"/>
      <c r="H794" s="46"/>
      <c r="I794" s="47"/>
      <c r="J794" s="47"/>
      <c r="K794" s="47"/>
      <c r="L794" s="47"/>
      <c r="M794" s="47"/>
      <c r="N794" s="47"/>
      <c r="O794" s="47"/>
      <c r="P794" s="45" t="str">
        <f aca="false">IF($A794="","",IF(COUNTIF(Accounts!$C$2:$C$201,$A794)+COUNTIF('Service Principals'!$C$2:$C$201,$A794)+COUNTIF('Managed Identities'!$C$2:$C$201,$A794)&gt;0,"Yes","NOT IN INVENTORY"))</f>
        <v/>
      </c>
    </row>
    <row r="795" customFormat="false" ht="15" hidden="false" customHeight="false" outlineLevel="0" collapsed="false">
      <c r="A795" s="46"/>
      <c r="B795" s="47"/>
      <c r="C795" s="47"/>
      <c r="D795" s="46"/>
      <c r="E795" s="47"/>
      <c r="F795" s="47"/>
      <c r="G795" s="47"/>
      <c r="H795" s="46"/>
      <c r="I795" s="47"/>
      <c r="J795" s="47"/>
      <c r="K795" s="47"/>
      <c r="L795" s="47"/>
      <c r="M795" s="47"/>
      <c r="N795" s="47"/>
      <c r="O795" s="47"/>
      <c r="P795" s="45" t="str">
        <f aca="false">IF($A795="","",IF(COUNTIF(Accounts!$C$2:$C$201,$A795)+COUNTIF('Service Principals'!$C$2:$C$201,$A795)+COUNTIF('Managed Identities'!$C$2:$C$201,$A795)&gt;0,"Yes","NOT IN INVENTORY"))</f>
        <v/>
      </c>
    </row>
    <row r="796" customFormat="false" ht="15" hidden="false" customHeight="false" outlineLevel="0" collapsed="false">
      <c r="A796" s="46"/>
      <c r="B796" s="47"/>
      <c r="C796" s="47"/>
      <c r="D796" s="46"/>
      <c r="E796" s="47"/>
      <c r="F796" s="47"/>
      <c r="G796" s="47"/>
      <c r="H796" s="46"/>
      <c r="I796" s="47"/>
      <c r="J796" s="47"/>
      <c r="K796" s="47"/>
      <c r="L796" s="47"/>
      <c r="M796" s="47"/>
      <c r="N796" s="47"/>
      <c r="O796" s="47"/>
      <c r="P796" s="45" t="str">
        <f aca="false">IF($A796="","",IF(COUNTIF(Accounts!$C$2:$C$201,$A796)+COUNTIF('Service Principals'!$C$2:$C$201,$A796)+COUNTIF('Managed Identities'!$C$2:$C$201,$A796)&gt;0,"Yes","NOT IN INVENTORY"))</f>
        <v/>
      </c>
    </row>
    <row r="797" customFormat="false" ht="15" hidden="false" customHeight="false" outlineLevel="0" collapsed="false">
      <c r="A797" s="46"/>
      <c r="B797" s="47"/>
      <c r="C797" s="47"/>
      <c r="D797" s="46"/>
      <c r="E797" s="47"/>
      <c r="F797" s="47"/>
      <c r="G797" s="47"/>
      <c r="H797" s="46"/>
      <c r="I797" s="47"/>
      <c r="J797" s="47"/>
      <c r="K797" s="47"/>
      <c r="L797" s="47"/>
      <c r="M797" s="47"/>
      <c r="N797" s="47"/>
      <c r="O797" s="47"/>
      <c r="P797" s="45" t="str">
        <f aca="false">IF($A797="","",IF(COUNTIF(Accounts!$C$2:$C$201,$A797)+COUNTIF('Service Principals'!$C$2:$C$201,$A797)+COUNTIF('Managed Identities'!$C$2:$C$201,$A797)&gt;0,"Yes","NOT IN INVENTORY"))</f>
        <v/>
      </c>
    </row>
    <row r="798" customFormat="false" ht="15" hidden="false" customHeight="false" outlineLevel="0" collapsed="false">
      <c r="A798" s="46"/>
      <c r="B798" s="47"/>
      <c r="C798" s="47"/>
      <c r="D798" s="46"/>
      <c r="E798" s="47"/>
      <c r="F798" s="47"/>
      <c r="G798" s="47"/>
      <c r="H798" s="46"/>
      <c r="I798" s="47"/>
      <c r="J798" s="47"/>
      <c r="K798" s="47"/>
      <c r="L798" s="47"/>
      <c r="M798" s="47"/>
      <c r="N798" s="47"/>
      <c r="O798" s="47"/>
      <c r="P798" s="45" t="str">
        <f aca="false">IF($A798="","",IF(COUNTIF(Accounts!$C$2:$C$201,$A798)+COUNTIF('Service Principals'!$C$2:$C$201,$A798)+COUNTIF('Managed Identities'!$C$2:$C$201,$A798)&gt;0,"Yes","NOT IN INVENTORY"))</f>
        <v/>
      </c>
    </row>
    <row r="799" customFormat="false" ht="15" hidden="false" customHeight="false" outlineLevel="0" collapsed="false">
      <c r="A799" s="46"/>
      <c r="B799" s="47"/>
      <c r="C799" s="47"/>
      <c r="D799" s="46"/>
      <c r="E799" s="47"/>
      <c r="F799" s="47"/>
      <c r="G799" s="47"/>
      <c r="H799" s="46"/>
      <c r="I799" s="47"/>
      <c r="J799" s="47"/>
      <c r="K799" s="47"/>
      <c r="L799" s="47"/>
      <c r="M799" s="47"/>
      <c r="N799" s="47"/>
      <c r="O799" s="47"/>
      <c r="P799" s="45" t="str">
        <f aca="false">IF($A799="","",IF(COUNTIF(Accounts!$C$2:$C$201,$A799)+COUNTIF('Service Principals'!$C$2:$C$201,$A799)+COUNTIF('Managed Identities'!$C$2:$C$201,$A799)&gt;0,"Yes","NOT IN INVENTORY"))</f>
        <v/>
      </c>
    </row>
    <row r="800" customFormat="false" ht="15" hidden="false" customHeight="false" outlineLevel="0" collapsed="false">
      <c r="A800" s="46"/>
      <c r="B800" s="47"/>
      <c r="C800" s="47"/>
      <c r="D800" s="46"/>
      <c r="E800" s="47"/>
      <c r="F800" s="47"/>
      <c r="G800" s="47"/>
      <c r="H800" s="46"/>
      <c r="I800" s="47"/>
      <c r="J800" s="47"/>
      <c r="K800" s="47"/>
      <c r="L800" s="47"/>
      <c r="M800" s="47"/>
      <c r="N800" s="47"/>
      <c r="O800" s="47"/>
      <c r="P800" s="45" t="str">
        <f aca="false">IF($A800="","",IF(COUNTIF(Accounts!$C$2:$C$201,$A800)+COUNTIF('Service Principals'!$C$2:$C$201,$A800)+COUNTIF('Managed Identities'!$C$2:$C$201,$A800)&gt;0,"Yes","NOT IN INVENTORY"))</f>
        <v/>
      </c>
    </row>
    <row r="801" customFormat="false" ht="15" hidden="false" customHeight="false" outlineLevel="0" collapsed="false">
      <c r="A801" s="46"/>
      <c r="B801" s="47"/>
      <c r="C801" s="47"/>
      <c r="D801" s="46"/>
      <c r="E801" s="47"/>
      <c r="F801" s="47"/>
      <c r="G801" s="47"/>
      <c r="H801" s="46"/>
      <c r="I801" s="47"/>
      <c r="J801" s="47"/>
      <c r="K801" s="47"/>
      <c r="L801" s="47"/>
      <c r="M801" s="47"/>
      <c r="N801" s="47"/>
      <c r="O801" s="47"/>
      <c r="P801" s="45" t="str">
        <f aca="false">IF($A801="","",IF(COUNTIF(Accounts!$C$2:$C$201,$A801)+COUNTIF('Service Principals'!$C$2:$C$201,$A801)+COUNTIF('Managed Identities'!$C$2:$C$201,$A801)&gt;0,"Yes","NOT IN INVENTORY"))</f>
        <v/>
      </c>
    </row>
    <row r="802" customFormat="false" ht="15" hidden="false" customHeight="false" outlineLevel="0" collapsed="false">
      <c r="A802" s="46"/>
      <c r="B802" s="47"/>
      <c r="C802" s="47"/>
      <c r="D802" s="46"/>
      <c r="E802" s="47"/>
      <c r="F802" s="47"/>
      <c r="G802" s="47"/>
      <c r="H802" s="46"/>
      <c r="I802" s="47"/>
      <c r="J802" s="47"/>
      <c r="K802" s="47"/>
      <c r="L802" s="47"/>
      <c r="M802" s="47"/>
      <c r="N802" s="47"/>
      <c r="O802" s="47"/>
      <c r="P802" s="45" t="str">
        <f aca="false">IF($A802="","",IF(COUNTIF(Accounts!$C$2:$C$201,$A802)+COUNTIF('Service Principals'!$C$2:$C$201,$A802)+COUNTIF('Managed Identities'!$C$2:$C$201,$A802)&gt;0,"Yes","NOT IN INVENTORY"))</f>
        <v/>
      </c>
    </row>
    <row r="803" customFormat="false" ht="15" hidden="false" customHeight="false" outlineLevel="0" collapsed="false">
      <c r="A803" s="46"/>
      <c r="B803" s="47"/>
      <c r="C803" s="47"/>
      <c r="D803" s="46"/>
      <c r="E803" s="47"/>
      <c r="F803" s="47"/>
      <c r="G803" s="47"/>
      <c r="H803" s="46"/>
      <c r="I803" s="47"/>
      <c r="J803" s="47"/>
      <c r="K803" s="47"/>
      <c r="L803" s="47"/>
      <c r="M803" s="47"/>
      <c r="N803" s="47"/>
      <c r="O803" s="47"/>
      <c r="P803" s="45" t="str">
        <f aca="false">IF($A803="","",IF(COUNTIF(Accounts!$C$2:$C$201,$A803)+COUNTIF('Service Principals'!$C$2:$C$201,$A803)+COUNTIF('Managed Identities'!$C$2:$C$201,$A803)&gt;0,"Yes","NOT IN INVENTORY"))</f>
        <v/>
      </c>
    </row>
    <row r="804" customFormat="false" ht="15" hidden="false" customHeight="false" outlineLevel="0" collapsed="false">
      <c r="A804" s="46"/>
      <c r="B804" s="47"/>
      <c r="C804" s="47"/>
      <c r="D804" s="46"/>
      <c r="E804" s="47"/>
      <c r="F804" s="47"/>
      <c r="G804" s="47"/>
      <c r="H804" s="46"/>
      <c r="I804" s="47"/>
      <c r="J804" s="47"/>
      <c r="K804" s="47"/>
      <c r="L804" s="47"/>
      <c r="M804" s="47"/>
      <c r="N804" s="47"/>
      <c r="O804" s="47"/>
      <c r="P804" s="45" t="str">
        <f aca="false">IF($A804="","",IF(COUNTIF(Accounts!$C$2:$C$201,$A804)+COUNTIF('Service Principals'!$C$2:$C$201,$A804)+COUNTIF('Managed Identities'!$C$2:$C$201,$A804)&gt;0,"Yes","NOT IN INVENTORY"))</f>
        <v/>
      </c>
    </row>
    <row r="805" customFormat="false" ht="15" hidden="false" customHeight="false" outlineLevel="0" collapsed="false">
      <c r="A805" s="46"/>
      <c r="B805" s="47"/>
      <c r="C805" s="47"/>
      <c r="D805" s="46"/>
      <c r="E805" s="47"/>
      <c r="F805" s="47"/>
      <c r="G805" s="47"/>
      <c r="H805" s="46"/>
      <c r="I805" s="47"/>
      <c r="J805" s="47"/>
      <c r="K805" s="47"/>
      <c r="L805" s="47"/>
      <c r="M805" s="47"/>
      <c r="N805" s="47"/>
      <c r="O805" s="47"/>
      <c r="P805" s="45" t="str">
        <f aca="false">IF($A805="","",IF(COUNTIF(Accounts!$C$2:$C$201,$A805)+COUNTIF('Service Principals'!$C$2:$C$201,$A805)+COUNTIF('Managed Identities'!$C$2:$C$201,$A805)&gt;0,"Yes","NOT IN INVENTORY"))</f>
        <v/>
      </c>
    </row>
    <row r="806" customFormat="false" ht="15" hidden="false" customHeight="false" outlineLevel="0" collapsed="false">
      <c r="A806" s="46"/>
      <c r="B806" s="47"/>
      <c r="C806" s="47"/>
      <c r="D806" s="46"/>
      <c r="E806" s="47"/>
      <c r="F806" s="47"/>
      <c r="G806" s="47"/>
      <c r="H806" s="46"/>
      <c r="I806" s="47"/>
      <c r="J806" s="47"/>
      <c r="K806" s="47"/>
      <c r="L806" s="47"/>
      <c r="M806" s="47"/>
      <c r="N806" s="47"/>
      <c r="O806" s="47"/>
      <c r="P806" s="45" t="str">
        <f aca="false">IF($A806="","",IF(COUNTIF(Accounts!$C$2:$C$201,$A806)+COUNTIF('Service Principals'!$C$2:$C$201,$A806)+COUNTIF('Managed Identities'!$C$2:$C$201,$A806)&gt;0,"Yes","NOT IN INVENTORY"))</f>
        <v/>
      </c>
    </row>
    <row r="807" customFormat="false" ht="15" hidden="false" customHeight="false" outlineLevel="0" collapsed="false">
      <c r="A807" s="46"/>
      <c r="B807" s="47"/>
      <c r="C807" s="47"/>
      <c r="D807" s="46"/>
      <c r="E807" s="47"/>
      <c r="F807" s="47"/>
      <c r="G807" s="47"/>
      <c r="H807" s="46"/>
      <c r="I807" s="47"/>
      <c r="J807" s="47"/>
      <c r="K807" s="47"/>
      <c r="L807" s="47"/>
      <c r="M807" s="47"/>
      <c r="N807" s="47"/>
      <c r="O807" s="47"/>
      <c r="P807" s="45" t="str">
        <f aca="false">IF($A807="","",IF(COUNTIF(Accounts!$C$2:$C$201,$A807)+COUNTIF('Service Principals'!$C$2:$C$201,$A807)+COUNTIF('Managed Identities'!$C$2:$C$201,$A807)&gt;0,"Yes","NOT IN INVENTORY"))</f>
        <v/>
      </c>
    </row>
    <row r="808" customFormat="false" ht="15" hidden="false" customHeight="false" outlineLevel="0" collapsed="false">
      <c r="A808" s="46"/>
      <c r="B808" s="47"/>
      <c r="C808" s="47"/>
      <c r="D808" s="46"/>
      <c r="E808" s="47"/>
      <c r="F808" s="47"/>
      <c r="G808" s="47"/>
      <c r="H808" s="46"/>
      <c r="I808" s="47"/>
      <c r="J808" s="47"/>
      <c r="K808" s="47"/>
      <c r="L808" s="47"/>
      <c r="M808" s="47"/>
      <c r="N808" s="47"/>
      <c r="O808" s="47"/>
      <c r="P808" s="45" t="str">
        <f aca="false">IF($A808="","",IF(COUNTIF(Accounts!$C$2:$C$201,$A808)+COUNTIF('Service Principals'!$C$2:$C$201,$A808)+COUNTIF('Managed Identities'!$C$2:$C$201,$A808)&gt;0,"Yes","NOT IN INVENTORY"))</f>
        <v/>
      </c>
    </row>
    <row r="809" customFormat="false" ht="15" hidden="false" customHeight="false" outlineLevel="0" collapsed="false">
      <c r="A809" s="46"/>
      <c r="B809" s="47"/>
      <c r="C809" s="47"/>
      <c r="D809" s="46"/>
      <c r="E809" s="47"/>
      <c r="F809" s="47"/>
      <c r="G809" s="47"/>
      <c r="H809" s="46"/>
      <c r="I809" s="47"/>
      <c r="J809" s="47"/>
      <c r="K809" s="47"/>
      <c r="L809" s="47"/>
      <c r="M809" s="47"/>
      <c r="N809" s="47"/>
      <c r="O809" s="47"/>
      <c r="P809" s="45" t="str">
        <f aca="false">IF($A809="","",IF(COUNTIF(Accounts!$C$2:$C$201,$A809)+COUNTIF('Service Principals'!$C$2:$C$201,$A809)+COUNTIF('Managed Identities'!$C$2:$C$201,$A809)&gt;0,"Yes","NOT IN INVENTORY"))</f>
        <v/>
      </c>
    </row>
    <row r="810" customFormat="false" ht="15" hidden="false" customHeight="false" outlineLevel="0" collapsed="false">
      <c r="A810" s="46"/>
      <c r="B810" s="47"/>
      <c r="C810" s="47"/>
      <c r="D810" s="46"/>
      <c r="E810" s="47"/>
      <c r="F810" s="47"/>
      <c r="G810" s="47"/>
      <c r="H810" s="46"/>
      <c r="I810" s="47"/>
      <c r="J810" s="47"/>
      <c r="K810" s="47"/>
      <c r="L810" s="47"/>
      <c r="M810" s="47"/>
      <c r="N810" s="47"/>
      <c r="O810" s="47"/>
      <c r="P810" s="45" t="str">
        <f aca="false">IF($A810="","",IF(COUNTIF(Accounts!$C$2:$C$201,$A810)+COUNTIF('Service Principals'!$C$2:$C$201,$A810)+COUNTIF('Managed Identities'!$C$2:$C$201,$A810)&gt;0,"Yes","NOT IN INVENTORY"))</f>
        <v/>
      </c>
    </row>
    <row r="811" customFormat="false" ht="15" hidden="false" customHeight="false" outlineLevel="0" collapsed="false">
      <c r="A811" s="46"/>
      <c r="B811" s="47"/>
      <c r="C811" s="47"/>
      <c r="D811" s="46"/>
      <c r="E811" s="47"/>
      <c r="F811" s="47"/>
      <c r="G811" s="47"/>
      <c r="H811" s="46"/>
      <c r="I811" s="47"/>
      <c r="J811" s="47"/>
      <c r="K811" s="47"/>
      <c r="L811" s="47"/>
      <c r="M811" s="47"/>
      <c r="N811" s="47"/>
      <c r="O811" s="47"/>
      <c r="P811" s="45" t="str">
        <f aca="false">IF($A811="","",IF(COUNTIF(Accounts!$C$2:$C$201,$A811)+COUNTIF('Service Principals'!$C$2:$C$201,$A811)+COUNTIF('Managed Identities'!$C$2:$C$201,$A811)&gt;0,"Yes","NOT IN INVENTORY"))</f>
        <v/>
      </c>
    </row>
    <row r="812" customFormat="false" ht="15" hidden="false" customHeight="false" outlineLevel="0" collapsed="false">
      <c r="A812" s="46"/>
      <c r="B812" s="47"/>
      <c r="C812" s="47"/>
      <c r="D812" s="46"/>
      <c r="E812" s="47"/>
      <c r="F812" s="47"/>
      <c r="G812" s="47"/>
      <c r="H812" s="46"/>
      <c r="I812" s="47"/>
      <c r="J812" s="47"/>
      <c r="K812" s="47"/>
      <c r="L812" s="47"/>
      <c r="M812" s="47"/>
      <c r="N812" s="47"/>
      <c r="O812" s="47"/>
      <c r="P812" s="45" t="str">
        <f aca="false">IF($A812="","",IF(COUNTIF(Accounts!$C$2:$C$201,$A812)+COUNTIF('Service Principals'!$C$2:$C$201,$A812)+COUNTIF('Managed Identities'!$C$2:$C$201,$A812)&gt;0,"Yes","NOT IN INVENTORY"))</f>
        <v/>
      </c>
    </row>
    <row r="813" customFormat="false" ht="15" hidden="false" customHeight="false" outlineLevel="0" collapsed="false">
      <c r="A813" s="46"/>
      <c r="B813" s="47"/>
      <c r="C813" s="47"/>
      <c r="D813" s="46"/>
      <c r="E813" s="47"/>
      <c r="F813" s="47"/>
      <c r="G813" s="47"/>
      <c r="H813" s="46"/>
      <c r="I813" s="47"/>
      <c r="J813" s="47"/>
      <c r="K813" s="47"/>
      <c r="L813" s="47"/>
      <c r="M813" s="47"/>
      <c r="N813" s="47"/>
      <c r="O813" s="47"/>
      <c r="P813" s="45" t="str">
        <f aca="false">IF($A813="","",IF(COUNTIF(Accounts!$C$2:$C$201,$A813)+COUNTIF('Service Principals'!$C$2:$C$201,$A813)+COUNTIF('Managed Identities'!$C$2:$C$201,$A813)&gt;0,"Yes","NOT IN INVENTORY"))</f>
        <v/>
      </c>
    </row>
    <row r="814" customFormat="false" ht="15" hidden="false" customHeight="false" outlineLevel="0" collapsed="false">
      <c r="A814" s="46"/>
      <c r="B814" s="47"/>
      <c r="C814" s="47"/>
      <c r="D814" s="46"/>
      <c r="E814" s="47"/>
      <c r="F814" s="47"/>
      <c r="G814" s="47"/>
      <c r="H814" s="46"/>
      <c r="I814" s="47"/>
      <c r="J814" s="47"/>
      <c r="K814" s="47"/>
      <c r="L814" s="47"/>
      <c r="M814" s="47"/>
      <c r="N814" s="47"/>
      <c r="O814" s="47"/>
      <c r="P814" s="45" t="str">
        <f aca="false">IF($A814="","",IF(COUNTIF(Accounts!$C$2:$C$201,$A814)+COUNTIF('Service Principals'!$C$2:$C$201,$A814)+COUNTIF('Managed Identities'!$C$2:$C$201,$A814)&gt;0,"Yes","NOT IN INVENTORY"))</f>
        <v/>
      </c>
    </row>
    <row r="815" customFormat="false" ht="15" hidden="false" customHeight="false" outlineLevel="0" collapsed="false">
      <c r="A815" s="46"/>
      <c r="B815" s="47"/>
      <c r="C815" s="47"/>
      <c r="D815" s="46"/>
      <c r="E815" s="47"/>
      <c r="F815" s="47"/>
      <c r="G815" s="47"/>
      <c r="H815" s="46"/>
      <c r="I815" s="47"/>
      <c r="J815" s="47"/>
      <c r="K815" s="47"/>
      <c r="L815" s="47"/>
      <c r="M815" s="47"/>
      <c r="N815" s="47"/>
      <c r="O815" s="47"/>
      <c r="P815" s="45" t="str">
        <f aca="false">IF($A815="","",IF(COUNTIF(Accounts!$C$2:$C$201,$A815)+COUNTIF('Service Principals'!$C$2:$C$201,$A815)+COUNTIF('Managed Identities'!$C$2:$C$201,$A815)&gt;0,"Yes","NOT IN INVENTORY"))</f>
        <v/>
      </c>
    </row>
    <row r="816" customFormat="false" ht="15" hidden="false" customHeight="false" outlineLevel="0" collapsed="false">
      <c r="A816" s="46"/>
      <c r="B816" s="47"/>
      <c r="C816" s="47"/>
      <c r="D816" s="46"/>
      <c r="E816" s="47"/>
      <c r="F816" s="47"/>
      <c r="G816" s="47"/>
      <c r="H816" s="46"/>
      <c r="I816" s="47"/>
      <c r="J816" s="47"/>
      <c r="K816" s="47"/>
      <c r="L816" s="47"/>
      <c r="M816" s="47"/>
      <c r="N816" s="47"/>
      <c r="O816" s="47"/>
      <c r="P816" s="45" t="str">
        <f aca="false">IF($A816="","",IF(COUNTIF(Accounts!$C$2:$C$201,$A816)+COUNTIF('Service Principals'!$C$2:$C$201,$A816)+COUNTIF('Managed Identities'!$C$2:$C$201,$A816)&gt;0,"Yes","NOT IN INVENTORY"))</f>
        <v/>
      </c>
    </row>
    <row r="817" customFormat="false" ht="15" hidden="false" customHeight="false" outlineLevel="0" collapsed="false">
      <c r="A817" s="46"/>
      <c r="B817" s="47"/>
      <c r="C817" s="47"/>
      <c r="D817" s="46"/>
      <c r="E817" s="47"/>
      <c r="F817" s="47"/>
      <c r="G817" s="47"/>
      <c r="H817" s="46"/>
      <c r="I817" s="47"/>
      <c r="J817" s="47"/>
      <c r="K817" s="47"/>
      <c r="L817" s="47"/>
      <c r="M817" s="47"/>
      <c r="N817" s="47"/>
      <c r="O817" s="47"/>
      <c r="P817" s="45" t="str">
        <f aca="false">IF($A817="","",IF(COUNTIF(Accounts!$C$2:$C$201,$A817)+COUNTIF('Service Principals'!$C$2:$C$201,$A817)+COUNTIF('Managed Identities'!$C$2:$C$201,$A817)&gt;0,"Yes","NOT IN INVENTORY"))</f>
        <v/>
      </c>
    </row>
    <row r="818" customFormat="false" ht="15" hidden="false" customHeight="false" outlineLevel="0" collapsed="false">
      <c r="A818" s="46"/>
      <c r="B818" s="47"/>
      <c r="C818" s="47"/>
      <c r="D818" s="46"/>
      <c r="E818" s="47"/>
      <c r="F818" s="47"/>
      <c r="G818" s="47"/>
      <c r="H818" s="46"/>
      <c r="I818" s="47"/>
      <c r="J818" s="47"/>
      <c r="K818" s="47"/>
      <c r="L818" s="47"/>
      <c r="M818" s="47"/>
      <c r="N818" s="47"/>
      <c r="O818" s="47"/>
      <c r="P818" s="45" t="str">
        <f aca="false">IF($A818="","",IF(COUNTIF(Accounts!$C$2:$C$201,$A818)+COUNTIF('Service Principals'!$C$2:$C$201,$A818)+COUNTIF('Managed Identities'!$C$2:$C$201,$A818)&gt;0,"Yes","NOT IN INVENTORY"))</f>
        <v/>
      </c>
    </row>
    <row r="819" customFormat="false" ht="15" hidden="false" customHeight="false" outlineLevel="0" collapsed="false">
      <c r="A819" s="46"/>
      <c r="B819" s="47"/>
      <c r="C819" s="47"/>
      <c r="D819" s="46"/>
      <c r="E819" s="47"/>
      <c r="F819" s="47"/>
      <c r="G819" s="47"/>
      <c r="H819" s="46"/>
      <c r="I819" s="47"/>
      <c r="J819" s="47"/>
      <c r="K819" s="47"/>
      <c r="L819" s="47"/>
      <c r="M819" s="47"/>
      <c r="N819" s="47"/>
      <c r="O819" s="47"/>
      <c r="P819" s="45" t="str">
        <f aca="false">IF($A819="","",IF(COUNTIF(Accounts!$C$2:$C$201,$A819)+COUNTIF('Service Principals'!$C$2:$C$201,$A819)+COUNTIF('Managed Identities'!$C$2:$C$201,$A819)&gt;0,"Yes","NOT IN INVENTORY"))</f>
        <v/>
      </c>
    </row>
    <row r="820" customFormat="false" ht="15" hidden="false" customHeight="false" outlineLevel="0" collapsed="false">
      <c r="A820" s="46"/>
      <c r="B820" s="47"/>
      <c r="C820" s="47"/>
      <c r="D820" s="46"/>
      <c r="E820" s="47"/>
      <c r="F820" s="47"/>
      <c r="G820" s="47"/>
      <c r="H820" s="46"/>
      <c r="I820" s="47"/>
      <c r="J820" s="47"/>
      <c r="K820" s="47"/>
      <c r="L820" s="47"/>
      <c r="M820" s="47"/>
      <c r="N820" s="47"/>
      <c r="O820" s="47"/>
      <c r="P820" s="45" t="str">
        <f aca="false">IF($A820="","",IF(COUNTIF(Accounts!$C$2:$C$201,$A820)+COUNTIF('Service Principals'!$C$2:$C$201,$A820)+COUNTIF('Managed Identities'!$C$2:$C$201,$A820)&gt;0,"Yes","NOT IN INVENTORY"))</f>
        <v/>
      </c>
    </row>
    <row r="821" customFormat="false" ht="15" hidden="false" customHeight="false" outlineLevel="0" collapsed="false">
      <c r="A821" s="46"/>
      <c r="B821" s="47"/>
      <c r="C821" s="47"/>
      <c r="D821" s="46"/>
      <c r="E821" s="47"/>
      <c r="F821" s="47"/>
      <c r="G821" s="47"/>
      <c r="H821" s="46"/>
      <c r="I821" s="47"/>
      <c r="J821" s="47"/>
      <c r="K821" s="47"/>
      <c r="L821" s="47"/>
      <c r="M821" s="47"/>
      <c r="N821" s="47"/>
      <c r="O821" s="47"/>
      <c r="P821" s="45" t="str">
        <f aca="false">IF($A821="","",IF(COUNTIF(Accounts!$C$2:$C$201,$A821)+COUNTIF('Service Principals'!$C$2:$C$201,$A821)+COUNTIF('Managed Identities'!$C$2:$C$201,$A821)&gt;0,"Yes","NOT IN INVENTORY"))</f>
        <v/>
      </c>
    </row>
    <row r="822" customFormat="false" ht="15" hidden="false" customHeight="false" outlineLevel="0" collapsed="false">
      <c r="A822" s="46"/>
      <c r="B822" s="47"/>
      <c r="C822" s="47"/>
      <c r="D822" s="46"/>
      <c r="E822" s="47"/>
      <c r="F822" s="47"/>
      <c r="G822" s="47"/>
      <c r="H822" s="46"/>
      <c r="I822" s="47"/>
      <c r="J822" s="47"/>
      <c r="K822" s="47"/>
      <c r="L822" s="47"/>
      <c r="M822" s="47"/>
      <c r="N822" s="47"/>
      <c r="O822" s="47"/>
      <c r="P822" s="45" t="str">
        <f aca="false">IF($A822="","",IF(COUNTIF(Accounts!$C$2:$C$201,$A822)+COUNTIF('Service Principals'!$C$2:$C$201,$A822)+COUNTIF('Managed Identities'!$C$2:$C$201,$A822)&gt;0,"Yes","NOT IN INVENTORY"))</f>
        <v/>
      </c>
    </row>
    <row r="823" customFormat="false" ht="15" hidden="false" customHeight="false" outlineLevel="0" collapsed="false">
      <c r="A823" s="46"/>
      <c r="B823" s="47"/>
      <c r="C823" s="47"/>
      <c r="D823" s="46"/>
      <c r="E823" s="47"/>
      <c r="F823" s="47"/>
      <c r="G823" s="47"/>
      <c r="H823" s="46"/>
      <c r="I823" s="47"/>
      <c r="J823" s="47"/>
      <c r="K823" s="47"/>
      <c r="L823" s="47"/>
      <c r="M823" s="47"/>
      <c r="N823" s="47"/>
      <c r="O823" s="47"/>
      <c r="P823" s="45" t="str">
        <f aca="false">IF($A823="","",IF(COUNTIF(Accounts!$C$2:$C$201,$A823)+COUNTIF('Service Principals'!$C$2:$C$201,$A823)+COUNTIF('Managed Identities'!$C$2:$C$201,$A823)&gt;0,"Yes","NOT IN INVENTORY"))</f>
        <v/>
      </c>
    </row>
    <row r="824" customFormat="false" ht="15" hidden="false" customHeight="false" outlineLevel="0" collapsed="false">
      <c r="A824" s="46"/>
      <c r="B824" s="47"/>
      <c r="C824" s="47"/>
      <c r="D824" s="46"/>
      <c r="E824" s="47"/>
      <c r="F824" s="47"/>
      <c r="G824" s="47"/>
      <c r="H824" s="46"/>
      <c r="I824" s="47"/>
      <c r="J824" s="47"/>
      <c r="K824" s="47"/>
      <c r="L824" s="47"/>
      <c r="M824" s="47"/>
      <c r="N824" s="47"/>
      <c r="O824" s="47"/>
      <c r="P824" s="45" t="str">
        <f aca="false">IF($A824="","",IF(COUNTIF(Accounts!$C$2:$C$201,$A824)+COUNTIF('Service Principals'!$C$2:$C$201,$A824)+COUNTIF('Managed Identities'!$C$2:$C$201,$A824)&gt;0,"Yes","NOT IN INVENTORY"))</f>
        <v/>
      </c>
    </row>
    <row r="825" customFormat="false" ht="15" hidden="false" customHeight="false" outlineLevel="0" collapsed="false">
      <c r="A825" s="46"/>
      <c r="B825" s="47"/>
      <c r="C825" s="47"/>
      <c r="D825" s="46"/>
      <c r="E825" s="47"/>
      <c r="F825" s="47"/>
      <c r="G825" s="47"/>
      <c r="H825" s="46"/>
      <c r="I825" s="47"/>
      <c r="J825" s="47"/>
      <c r="K825" s="47"/>
      <c r="L825" s="47"/>
      <c r="M825" s="47"/>
      <c r="N825" s="47"/>
      <c r="O825" s="47"/>
      <c r="P825" s="45" t="str">
        <f aca="false">IF($A825="","",IF(COUNTIF(Accounts!$C$2:$C$201,$A825)+COUNTIF('Service Principals'!$C$2:$C$201,$A825)+COUNTIF('Managed Identities'!$C$2:$C$201,$A825)&gt;0,"Yes","NOT IN INVENTORY"))</f>
        <v/>
      </c>
    </row>
    <row r="826" customFormat="false" ht="15" hidden="false" customHeight="false" outlineLevel="0" collapsed="false">
      <c r="A826" s="46"/>
      <c r="B826" s="47"/>
      <c r="C826" s="47"/>
      <c r="D826" s="46"/>
      <c r="E826" s="47"/>
      <c r="F826" s="47"/>
      <c r="G826" s="47"/>
      <c r="H826" s="46"/>
      <c r="I826" s="47"/>
      <c r="J826" s="47"/>
      <c r="K826" s="47"/>
      <c r="L826" s="47"/>
      <c r="M826" s="47"/>
      <c r="N826" s="47"/>
      <c r="O826" s="47"/>
      <c r="P826" s="45" t="str">
        <f aca="false">IF($A826="","",IF(COUNTIF(Accounts!$C$2:$C$201,$A826)+COUNTIF('Service Principals'!$C$2:$C$201,$A826)+COUNTIF('Managed Identities'!$C$2:$C$201,$A826)&gt;0,"Yes","NOT IN INVENTORY"))</f>
        <v/>
      </c>
    </row>
    <row r="827" customFormat="false" ht="15" hidden="false" customHeight="false" outlineLevel="0" collapsed="false">
      <c r="A827" s="46"/>
      <c r="B827" s="47"/>
      <c r="C827" s="47"/>
      <c r="D827" s="46"/>
      <c r="E827" s="47"/>
      <c r="F827" s="47"/>
      <c r="G827" s="47"/>
      <c r="H827" s="46"/>
      <c r="I827" s="47"/>
      <c r="J827" s="47"/>
      <c r="K827" s="47"/>
      <c r="L827" s="47"/>
      <c r="M827" s="47"/>
      <c r="N827" s="47"/>
      <c r="O827" s="47"/>
      <c r="P827" s="45" t="str">
        <f aca="false">IF($A827="","",IF(COUNTIF(Accounts!$C$2:$C$201,$A827)+COUNTIF('Service Principals'!$C$2:$C$201,$A827)+COUNTIF('Managed Identities'!$C$2:$C$201,$A827)&gt;0,"Yes","NOT IN INVENTORY"))</f>
        <v/>
      </c>
    </row>
    <row r="828" customFormat="false" ht="15" hidden="false" customHeight="false" outlineLevel="0" collapsed="false">
      <c r="A828" s="46"/>
      <c r="B828" s="47"/>
      <c r="C828" s="47"/>
      <c r="D828" s="46"/>
      <c r="E828" s="47"/>
      <c r="F828" s="47"/>
      <c r="G828" s="47"/>
      <c r="H828" s="46"/>
      <c r="I828" s="47"/>
      <c r="J828" s="47"/>
      <c r="K828" s="47"/>
      <c r="L828" s="47"/>
      <c r="M828" s="47"/>
      <c r="N828" s="47"/>
      <c r="O828" s="47"/>
      <c r="P828" s="45" t="str">
        <f aca="false">IF($A828="","",IF(COUNTIF(Accounts!$C$2:$C$201,$A828)+COUNTIF('Service Principals'!$C$2:$C$201,$A828)+COUNTIF('Managed Identities'!$C$2:$C$201,$A828)&gt;0,"Yes","NOT IN INVENTORY"))</f>
        <v/>
      </c>
    </row>
    <row r="829" customFormat="false" ht="15" hidden="false" customHeight="false" outlineLevel="0" collapsed="false">
      <c r="A829" s="46"/>
      <c r="B829" s="47"/>
      <c r="C829" s="47"/>
      <c r="D829" s="46"/>
      <c r="E829" s="47"/>
      <c r="F829" s="47"/>
      <c r="G829" s="47"/>
      <c r="H829" s="46"/>
      <c r="I829" s="47"/>
      <c r="J829" s="47"/>
      <c r="K829" s="47"/>
      <c r="L829" s="47"/>
      <c r="M829" s="47"/>
      <c r="N829" s="47"/>
      <c r="O829" s="47"/>
      <c r="P829" s="45" t="str">
        <f aca="false">IF($A829="","",IF(COUNTIF(Accounts!$C$2:$C$201,$A829)+COUNTIF('Service Principals'!$C$2:$C$201,$A829)+COUNTIF('Managed Identities'!$C$2:$C$201,$A829)&gt;0,"Yes","NOT IN INVENTORY"))</f>
        <v/>
      </c>
    </row>
    <row r="830" customFormat="false" ht="15" hidden="false" customHeight="false" outlineLevel="0" collapsed="false">
      <c r="A830" s="46"/>
      <c r="B830" s="47"/>
      <c r="C830" s="47"/>
      <c r="D830" s="46"/>
      <c r="E830" s="47"/>
      <c r="F830" s="47"/>
      <c r="G830" s="47"/>
      <c r="H830" s="46"/>
      <c r="I830" s="47"/>
      <c r="J830" s="47"/>
      <c r="K830" s="47"/>
      <c r="L830" s="47"/>
      <c r="M830" s="47"/>
      <c r="N830" s="47"/>
      <c r="O830" s="47"/>
      <c r="P830" s="45" t="str">
        <f aca="false">IF($A830="","",IF(COUNTIF(Accounts!$C$2:$C$201,$A830)+COUNTIF('Service Principals'!$C$2:$C$201,$A830)+COUNTIF('Managed Identities'!$C$2:$C$201,$A830)&gt;0,"Yes","NOT IN INVENTORY"))</f>
        <v/>
      </c>
    </row>
    <row r="831" customFormat="false" ht="15" hidden="false" customHeight="false" outlineLevel="0" collapsed="false">
      <c r="A831" s="46"/>
      <c r="B831" s="47"/>
      <c r="C831" s="47"/>
      <c r="D831" s="46"/>
      <c r="E831" s="47"/>
      <c r="F831" s="47"/>
      <c r="G831" s="47"/>
      <c r="H831" s="46"/>
      <c r="I831" s="47"/>
      <c r="J831" s="47"/>
      <c r="K831" s="47"/>
      <c r="L831" s="47"/>
      <c r="M831" s="47"/>
      <c r="N831" s="47"/>
      <c r="O831" s="47"/>
      <c r="P831" s="45" t="str">
        <f aca="false">IF($A831="","",IF(COUNTIF(Accounts!$C$2:$C$201,$A831)+COUNTIF('Service Principals'!$C$2:$C$201,$A831)+COUNTIF('Managed Identities'!$C$2:$C$201,$A831)&gt;0,"Yes","NOT IN INVENTORY"))</f>
        <v/>
      </c>
    </row>
    <row r="832" customFormat="false" ht="15" hidden="false" customHeight="false" outlineLevel="0" collapsed="false">
      <c r="A832" s="46"/>
      <c r="B832" s="47"/>
      <c r="C832" s="47"/>
      <c r="D832" s="46"/>
      <c r="E832" s="47"/>
      <c r="F832" s="47"/>
      <c r="G832" s="47"/>
      <c r="H832" s="46"/>
      <c r="I832" s="47"/>
      <c r="J832" s="47"/>
      <c r="K832" s="47"/>
      <c r="L832" s="47"/>
      <c r="M832" s="47"/>
      <c r="N832" s="47"/>
      <c r="O832" s="47"/>
      <c r="P832" s="45" t="str">
        <f aca="false">IF($A832="","",IF(COUNTIF(Accounts!$C$2:$C$201,$A832)+COUNTIF('Service Principals'!$C$2:$C$201,$A832)+COUNTIF('Managed Identities'!$C$2:$C$201,$A832)&gt;0,"Yes","NOT IN INVENTORY"))</f>
        <v/>
      </c>
    </row>
    <row r="833" customFormat="false" ht="15" hidden="false" customHeight="false" outlineLevel="0" collapsed="false">
      <c r="A833" s="46"/>
      <c r="B833" s="47"/>
      <c r="C833" s="47"/>
      <c r="D833" s="46"/>
      <c r="E833" s="47"/>
      <c r="F833" s="47"/>
      <c r="G833" s="47"/>
      <c r="H833" s="46"/>
      <c r="I833" s="47"/>
      <c r="J833" s="47"/>
      <c r="K833" s="47"/>
      <c r="L833" s="47"/>
      <c r="M833" s="47"/>
      <c r="N833" s="47"/>
      <c r="O833" s="47"/>
      <c r="P833" s="45" t="str">
        <f aca="false">IF($A833="","",IF(COUNTIF(Accounts!$C$2:$C$201,$A833)+COUNTIF('Service Principals'!$C$2:$C$201,$A833)+COUNTIF('Managed Identities'!$C$2:$C$201,$A833)&gt;0,"Yes","NOT IN INVENTORY"))</f>
        <v/>
      </c>
    </row>
    <row r="834" customFormat="false" ht="15" hidden="false" customHeight="false" outlineLevel="0" collapsed="false">
      <c r="A834" s="46"/>
      <c r="B834" s="47"/>
      <c r="C834" s="47"/>
      <c r="D834" s="46"/>
      <c r="E834" s="47"/>
      <c r="F834" s="47"/>
      <c r="G834" s="47"/>
      <c r="H834" s="46"/>
      <c r="I834" s="47"/>
      <c r="J834" s="47"/>
      <c r="K834" s="47"/>
      <c r="L834" s="47"/>
      <c r="M834" s="47"/>
      <c r="N834" s="47"/>
      <c r="O834" s="47"/>
      <c r="P834" s="45" t="str">
        <f aca="false">IF($A834="","",IF(COUNTIF(Accounts!$C$2:$C$201,$A834)+COUNTIF('Service Principals'!$C$2:$C$201,$A834)+COUNTIF('Managed Identities'!$C$2:$C$201,$A834)&gt;0,"Yes","NOT IN INVENTORY"))</f>
        <v/>
      </c>
    </row>
    <row r="835" customFormat="false" ht="15" hidden="false" customHeight="false" outlineLevel="0" collapsed="false">
      <c r="A835" s="46"/>
      <c r="B835" s="47"/>
      <c r="C835" s="47"/>
      <c r="D835" s="46"/>
      <c r="E835" s="47"/>
      <c r="F835" s="47"/>
      <c r="G835" s="47"/>
      <c r="H835" s="46"/>
      <c r="I835" s="47"/>
      <c r="J835" s="47"/>
      <c r="K835" s="47"/>
      <c r="L835" s="47"/>
      <c r="M835" s="47"/>
      <c r="N835" s="47"/>
      <c r="O835" s="47"/>
      <c r="P835" s="45" t="str">
        <f aca="false">IF($A835="","",IF(COUNTIF(Accounts!$C$2:$C$201,$A835)+COUNTIF('Service Principals'!$C$2:$C$201,$A835)+COUNTIF('Managed Identities'!$C$2:$C$201,$A835)&gt;0,"Yes","NOT IN INVENTORY"))</f>
        <v/>
      </c>
    </row>
    <row r="836" customFormat="false" ht="15" hidden="false" customHeight="false" outlineLevel="0" collapsed="false">
      <c r="A836" s="46"/>
      <c r="B836" s="47"/>
      <c r="C836" s="47"/>
      <c r="D836" s="46"/>
      <c r="E836" s="47"/>
      <c r="F836" s="47"/>
      <c r="G836" s="47"/>
      <c r="H836" s="46"/>
      <c r="I836" s="47"/>
      <c r="J836" s="47"/>
      <c r="K836" s="47"/>
      <c r="L836" s="47"/>
      <c r="M836" s="47"/>
      <c r="N836" s="47"/>
      <c r="O836" s="47"/>
      <c r="P836" s="45" t="str">
        <f aca="false">IF($A836="","",IF(COUNTIF(Accounts!$C$2:$C$201,$A836)+COUNTIF('Service Principals'!$C$2:$C$201,$A836)+COUNTIF('Managed Identities'!$C$2:$C$201,$A836)&gt;0,"Yes","NOT IN INVENTORY"))</f>
        <v/>
      </c>
    </row>
    <row r="837" customFormat="false" ht="15" hidden="false" customHeight="false" outlineLevel="0" collapsed="false">
      <c r="A837" s="46"/>
      <c r="B837" s="47"/>
      <c r="C837" s="47"/>
      <c r="D837" s="46"/>
      <c r="E837" s="47"/>
      <c r="F837" s="47"/>
      <c r="G837" s="47"/>
      <c r="H837" s="46"/>
      <c r="I837" s="47"/>
      <c r="J837" s="47"/>
      <c r="K837" s="47"/>
      <c r="L837" s="47"/>
      <c r="M837" s="47"/>
      <c r="N837" s="47"/>
      <c r="O837" s="47"/>
      <c r="P837" s="45" t="str">
        <f aca="false">IF($A837="","",IF(COUNTIF(Accounts!$C$2:$C$201,$A837)+COUNTIF('Service Principals'!$C$2:$C$201,$A837)+COUNTIF('Managed Identities'!$C$2:$C$201,$A837)&gt;0,"Yes","NOT IN INVENTORY"))</f>
        <v/>
      </c>
    </row>
    <row r="838" customFormat="false" ht="15" hidden="false" customHeight="false" outlineLevel="0" collapsed="false">
      <c r="A838" s="46"/>
      <c r="B838" s="47"/>
      <c r="C838" s="47"/>
      <c r="D838" s="46"/>
      <c r="E838" s="47"/>
      <c r="F838" s="47"/>
      <c r="G838" s="47"/>
      <c r="H838" s="46"/>
      <c r="I838" s="47"/>
      <c r="J838" s="47"/>
      <c r="K838" s="47"/>
      <c r="L838" s="47"/>
      <c r="M838" s="47"/>
      <c r="N838" s="47"/>
      <c r="O838" s="47"/>
      <c r="P838" s="45" t="str">
        <f aca="false">IF($A838="","",IF(COUNTIF(Accounts!$C$2:$C$201,$A838)+COUNTIF('Service Principals'!$C$2:$C$201,$A838)+COUNTIF('Managed Identities'!$C$2:$C$201,$A838)&gt;0,"Yes","NOT IN INVENTORY"))</f>
        <v/>
      </c>
    </row>
    <row r="839" customFormat="false" ht="15" hidden="false" customHeight="false" outlineLevel="0" collapsed="false">
      <c r="A839" s="46"/>
      <c r="B839" s="47"/>
      <c r="C839" s="47"/>
      <c r="D839" s="46"/>
      <c r="E839" s="47"/>
      <c r="F839" s="47"/>
      <c r="G839" s="47"/>
      <c r="H839" s="46"/>
      <c r="I839" s="47"/>
      <c r="J839" s="47"/>
      <c r="K839" s="47"/>
      <c r="L839" s="47"/>
      <c r="M839" s="47"/>
      <c r="N839" s="47"/>
      <c r="O839" s="47"/>
      <c r="P839" s="45" t="str">
        <f aca="false">IF($A839="","",IF(COUNTIF(Accounts!$C$2:$C$201,$A839)+COUNTIF('Service Principals'!$C$2:$C$201,$A839)+COUNTIF('Managed Identities'!$C$2:$C$201,$A839)&gt;0,"Yes","NOT IN INVENTORY"))</f>
        <v/>
      </c>
    </row>
    <row r="840" customFormat="false" ht="15" hidden="false" customHeight="false" outlineLevel="0" collapsed="false">
      <c r="A840" s="46"/>
      <c r="B840" s="47"/>
      <c r="C840" s="47"/>
      <c r="D840" s="46"/>
      <c r="E840" s="47"/>
      <c r="F840" s="47"/>
      <c r="G840" s="47"/>
      <c r="H840" s="46"/>
      <c r="I840" s="47"/>
      <c r="J840" s="47"/>
      <c r="K840" s="47"/>
      <c r="L840" s="47"/>
      <c r="M840" s="47"/>
      <c r="N840" s="47"/>
      <c r="O840" s="47"/>
      <c r="P840" s="45" t="str">
        <f aca="false">IF($A840="","",IF(COUNTIF(Accounts!$C$2:$C$201,$A840)+COUNTIF('Service Principals'!$C$2:$C$201,$A840)+COUNTIF('Managed Identities'!$C$2:$C$201,$A840)&gt;0,"Yes","NOT IN INVENTORY"))</f>
        <v/>
      </c>
    </row>
    <row r="841" customFormat="false" ht="15" hidden="false" customHeight="false" outlineLevel="0" collapsed="false">
      <c r="A841" s="46"/>
      <c r="B841" s="47"/>
      <c r="C841" s="47"/>
      <c r="D841" s="46"/>
      <c r="E841" s="47"/>
      <c r="F841" s="47"/>
      <c r="G841" s="47"/>
      <c r="H841" s="46"/>
      <c r="I841" s="47"/>
      <c r="J841" s="47"/>
      <c r="K841" s="47"/>
      <c r="L841" s="47"/>
      <c r="M841" s="47"/>
      <c r="N841" s="47"/>
      <c r="O841" s="47"/>
      <c r="P841" s="45" t="str">
        <f aca="false">IF($A841="","",IF(COUNTIF(Accounts!$C$2:$C$201,$A841)+COUNTIF('Service Principals'!$C$2:$C$201,$A841)+COUNTIF('Managed Identities'!$C$2:$C$201,$A841)&gt;0,"Yes","NOT IN INVENTORY"))</f>
        <v/>
      </c>
    </row>
    <row r="842" customFormat="false" ht="15" hidden="false" customHeight="false" outlineLevel="0" collapsed="false">
      <c r="A842" s="46"/>
      <c r="B842" s="47"/>
      <c r="C842" s="47"/>
      <c r="D842" s="46"/>
      <c r="E842" s="47"/>
      <c r="F842" s="47"/>
      <c r="G842" s="47"/>
      <c r="H842" s="46"/>
      <c r="I842" s="47"/>
      <c r="J842" s="47"/>
      <c r="K842" s="47"/>
      <c r="L842" s="47"/>
      <c r="M842" s="47"/>
      <c r="N842" s="47"/>
      <c r="O842" s="47"/>
      <c r="P842" s="45" t="str">
        <f aca="false">IF($A842="","",IF(COUNTIF(Accounts!$C$2:$C$201,$A842)+COUNTIF('Service Principals'!$C$2:$C$201,$A842)+COUNTIF('Managed Identities'!$C$2:$C$201,$A842)&gt;0,"Yes","NOT IN INVENTORY"))</f>
        <v/>
      </c>
    </row>
    <row r="843" customFormat="false" ht="15" hidden="false" customHeight="false" outlineLevel="0" collapsed="false">
      <c r="A843" s="46"/>
      <c r="B843" s="47"/>
      <c r="C843" s="47"/>
      <c r="D843" s="46"/>
      <c r="E843" s="47"/>
      <c r="F843" s="47"/>
      <c r="G843" s="47"/>
      <c r="H843" s="46"/>
      <c r="I843" s="47"/>
      <c r="J843" s="47"/>
      <c r="K843" s="47"/>
      <c r="L843" s="47"/>
      <c r="M843" s="47"/>
      <c r="N843" s="47"/>
      <c r="O843" s="47"/>
      <c r="P843" s="45" t="str">
        <f aca="false">IF($A843="","",IF(COUNTIF(Accounts!$C$2:$C$201,$A843)+COUNTIF('Service Principals'!$C$2:$C$201,$A843)+COUNTIF('Managed Identities'!$C$2:$C$201,$A843)&gt;0,"Yes","NOT IN INVENTORY"))</f>
        <v/>
      </c>
    </row>
    <row r="844" customFormat="false" ht="15" hidden="false" customHeight="false" outlineLevel="0" collapsed="false">
      <c r="A844" s="46"/>
      <c r="B844" s="47"/>
      <c r="C844" s="47"/>
      <c r="D844" s="46"/>
      <c r="E844" s="47"/>
      <c r="F844" s="47"/>
      <c r="G844" s="47"/>
      <c r="H844" s="46"/>
      <c r="I844" s="47"/>
      <c r="J844" s="47"/>
      <c r="K844" s="47"/>
      <c r="L844" s="47"/>
      <c r="M844" s="47"/>
      <c r="N844" s="47"/>
      <c r="O844" s="47"/>
      <c r="P844" s="45" t="str">
        <f aca="false">IF($A844="","",IF(COUNTIF(Accounts!$C$2:$C$201,$A844)+COUNTIF('Service Principals'!$C$2:$C$201,$A844)+COUNTIF('Managed Identities'!$C$2:$C$201,$A844)&gt;0,"Yes","NOT IN INVENTORY"))</f>
        <v/>
      </c>
    </row>
    <row r="845" customFormat="false" ht="15" hidden="false" customHeight="false" outlineLevel="0" collapsed="false">
      <c r="A845" s="46"/>
      <c r="B845" s="47"/>
      <c r="C845" s="47"/>
      <c r="D845" s="46"/>
      <c r="E845" s="47"/>
      <c r="F845" s="47"/>
      <c r="G845" s="47"/>
      <c r="H845" s="46"/>
      <c r="I845" s="47"/>
      <c r="J845" s="47"/>
      <c r="K845" s="47"/>
      <c r="L845" s="47"/>
      <c r="M845" s="47"/>
      <c r="N845" s="47"/>
      <c r="O845" s="47"/>
      <c r="P845" s="45" t="str">
        <f aca="false">IF($A845="","",IF(COUNTIF(Accounts!$C$2:$C$201,$A845)+COUNTIF('Service Principals'!$C$2:$C$201,$A845)+COUNTIF('Managed Identities'!$C$2:$C$201,$A845)&gt;0,"Yes","NOT IN INVENTORY"))</f>
        <v/>
      </c>
    </row>
    <row r="846" customFormat="false" ht="15" hidden="false" customHeight="false" outlineLevel="0" collapsed="false">
      <c r="A846" s="46"/>
      <c r="B846" s="47"/>
      <c r="C846" s="47"/>
      <c r="D846" s="46"/>
      <c r="E846" s="47"/>
      <c r="F846" s="47"/>
      <c r="G846" s="47"/>
      <c r="H846" s="46"/>
      <c r="I846" s="47"/>
      <c r="J846" s="47"/>
      <c r="K846" s="47"/>
      <c r="L846" s="47"/>
      <c r="M846" s="47"/>
      <c r="N846" s="47"/>
      <c r="O846" s="47"/>
      <c r="P846" s="45" t="str">
        <f aca="false">IF($A846="","",IF(COUNTIF(Accounts!$C$2:$C$201,$A846)+COUNTIF('Service Principals'!$C$2:$C$201,$A846)+COUNTIF('Managed Identities'!$C$2:$C$201,$A846)&gt;0,"Yes","NOT IN INVENTORY"))</f>
        <v/>
      </c>
    </row>
    <row r="847" customFormat="false" ht="15" hidden="false" customHeight="false" outlineLevel="0" collapsed="false">
      <c r="A847" s="46"/>
      <c r="B847" s="47"/>
      <c r="C847" s="47"/>
      <c r="D847" s="46"/>
      <c r="E847" s="47"/>
      <c r="F847" s="47"/>
      <c r="G847" s="47"/>
      <c r="H847" s="46"/>
      <c r="I847" s="47"/>
      <c r="J847" s="47"/>
      <c r="K847" s="47"/>
      <c r="L847" s="47"/>
      <c r="M847" s="47"/>
      <c r="N847" s="47"/>
      <c r="O847" s="47"/>
      <c r="P847" s="45" t="str">
        <f aca="false">IF($A847="","",IF(COUNTIF(Accounts!$C$2:$C$201,$A847)+COUNTIF('Service Principals'!$C$2:$C$201,$A847)+COUNTIF('Managed Identities'!$C$2:$C$201,$A847)&gt;0,"Yes","NOT IN INVENTORY"))</f>
        <v/>
      </c>
    </row>
    <row r="848" customFormat="false" ht="15" hidden="false" customHeight="false" outlineLevel="0" collapsed="false">
      <c r="A848" s="46"/>
      <c r="B848" s="47"/>
      <c r="C848" s="47"/>
      <c r="D848" s="46"/>
      <c r="E848" s="47"/>
      <c r="F848" s="47"/>
      <c r="G848" s="47"/>
      <c r="H848" s="46"/>
      <c r="I848" s="47"/>
      <c r="J848" s="47"/>
      <c r="K848" s="47"/>
      <c r="L848" s="47"/>
      <c r="M848" s="47"/>
      <c r="N848" s="47"/>
      <c r="O848" s="47"/>
      <c r="P848" s="45" t="str">
        <f aca="false">IF($A848="","",IF(COUNTIF(Accounts!$C$2:$C$201,$A848)+COUNTIF('Service Principals'!$C$2:$C$201,$A848)+COUNTIF('Managed Identities'!$C$2:$C$201,$A848)&gt;0,"Yes","NOT IN INVENTORY"))</f>
        <v/>
      </c>
    </row>
    <row r="849" customFormat="false" ht="15" hidden="false" customHeight="false" outlineLevel="0" collapsed="false">
      <c r="A849" s="46"/>
      <c r="B849" s="47"/>
      <c r="C849" s="47"/>
      <c r="D849" s="46"/>
      <c r="E849" s="47"/>
      <c r="F849" s="47"/>
      <c r="G849" s="47"/>
      <c r="H849" s="46"/>
      <c r="I849" s="47"/>
      <c r="J849" s="47"/>
      <c r="K849" s="47"/>
      <c r="L849" s="47"/>
      <c r="M849" s="47"/>
      <c r="N849" s="47"/>
      <c r="O849" s="47"/>
      <c r="P849" s="45" t="str">
        <f aca="false">IF($A849="","",IF(COUNTIF(Accounts!$C$2:$C$201,$A849)+COUNTIF('Service Principals'!$C$2:$C$201,$A849)+COUNTIF('Managed Identities'!$C$2:$C$201,$A849)&gt;0,"Yes","NOT IN INVENTORY"))</f>
        <v/>
      </c>
    </row>
    <row r="850" customFormat="false" ht="15" hidden="false" customHeight="false" outlineLevel="0" collapsed="false">
      <c r="A850" s="46"/>
      <c r="B850" s="47"/>
      <c r="C850" s="47"/>
      <c r="D850" s="46"/>
      <c r="E850" s="47"/>
      <c r="F850" s="47"/>
      <c r="G850" s="47"/>
      <c r="H850" s="46"/>
      <c r="I850" s="47"/>
      <c r="J850" s="47"/>
      <c r="K850" s="47"/>
      <c r="L850" s="47"/>
      <c r="M850" s="47"/>
      <c r="N850" s="47"/>
      <c r="O850" s="47"/>
      <c r="P850" s="45" t="str">
        <f aca="false">IF($A850="","",IF(COUNTIF(Accounts!$C$2:$C$201,$A850)+COUNTIF('Service Principals'!$C$2:$C$201,$A850)+COUNTIF('Managed Identities'!$C$2:$C$201,$A850)&gt;0,"Yes","NOT IN INVENTORY"))</f>
        <v/>
      </c>
    </row>
    <row r="851" customFormat="false" ht="15" hidden="false" customHeight="false" outlineLevel="0" collapsed="false">
      <c r="A851" s="46"/>
      <c r="B851" s="47"/>
      <c r="C851" s="47"/>
      <c r="D851" s="46"/>
      <c r="E851" s="47"/>
      <c r="F851" s="47"/>
      <c r="G851" s="47"/>
      <c r="H851" s="46"/>
      <c r="I851" s="47"/>
      <c r="J851" s="47"/>
      <c r="K851" s="47"/>
      <c r="L851" s="47"/>
      <c r="M851" s="47"/>
      <c r="N851" s="47"/>
      <c r="O851" s="47"/>
      <c r="P851" s="45" t="str">
        <f aca="false">IF($A851="","",IF(COUNTIF(Accounts!$C$2:$C$201,$A851)+COUNTIF('Service Principals'!$C$2:$C$201,$A851)+COUNTIF('Managed Identities'!$C$2:$C$201,$A851)&gt;0,"Yes","NOT IN INVENTORY"))</f>
        <v/>
      </c>
    </row>
    <row r="852" customFormat="false" ht="15" hidden="false" customHeight="false" outlineLevel="0" collapsed="false">
      <c r="A852" s="46"/>
      <c r="B852" s="47"/>
      <c r="C852" s="47"/>
      <c r="D852" s="46"/>
      <c r="E852" s="47"/>
      <c r="F852" s="47"/>
      <c r="G852" s="47"/>
      <c r="H852" s="46"/>
      <c r="I852" s="47"/>
      <c r="J852" s="47"/>
      <c r="K852" s="47"/>
      <c r="L852" s="47"/>
      <c r="M852" s="47"/>
      <c r="N852" s="47"/>
      <c r="O852" s="47"/>
      <c r="P852" s="45" t="str">
        <f aca="false">IF($A852="","",IF(COUNTIF(Accounts!$C$2:$C$201,$A852)+COUNTIF('Service Principals'!$C$2:$C$201,$A852)+COUNTIF('Managed Identities'!$C$2:$C$201,$A852)&gt;0,"Yes","NOT IN INVENTORY"))</f>
        <v/>
      </c>
    </row>
    <row r="853" customFormat="false" ht="15" hidden="false" customHeight="false" outlineLevel="0" collapsed="false">
      <c r="A853" s="46"/>
      <c r="B853" s="47"/>
      <c r="C853" s="47"/>
      <c r="D853" s="46"/>
      <c r="E853" s="47"/>
      <c r="F853" s="47"/>
      <c r="G853" s="47"/>
      <c r="H853" s="46"/>
      <c r="I853" s="47"/>
      <c r="J853" s="47"/>
      <c r="K853" s="47"/>
      <c r="L853" s="47"/>
      <c r="M853" s="47"/>
      <c r="N853" s="47"/>
      <c r="O853" s="47"/>
      <c r="P853" s="45" t="str">
        <f aca="false">IF($A853="","",IF(COUNTIF(Accounts!$C$2:$C$201,$A853)+COUNTIF('Service Principals'!$C$2:$C$201,$A853)+COUNTIF('Managed Identities'!$C$2:$C$201,$A853)&gt;0,"Yes","NOT IN INVENTORY"))</f>
        <v/>
      </c>
    </row>
    <row r="854" customFormat="false" ht="15" hidden="false" customHeight="false" outlineLevel="0" collapsed="false">
      <c r="A854" s="46"/>
      <c r="B854" s="47"/>
      <c r="C854" s="47"/>
      <c r="D854" s="46"/>
      <c r="E854" s="47"/>
      <c r="F854" s="47"/>
      <c r="G854" s="47"/>
      <c r="H854" s="46"/>
      <c r="I854" s="47"/>
      <c r="J854" s="47"/>
      <c r="K854" s="47"/>
      <c r="L854" s="47"/>
      <c r="M854" s="47"/>
      <c r="N854" s="47"/>
      <c r="O854" s="47"/>
      <c r="P854" s="45" t="str">
        <f aca="false">IF($A854="","",IF(COUNTIF(Accounts!$C$2:$C$201,$A854)+COUNTIF('Service Principals'!$C$2:$C$201,$A854)+COUNTIF('Managed Identities'!$C$2:$C$201,$A854)&gt;0,"Yes","NOT IN INVENTORY"))</f>
        <v/>
      </c>
    </row>
    <row r="855" customFormat="false" ht="15" hidden="false" customHeight="false" outlineLevel="0" collapsed="false">
      <c r="A855" s="46"/>
      <c r="B855" s="47"/>
      <c r="C855" s="47"/>
      <c r="D855" s="46"/>
      <c r="E855" s="47"/>
      <c r="F855" s="47"/>
      <c r="G855" s="47"/>
      <c r="H855" s="46"/>
      <c r="I855" s="47"/>
      <c r="J855" s="47"/>
      <c r="K855" s="47"/>
      <c r="L855" s="47"/>
      <c r="M855" s="47"/>
      <c r="N855" s="47"/>
      <c r="O855" s="47"/>
      <c r="P855" s="45" t="str">
        <f aca="false">IF($A855="","",IF(COUNTIF(Accounts!$C$2:$C$201,$A855)+COUNTIF('Service Principals'!$C$2:$C$201,$A855)+COUNTIF('Managed Identities'!$C$2:$C$201,$A855)&gt;0,"Yes","NOT IN INVENTORY"))</f>
        <v/>
      </c>
    </row>
    <row r="856" customFormat="false" ht="15" hidden="false" customHeight="false" outlineLevel="0" collapsed="false">
      <c r="A856" s="46"/>
      <c r="B856" s="47"/>
      <c r="C856" s="47"/>
      <c r="D856" s="46"/>
      <c r="E856" s="47"/>
      <c r="F856" s="47"/>
      <c r="G856" s="47"/>
      <c r="H856" s="46"/>
      <c r="I856" s="47"/>
      <c r="J856" s="47"/>
      <c r="K856" s="47"/>
      <c r="L856" s="47"/>
      <c r="M856" s="47"/>
      <c r="N856" s="47"/>
      <c r="O856" s="47"/>
      <c r="P856" s="45" t="str">
        <f aca="false">IF($A856="","",IF(COUNTIF(Accounts!$C$2:$C$201,$A856)+COUNTIF('Service Principals'!$C$2:$C$201,$A856)+COUNTIF('Managed Identities'!$C$2:$C$201,$A856)&gt;0,"Yes","NOT IN INVENTORY"))</f>
        <v/>
      </c>
    </row>
    <row r="857" customFormat="false" ht="15" hidden="false" customHeight="false" outlineLevel="0" collapsed="false">
      <c r="A857" s="46"/>
      <c r="B857" s="47"/>
      <c r="C857" s="47"/>
      <c r="D857" s="46"/>
      <c r="E857" s="47"/>
      <c r="F857" s="47"/>
      <c r="G857" s="47"/>
      <c r="H857" s="46"/>
      <c r="I857" s="47"/>
      <c r="J857" s="47"/>
      <c r="K857" s="47"/>
      <c r="L857" s="47"/>
      <c r="M857" s="47"/>
      <c r="N857" s="47"/>
      <c r="O857" s="47"/>
      <c r="P857" s="45" t="str">
        <f aca="false">IF($A857="","",IF(COUNTIF(Accounts!$C$2:$C$201,$A857)+COUNTIF('Service Principals'!$C$2:$C$201,$A857)+COUNTIF('Managed Identities'!$C$2:$C$201,$A857)&gt;0,"Yes","NOT IN INVENTORY"))</f>
        <v/>
      </c>
    </row>
    <row r="858" customFormat="false" ht="15" hidden="false" customHeight="false" outlineLevel="0" collapsed="false">
      <c r="A858" s="46"/>
      <c r="B858" s="47"/>
      <c r="C858" s="47"/>
      <c r="D858" s="46"/>
      <c r="E858" s="47"/>
      <c r="F858" s="47"/>
      <c r="G858" s="47"/>
      <c r="H858" s="46"/>
      <c r="I858" s="47"/>
      <c r="J858" s="47"/>
      <c r="K858" s="47"/>
      <c r="L858" s="47"/>
      <c r="M858" s="47"/>
      <c r="N858" s="47"/>
      <c r="O858" s="47"/>
      <c r="P858" s="45" t="str">
        <f aca="false">IF($A858="","",IF(COUNTIF(Accounts!$C$2:$C$201,$A858)+COUNTIF('Service Principals'!$C$2:$C$201,$A858)+COUNTIF('Managed Identities'!$C$2:$C$201,$A858)&gt;0,"Yes","NOT IN INVENTORY"))</f>
        <v/>
      </c>
    </row>
    <row r="859" customFormat="false" ht="15" hidden="false" customHeight="false" outlineLevel="0" collapsed="false">
      <c r="A859" s="46"/>
      <c r="B859" s="47"/>
      <c r="C859" s="47"/>
      <c r="D859" s="46"/>
      <c r="E859" s="47"/>
      <c r="F859" s="47"/>
      <c r="G859" s="47"/>
      <c r="H859" s="46"/>
      <c r="I859" s="47"/>
      <c r="J859" s="47"/>
      <c r="K859" s="47"/>
      <c r="L859" s="47"/>
      <c r="M859" s="47"/>
      <c r="N859" s="47"/>
      <c r="O859" s="47"/>
      <c r="P859" s="45" t="str">
        <f aca="false">IF($A859="","",IF(COUNTIF(Accounts!$C$2:$C$201,$A859)+COUNTIF('Service Principals'!$C$2:$C$201,$A859)+COUNTIF('Managed Identities'!$C$2:$C$201,$A859)&gt;0,"Yes","NOT IN INVENTORY"))</f>
        <v/>
      </c>
    </row>
    <row r="860" customFormat="false" ht="15" hidden="false" customHeight="false" outlineLevel="0" collapsed="false">
      <c r="A860" s="46"/>
      <c r="B860" s="47"/>
      <c r="C860" s="47"/>
      <c r="D860" s="46"/>
      <c r="E860" s="47"/>
      <c r="F860" s="47"/>
      <c r="G860" s="47"/>
      <c r="H860" s="46"/>
      <c r="I860" s="47"/>
      <c r="J860" s="47"/>
      <c r="K860" s="47"/>
      <c r="L860" s="47"/>
      <c r="M860" s="47"/>
      <c r="N860" s="47"/>
      <c r="O860" s="47"/>
      <c r="P860" s="45" t="str">
        <f aca="false">IF($A860="","",IF(COUNTIF(Accounts!$C$2:$C$201,$A860)+COUNTIF('Service Principals'!$C$2:$C$201,$A860)+COUNTIF('Managed Identities'!$C$2:$C$201,$A860)&gt;0,"Yes","NOT IN INVENTORY"))</f>
        <v/>
      </c>
    </row>
    <row r="861" customFormat="false" ht="15" hidden="false" customHeight="false" outlineLevel="0" collapsed="false">
      <c r="A861" s="46"/>
      <c r="B861" s="47"/>
      <c r="C861" s="47"/>
      <c r="D861" s="46"/>
      <c r="E861" s="47"/>
      <c r="F861" s="47"/>
      <c r="G861" s="47"/>
      <c r="H861" s="46"/>
      <c r="I861" s="47"/>
      <c r="J861" s="47"/>
      <c r="K861" s="47"/>
      <c r="L861" s="47"/>
      <c r="M861" s="47"/>
      <c r="N861" s="47"/>
      <c r="O861" s="47"/>
      <c r="P861" s="45" t="str">
        <f aca="false">IF($A861="","",IF(COUNTIF(Accounts!$C$2:$C$201,$A861)+COUNTIF('Service Principals'!$C$2:$C$201,$A861)+COUNTIF('Managed Identities'!$C$2:$C$201,$A861)&gt;0,"Yes","NOT IN INVENTORY"))</f>
        <v/>
      </c>
    </row>
    <row r="862" customFormat="false" ht="15" hidden="false" customHeight="false" outlineLevel="0" collapsed="false">
      <c r="A862" s="46"/>
      <c r="B862" s="47"/>
      <c r="C862" s="47"/>
      <c r="D862" s="46"/>
      <c r="E862" s="47"/>
      <c r="F862" s="47"/>
      <c r="G862" s="47"/>
      <c r="H862" s="46"/>
      <c r="I862" s="47"/>
      <c r="J862" s="47"/>
      <c r="K862" s="47"/>
      <c r="L862" s="47"/>
      <c r="M862" s="47"/>
      <c r="N862" s="47"/>
      <c r="O862" s="47"/>
      <c r="P862" s="45" t="str">
        <f aca="false">IF($A862="","",IF(COUNTIF(Accounts!$C$2:$C$201,$A862)+COUNTIF('Service Principals'!$C$2:$C$201,$A862)+COUNTIF('Managed Identities'!$C$2:$C$201,$A862)&gt;0,"Yes","NOT IN INVENTORY"))</f>
        <v/>
      </c>
    </row>
    <row r="863" customFormat="false" ht="15" hidden="false" customHeight="false" outlineLevel="0" collapsed="false">
      <c r="A863" s="46"/>
      <c r="B863" s="47"/>
      <c r="C863" s="47"/>
      <c r="D863" s="46"/>
      <c r="E863" s="47"/>
      <c r="F863" s="47"/>
      <c r="G863" s="47"/>
      <c r="H863" s="46"/>
      <c r="I863" s="47"/>
      <c r="J863" s="47"/>
      <c r="K863" s="47"/>
      <c r="L863" s="47"/>
      <c r="M863" s="47"/>
      <c r="N863" s="47"/>
      <c r="O863" s="47"/>
      <c r="P863" s="45" t="str">
        <f aca="false">IF($A863="","",IF(COUNTIF(Accounts!$C$2:$C$201,$A863)+COUNTIF('Service Principals'!$C$2:$C$201,$A863)+COUNTIF('Managed Identities'!$C$2:$C$201,$A863)&gt;0,"Yes","NOT IN INVENTORY"))</f>
        <v/>
      </c>
    </row>
    <row r="864" customFormat="false" ht="15" hidden="false" customHeight="false" outlineLevel="0" collapsed="false">
      <c r="A864" s="46"/>
      <c r="B864" s="47"/>
      <c r="C864" s="47"/>
      <c r="D864" s="46"/>
      <c r="E864" s="47"/>
      <c r="F864" s="47"/>
      <c r="G864" s="47"/>
      <c r="H864" s="46"/>
      <c r="I864" s="47"/>
      <c r="J864" s="47"/>
      <c r="K864" s="47"/>
      <c r="L864" s="47"/>
      <c r="M864" s="47"/>
      <c r="N864" s="47"/>
      <c r="O864" s="47"/>
      <c r="P864" s="45" t="str">
        <f aca="false">IF($A864="","",IF(COUNTIF(Accounts!$C$2:$C$201,$A864)+COUNTIF('Service Principals'!$C$2:$C$201,$A864)+COUNTIF('Managed Identities'!$C$2:$C$201,$A864)&gt;0,"Yes","NOT IN INVENTORY"))</f>
        <v/>
      </c>
    </row>
    <row r="865" customFormat="false" ht="15" hidden="false" customHeight="false" outlineLevel="0" collapsed="false">
      <c r="A865" s="46"/>
      <c r="B865" s="47"/>
      <c r="C865" s="47"/>
      <c r="D865" s="46"/>
      <c r="E865" s="47"/>
      <c r="F865" s="47"/>
      <c r="G865" s="47"/>
      <c r="H865" s="46"/>
      <c r="I865" s="47"/>
      <c r="J865" s="47"/>
      <c r="K865" s="47"/>
      <c r="L865" s="47"/>
      <c r="M865" s="47"/>
      <c r="N865" s="47"/>
      <c r="O865" s="47"/>
      <c r="P865" s="45" t="str">
        <f aca="false">IF($A865="","",IF(COUNTIF(Accounts!$C$2:$C$201,$A865)+COUNTIF('Service Principals'!$C$2:$C$201,$A865)+COUNTIF('Managed Identities'!$C$2:$C$201,$A865)&gt;0,"Yes","NOT IN INVENTORY"))</f>
        <v/>
      </c>
    </row>
    <row r="866" customFormat="false" ht="15" hidden="false" customHeight="false" outlineLevel="0" collapsed="false">
      <c r="A866" s="46"/>
      <c r="B866" s="47"/>
      <c r="C866" s="47"/>
      <c r="D866" s="46"/>
      <c r="E866" s="47"/>
      <c r="F866" s="47"/>
      <c r="G866" s="47"/>
      <c r="H866" s="46"/>
      <c r="I866" s="47"/>
      <c r="J866" s="47"/>
      <c r="K866" s="47"/>
      <c r="L866" s="47"/>
      <c r="M866" s="47"/>
      <c r="N866" s="47"/>
      <c r="O866" s="47"/>
      <c r="P866" s="45" t="str">
        <f aca="false">IF($A866="","",IF(COUNTIF(Accounts!$C$2:$C$201,$A866)+COUNTIF('Service Principals'!$C$2:$C$201,$A866)+COUNTIF('Managed Identities'!$C$2:$C$201,$A866)&gt;0,"Yes","NOT IN INVENTORY"))</f>
        <v/>
      </c>
    </row>
    <row r="867" customFormat="false" ht="15" hidden="false" customHeight="false" outlineLevel="0" collapsed="false">
      <c r="A867" s="46"/>
      <c r="B867" s="47"/>
      <c r="C867" s="47"/>
      <c r="D867" s="46"/>
      <c r="E867" s="47"/>
      <c r="F867" s="47"/>
      <c r="G867" s="47"/>
      <c r="H867" s="46"/>
      <c r="I867" s="47"/>
      <c r="J867" s="47"/>
      <c r="K867" s="47"/>
      <c r="L867" s="47"/>
      <c r="M867" s="47"/>
      <c r="N867" s="47"/>
      <c r="O867" s="47"/>
      <c r="P867" s="45" t="str">
        <f aca="false">IF($A867="","",IF(COUNTIF(Accounts!$C$2:$C$201,$A867)+COUNTIF('Service Principals'!$C$2:$C$201,$A867)+COUNTIF('Managed Identities'!$C$2:$C$201,$A867)&gt;0,"Yes","NOT IN INVENTORY"))</f>
        <v/>
      </c>
    </row>
    <row r="868" customFormat="false" ht="15" hidden="false" customHeight="false" outlineLevel="0" collapsed="false">
      <c r="A868" s="46"/>
      <c r="B868" s="47"/>
      <c r="C868" s="47"/>
      <c r="D868" s="46"/>
      <c r="E868" s="47"/>
      <c r="F868" s="47"/>
      <c r="G868" s="47"/>
      <c r="H868" s="46"/>
      <c r="I868" s="47"/>
      <c r="J868" s="47"/>
      <c r="K868" s="47"/>
      <c r="L868" s="47"/>
      <c r="M868" s="47"/>
      <c r="N868" s="47"/>
      <c r="O868" s="47"/>
      <c r="P868" s="45" t="str">
        <f aca="false">IF($A868="","",IF(COUNTIF(Accounts!$C$2:$C$201,$A868)+COUNTIF('Service Principals'!$C$2:$C$201,$A868)+COUNTIF('Managed Identities'!$C$2:$C$201,$A868)&gt;0,"Yes","NOT IN INVENTORY"))</f>
        <v/>
      </c>
    </row>
    <row r="869" customFormat="false" ht="15" hidden="false" customHeight="false" outlineLevel="0" collapsed="false">
      <c r="A869" s="46"/>
      <c r="B869" s="47"/>
      <c r="C869" s="47"/>
      <c r="D869" s="46"/>
      <c r="E869" s="47"/>
      <c r="F869" s="47"/>
      <c r="G869" s="47"/>
      <c r="H869" s="46"/>
      <c r="I869" s="47"/>
      <c r="J869" s="47"/>
      <c r="K869" s="47"/>
      <c r="L869" s="47"/>
      <c r="M869" s="47"/>
      <c r="N869" s="47"/>
      <c r="O869" s="47"/>
      <c r="P869" s="45" t="str">
        <f aca="false">IF($A869="","",IF(COUNTIF(Accounts!$C$2:$C$201,$A869)+COUNTIF('Service Principals'!$C$2:$C$201,$A869)+COUNTIF('Managed Identities'!$C$2:$C$201,$A869)&gt;0,"Yes","NOT IN INVENTORY"))</f>
        <v/>
      </c>
    </row>
    <row r="870" customFormat="false" ht="15" hidden="false" customHeight="false" outlineLevel="0" collapsed="false">
      <c r="A870" s="46"/>
      <c r="B870" s="47"/>
      <c r="C870" s="47"/>
      <c r="D870" s="46"/>
      <c r="E870" s="47"/>
      <c r="F870" s="47"/>
      <c r="G870" s="47"/>
      <c r="H870" s="46"/>
      <c r="I870" s="47"/>
      <c r="J870" s="47"/>
      <c r="K870" s="47"/>
      <c r="L870" s="47"/>
      <c r="M870" s="47"/>
      <c r="N870" s="47"/>
      <c r="O870" s="47"/>
      <c r="P870" s="45" t="str">
        <f aca="false">IF($A870="","",IF(COUNTIF(Accounts!$C$2:$C$201,$A870)+COUNTIF('Service Principals'!$C$2:$C$201,$A870)+COUNTIF('Managed Identities'!$C$2:$C$201,$A870)&gt;0,"Yes","NOT IN INVENTORY"))</f>
        <v/>
      </c>
    </row>
    <row r="871" customFormat="false" ht="15" hidden="false" customHeight="false" outlineLevel="0" collapsed="false">
      <c r="A871" s="46"/>
      <c r="B871" s="47"/>
      <c r="C871" s="47"/>
      <c r="D871" s="46"/>
      <c r="E871" s="47"/>
      <c r="F871" s="47"/>
      <c r="G871" s="47"/>
      <c r="H871" s="46"/>
      <c r="I871" s="47"/>
      <c r="J871" s="47"/>
      <c r="K871" s="47"/>
      <c r="L871" s="47"/>
      <c r="M871" s="47"/>
      <c r="N871" s="47"/>
      <c r="O871" s="47"/>
      <c r="P871" s="45" t="str">
        <f aca="false">IF($A871="","",IF(COUNTIF(Accounts!$C$2:$C$201,$A871)+COUNTIF('Service Principals'!$C$2:$C$201,$A871)+COUNTIF('Managed Identities'!$C$2:$C$201,$A871)&gt;0,"Yes","NOT IN INVENTORY"))</f>
        <v/>
      </c>
    </row>
    <row r="872" customFormat="false" ht="15" hidden="false" customHeight="false" outlineLevel="0" collapsed="false">
      <c r="A872" s="46"/>
      <c r="B872" s="47"/>
      <c r="C872" s="47"/>
      <c r="D872" s="46"/>
      <c r="E872" s="47"/>
      <c r="F872" s="47"/>
      <c r="G872" s="47"/>
      <c r="H872" s="46"/>
      <c r="I872" s="47"/>
      <c r="J872" s="47"/>
      <c r="K872" s="47"/>
      <c r="L872" s="47"/>
      <c r="M872" s="47"/>
      <c r="N872" s="47"/>
      <c r="O872" s="47"/>
      <c r="P872" s="45" t="str">
        <f aca="false">IF($A872="","",IF(COUNTIF(Accounts!$C$2:$C$201,$A872)+COUNTIF('Service Principals'!$C$2:$C$201,$A872)+COUNTIF('Managed Identities'!$C$2:$C$201,$A872)&gt;0,"Yes","NOT IN INVENTORY"))</f>
        <v/>
      </c>
    </row>
    <row r="873" customFormat="false" ht="15" hidden="false" customHeight="false" outlineLevel="0" collapsed="false">
      <c r="A873" s="46"/>
      <c r="B873" s="47"/>
      <c r="C873" s="47"/>
      <c r="D873" s="46"/>
      <c r="E873" s="47"/>
      <c r="F873" s="47"/>
      <c r="G873" s="47"/>
      <c r="H873" s="46"/>
      <c r="I873" s="47"/>
      <c r="J873" s="47"/>
      <c r="K873" s="47"/>
      <c r="L873" s="47"/>
      <c r="M873" s="47"/>
      <c r="N873" s="47"/>
      <c r="O873" s="47"/>
      <c r="P873" s="45" t="str">
        <f aca="false">IF($A873="","",IF(COUNTIF(Accounts!$C$2:$C$201,$A873)+COUNTIF('Service Principals'!$C$2:$C$201,$A873)+COUNTIF('Managed Identities'!$C$2:$C$201,$A873)&gt;0,"Yes","NOT IN INVENTORY"))</f>
        <v/>
      </c>
    </row>
    <row r="874" customFormat="false" ht="15" hidden="false" customHeight="false" outlineLevel="0" collapsed="false">
      <c r="A874" s="46"/>
      <c r="B874" s="47"/>
      <c r="C874" s="47"/>
      <c r="D874" s="46"/>
      <c r="E874" s="47"/>
      <c r="F874" s="47"/>
      <c r="G874" s="47"/>
      <c r="H874" s="46"/>
      <c r="I874" s="47"/>
      <c r="J874" s="47"/>
      <c r="K874" s="47"/>
      <c r="L874" s="47"/>
      <c r="M874" s="47"/>
      <c r="N874" s="47"/>
      <c r="O874" s="47"/>
      <c r="P874" s="45" t="str">
        <f aca="false">IF($A874="","",IF(COUNTIF(Accounts!$C$2:$C$201,$A874)+COUNTIF('Service Principals'!$C$2:$C$201,$A874)+COUNTIF('Managed Identities'!$C$2:$C$201,$A874)&gt;0,"Yes","NOT IN INVENTORY"))</f>
        <v/>
      </c>
    </row>
    <row r="875" customFormat="false" ht="15" hidden="false" customHeight="false" outlineLevel="0" collapsed="false">
      <c r="A875" s="46"/>
      <c r="B875" s="47"/>
      <c r="C875" s="47"/>
      <c r="D875" s="46"/>
      <c r="E875" s="47"/>
      <c r="F875" s="47"/>
      <c r="G875" s="47"/>
      <c r="H875" s="46"/>
      <c r="I875" s="47"/>
      <c r="J875" s="47"/>
      <c r="K875" s="47"/>
      <c r="L875" s="47"/>
      <c r="M875" s="47"/>
      <c r="N875" s="47"/>
      <c r="O875" s="47"/>
      <c r="P875" s="45" t="str">
        <f aca="false">IF($A875="","",IF(COUNTIF(Accounts!$C$2:$C$201,$A875)+COUNTIF('Service Principals'!$C$2:$C$201,$A875)+COUNTIF('Managed Identities'!$C$2:$C$201,$A875)&gt;0,"Yes","NOT IN INVENTORY"))</f>
        <v/>
      </c>
    </row>
    <row r="876" customFormat="false" ht="15" hidden="false" customHeight="false" outlineLevel="0" collapsed="false">
      <c r="A876" s="46"/>
      <c r="B876" s="47"/>
      <c r="C876" s="47"/>
      <c r="D876" s="46"/>
      <c r="E876" s="47"/>
      <c r="F876" s="47"/>
      <c r="G876" s="47"/>
      <c r="H876" s="46"/>
      <c r="I876" s="47"/>
      <c r="J876" s="47"/>
      <c r="K876" s="47"/>
      <c r="L876" s="47"/>
      <c r="M876" s="47"/>
      <c r="N876" s="47"/>
      <c r="O876" s="47"/>
      <c r="P876" s="45" t="str">
        <f aca="false">IF($A876="","",IF(COUNTIF(Accounts!$C$2:$C$201,$A876)+COUNTIF('Service Principals'!$C$2:$C$201,$A876)+COUNTIF('Managed Identities'!$C$2:$C$201,$A876)&gt;0,"Yes","NOT IN INVENTORY"))</f>
        <v/>
      </c>
    </row>
    <row r="877" customFormat="false" ht="15" hidden="false" customHeight="false" outlineLevel="0" collapsed="false">
      <c r="A877" s="46"/>
      <c r="B877" s="47"/>
      <c r="C877" s="47"/>
      <c r="D877" s="46"/>
      <c r="E877" s="47"/>
      <c r="F877" s="47"/>
      <c r="G877" s="47"/>
      <c r="H877" s="46"/>
      <c r="I877" s="47"/>
      <c r="J877" s="47"/>
      <c r="K877" s="47"/>
      <c r="L877" s="47"/>
      <c r="M877" s="47"/>
      <c r="N877" s="47"/>
      <c r="O877" s="47"/>
      <c r="P877" s="45" t="str">
        <f aca="false">IF($A877="","",IF(COUNTIF(Accounts!$C$2:$C$201,$A877)+COUNTIF('Service Principals'!$C$2:$C$201,$A877)+COUNTIF('Managed Identities'!$C$2:$C$201,$A877)&gt;0,"Yes","NOT IN INVENTORY"))</f>
        <v/>
      </c>
    </row>
    <row r="878" customFormat="false" ht="15" hidden="false" customHeight="false" outlineLevel="0" collapsed="false">
      <c r="A878" s="46"/>
      <c r="B878" s="47"/>
      <c r="C878" s="47"/>
      <c r="D878" s="46"/>
      <c r="E878" s="47"/>
      <c r="F878" s="47"/>
      <c r="G878" s="47"/>
      <c r="H878" s="46"/>
      <c r="I878" s="47"/>
      <c r="J878" s="47"/>
      <c r="K878" s="47"/>
      <c r="L878" s="47"/>
      <c r="M878" s="47"/>
      <c r="N878" s="47"/>
      <c r="O878" s="47"/>
      <c r="P878" s="45" t="str">
        <f aca="false">IF($A878="","",IF(COUNTIF(Accounts!$C$2:$C$201,$A878)+COUNTIF('Service Principals'!$C$2:$C$201,$A878)+COUNTIF('Managed Identities'!$C$2:$C$201,$A878)&gt;0,"Yes","NOT IN INVENTORY"))</f>
        <v/>
      </c>
    </row>
    <row r="879" customFormat="false" ht="15" hidden="false" customHeight="false" outlineLevel="0" collapsed="false">
      <c r="A879" s="46"/>
      <c r="B879" s="47"/>
      <c r="C879" s="47"/>
      <c r="D879" s="46"/>
      <c r="E879" s="47"/>
      <c r="F879" s="47"/>
      <c r="G879" s="47"/>
      <c r="H879" s="46"/>
      <c r="I879" s="47"/>
      <c r="J879" s="47"/>
      <c r="K879" s="47"/>
      <c r="L879" s="47"/>
      <c r="M879" s="47"/>
      <c r="N879" s="47"/>
      <c r="O879" s="47"/>
      <c r="P879" s="45" t="str">
        <f aca="false">IF($A879="","",IF(COUNTIF(Accounts!$C$2:$C$201,$A879)+COUNTIF('Service Principals'!$C$2:$C$201,$A879)+COUNTIF('Managed Identities'!$C$2:$C$201,$A879)&gt;0,"Yes","NOT IN INVENTORY"))</f>
        <v/>
      </c>
    </row>
    <row r="880" customFormat="false" ht="15" hidden="false" customHeight="false" outlineLevel="0" collapsed="false">
      <c r="A880" s="46"/>
      <c r="B880" s="47"/>
      <c r="C880" s="47"/>
      <c r="D880" s="46"/>
      <c r="E880" s="47"/>
      <c r="F880" s="47"/>
      <c r="G880" s="47"/>
      <c r="H880" s="46"/>
      <c r="I880" s="47"/>
      <c r="J880" s="47"/>
      <c r="K880" s="47"/>
      <c r="L880" s="47"/>
      <c r="M880" s="47"/>
      <c r="N880" s="47"/>
      <c r="O880" s="47"/>
      <c r="P880" s="45" t="str">
        <f aca="false">IF($A880="","",IF(COUNTIF(Accounts!$C$2:$C$201,$A880)+COUNTIF('Service Principals'!$C$2:$C$201,$A880)+COUNTIF('Managed Identities'!$C$2:$C$201,$A880)&gt;0,"Yes","NOT IN INVENTORY"))</f>
        <v/>
      </c>
    </row>
    <row r="881" customFormat="false" ht="15" hidden="false" customHeight="false" outlineLevel="0" collapsed="false">
      <c r="A881" s="46"/>
      <c r="B881" s="47"/>
      <c r="C881" s="47"/>
      <c r="D881" s="46"/>
      <c r="E881" s="47"/>
      <c r="F881" s="47"/>
      <c r="G881" s="47"/>
      <c r="H881" s="46"/>
      <c r="I881" s="47"/>
      <c r="J881" s="47"/>
      <c r="K881" s="47"/>
      <c r="L881" s="47"/>
      <c r="M881" s="47"/>
      <c r="N881" s="47"/>
      <c r="O881" s="47"/>
      <c r="P881" s="45" t="str">
        <f aca="false">IF($A881="","",IF(COUNTIF(Accounts!$C$2:$C$201,$A881)+COUNTIF('Service Principals'!$C$2:$C$201,$A881)+COUNTIF('Managed Identities'!$C$2:$C$201,$A881)&gt;0,"Yes","NOT IN INVENTORY"))</f>
        <v/>
      </c>
    </row>
    <row r="882" customFormat="false" ht="15" hidden="false" customHeight="false" outlineLevel="0" collapsed="false">
      <c r="A882" s="46"/>
      <c r="B882" s="47"/>
      <c r="C882" s="47"/>
      <c r="D882" s="46"/>
      <c r="E882" s="47"/>
      <c r="F882" s="47"/>
      <c r="G882" s="47"/>
      <c r="H882" s="46"/>
      <c r="I882" s="47"/>
      <c r="J882" s="47"/>
      <c r="K882" s="47"/>
      <c r="L882" s="47"/>
      <c r="M882" s="47"/>
      <c r="N882" s="47"/>
      <c r="O882" s="47"/>
      <c r="P882" s="45" t="str">
        <f aca="false">IF($A882="","",IF(COUNTIF(Accounts!$C$2:$C$201,$A882)+COUNTIF('Service Principals'!$C$2:$C$201,$A882)+COUNTIF('Managed Identities'!$C$2:$C$201,$A882)&gt;0,"Yes","NOT IN INVENTORY"))</f>
        <v/>
      </c>
    </row>
    <row r="883" customFormat="false" ht="15" hidden="false" customHeight="false" outlineLevel="0" collapsed="false">
      <c r="A883" s="46"/>
      <c r="B883" s="47"/>
      <c r="C883" s="47"/>
      <c r="D883" s="46"/>
      <c r="E883" s="47"/>
      <c r="F883" s="47"/>
      <c r="G883" s="47"/>
      <c r="H883" s="46"/>
      <c r="I883" s="47"/>
      <c r="J883" s="47"/>
      <c r="K883" s="47"/>
      <c r="L883" s="47"/>
      <c r="M883" s="47"/>
      <c r="N883" s="47"/>
      <c r="O883" s="47"/>
      <c r="P883" s="45" t="str">
        <f aca="false">IF($A883="","",IF(COUNTIF(Accounts!$C$2:$C$201,$A883)+COUNTIF('Service Principals'!$C$2:$C$201,$A883)+COUNTIF('Managed Identities'!$C$2:$C$201,$A883)&gt;0,"Yes","NOT IN INVENTORY"))</f>
        <v/>
      </c>
    </row>
    <row r="884" customFormat="false" ht="15" hidden="false" customHeight="false" outlineLevel="0" collapsed="false">
      <c r="A884" s="46"/>
      <c r="B884" s="47"/>
      <c r="C884" s="47"/>
      <c r="D884" s="46"/>
      <c r="E884" s="47"/>
      <c r="F884" s="47"/>
      <c r="G884" s="47"/>
      <c r="H884" s="46"/>
      <c r="I884" s="47"/>
      <c r="J884" s="47"/>
      <c r="K884" s="47"/>
      <c r="L884" s="47"/>
      <c r="M884" s="47"/>
      <c r="N884" s="47"/>
      <c r="O884" s="47"/>
      <c r="P884" s="45" t="str">
        <f aca="false">IF($A884="","",IF(COUNTIF(Accounts!$C$2:$C$201,$A884)+COUNTIF('Service Principals'!$C$2:$C$201,$A884)+COUNTIF('Managed Identities'!$C$2:$C$201,$A884)&gt;0,"Yes","NOT IN INVENTORY"))</f>
        <v/>
      </c>
    </row>
    <row r="885" customFormat="false" ht="15" hidden="false" customHeight="false" outlineLevel="0" collapsed="false">
      <c r="A885" s="46"/>
      <c r="B885" s="47"/>
      <c r="C885" s="47"/>
      <c r="D885" s="46"/>
      <c r="E885" s="47"/>
      <c r="F885" s="47"/>
      <c r="G885" s="47"/>
      <c r="H885" s="46"/>
      <c r="I885" s="47"/>
      <c r="J885" s="47"/>
      <c r="K885" s="47"/>
      <c r="L885" s="47"/>
      <c r="M885" s="47"/>
      <c r="N885" s="47"/>
      <c r="O885" s="47"/>
      <c r="P885" s="45" t="str">
        <f aca="false">IF($A885="","",IF(COUNTIF(Accounts!$C$2:$C$201,$A885)+COUNTIF('Service Principals'!$C$2:$C$201,$A885)+COUNTIF('Managed Identities'!$C$2:$C$201,$A885)&gt;0,"Yes","NOT IN INVENTORY"))</f>
        <v/>
      </c>
    </row>
    <row r="886" customFormat="false" ht="15" hidden="false" customHeight="false" outlineLevel="0" collapsed="false">
      <c r="A886" s="46"/>
      <c r="B886" s="47"/>
      <c r="C886" s="47"/>
      <c r="D886" s="46"/>
      <c r="E886" s="47"/>
      <c r="F886" s="47"/>
      <c r="G886" s="47"/>
      <c r="H886" s="46"/>
      <c r="I886" s="47"/>
      <c r="J886" s="47"/>
      <c r="K886" s="47"/>
      <c r="L886" s="47"/>
      <c r="M886" s="47"/>
      <c r="N886" s="47"/>
      <c r="O886" s="47"/>
      <c r="P886" s="45" t="str">
        <f aca="false">IF($A886="","",IF(COUNTIF(Accounts!$C$2:$C$201,$A886)+COUNTIF('Service Principals'!$C$2:$C$201,$A886)+COUNTIF('Managed Identities'!$C$2:$C$201,$A886)&gt;0,"Yes","NOT IN INVENTORY"))</f>
        <v/>
      </c>
    </row>
    <row r="887" customFormat="false" ht="15" hidden="false" customHeight="false" outlineLevel="0" collapsed="false">
      <c r="A887" s="46"/>
      <c r="B887" s="47"/>
      <c r="C887" s="47"/>
      <c r="D887" s="46"/>
      <c r="E887" s="47"/>
      <c r="F887" s="47"/>
      <c r="G887" s="47"/>
      <c r="H887" s="46"/>
      <c r="I887" s="47"/>
      <c r="J887" s="47"/>
      <c r="K887" s="47"/>
      <c r="L887" s="47"/>
      <c r="M887" s="47"/>
      <c r="N887" s="47"/>
      <c r="O887" s="47"/>
      <c r="P887" s="45" t="str">
        <f aca="false">IF($A887="","",IF(COUNTIF(Accounts!$C$2:$C$201,$A887)+COUNTIF('Service Principals'!$C$2:$C$201,$A887)+COUNTIF('Managed Identities'!$C$2:$C$201,$A887)&gt;0,"Yes","NOT IN INVENTORY"))</f>
        <v/>
      </c>
    </row>
    <row r="888" customFormat="false" ht="15" hidden="false" customHeight="false" outlineLevel="0" collapsed="false">
      <c r="A888" s="46"/>
      <c r="B888" s="47"/>
      <c r="C888" s="47"/>
      <c r="D888" s="46"/>
      <c r="E888" s="47"/>
      <c r="F888" s="47"/>
      <c r="G888" s="47"/>
      <c r="H888" s="46"/>
      <c r="I888" s="47"/>
      <c r="J888" s="47"/>
      <c r="K888" s="47"/>
      <c r="L888" s="47"/>
      <c r="M888" s="47"/>
      <c r="N888" s="47"/>
      <c r="O888" s="47"/>
      <c r="P888" s="45" t="str">
        <f aca="false">IF($A888="","",IF(COUNTIF(Accounts!$C$2:$C$201,$A888)+COUNTIF('Service Principals'!$C$2:$C$201,$A888)+COUNTIF('Managed Identities'!$C$2:$C$201,$A888)&gt;0,"Yes","NOT IN INVENTORY"))</f>
        <v/>
      </c>
    </row>
    <row r="889" customFormat="false" ht="15" hidden="false" customHeight="false" outlineLevel="0" collapsed="false">
      <c r="A889" s="46"/>
      <c r="B889" s="47"/>
      <c r="C889" s="47"/>
      <c r="D889" s="46"/>
      <c r="E889" s="47"/>
      <c r="F889" s="47"/>
      <c r="G889" s="47"/>
      <c r="H889" s="46"/>
      <c r="I889" s="47"/>
      <c r="J889" s="47"/>
      <c r="K889" s="47"/>
      <c r="L889" s="47"/>
      <c r="M889" s="47"/>
      <c r="N889" s="47"/>
      <c r="O889" s="47"/>
      <c r="P889" s="45" t="str">
        <f aca="false">IF($A889="","",IF(COUNTIF(Accounts!$C$2:$C$201,$A889)+COUNTIF('Service Principals'!$C$2:$C$201,$A889)+COUNTIF('Managed Identities'!$C$2:$C$201,$A889)&gt;0,"Yes","NOT IN INVENTORY"))</f>
        <v/>
      </c>
    </row>
    <row r="890" customFormat="false" ht="15" hidden="false" customHeight="false" outlineLevel="0" collapsed="false">
      <c r="A890" s="46"/>
      <c r="B890" s="47"/>
      <c r="C890" s="47"/>
      <c r="D890" s="46"/>
      <c r="E890" s="47"/>
      <c r="F890" s="47"/>
      <c r="G890" s="47"/>
      <c r="H890" s="46"/>
      <c r="I890" s="47"/>
      <c r="J890" s="47"/>
      <c r="K890" s="47"/>
      <c r="L890" s="47"/>
      <c r="M890" s="47"/>
      <c r="N890" s="47"/>
      <c r="O890" s="47"/>
      <c r="P890" s="45" t="str">
        <f aca="false">IF($A890="","",IF(COUNTIF(Accounts!$C$2:$C$201,$A890)+COUNTIF('Service Principals'!$C$2:$C$201,$A890)+COUNTIF('Managed Identities'!$C$2:$C$201,$A890)&gt;0,"Yes","NOT IN INVENTORY"))</f>
        <v/>
      </c>
    </row>
    <row r="891" customFormat="false" ht="15" hidden="false" customHeight="false" outlineLevel="0" collapsed="false">
      <c r="A891" s="46"/>
      <c r="B891" s="47"/>
      <c r="C891" s="47"/>
      <c r="D891" s="46"/>
      <c r="E891" s="47"/>
      <c r="F891" s="47"/>
      <c r="G891" s="47"/>
      <c r="H891" s="46"/>
      <c r="I891" s="47"/>
      <c r="J891" s="47"/>
      <c r="K891" s="47"/>
      <c r="L891" s="47"/>
      <c r="M891" s="47"/>
      <c r="N891" s="47"/>
      <c r="O891" s="47"/>
      <c r="P891" s="45" t="str">
        <f aca="false">IF($A891="","",IF(COUNTIF(Accounts!$C$2:$C$201,$A891)+COUNTIF('Service Principals'!$C$2:$C$201,$A891)+COUNTIF('Managed Identities'!$C$2:$C$201,$A891)&gt;0,"Yes","NOT IN INVENTORY"))</f>
        <v/>
      </c>
    </row>
    <row r="892" customFormat="false" ht="15" hidden="false" customHeight="false" outlineLevel="0" collapsed="false">
      <c r="A892" s="46"/>
      <c r="B892" s="47"/>
      <c r="C892" s="47"/>
      <c r="D892" s="46"/>
      <c r="E892" s="47"/>
      <c r="F892" s="47"/>
      <c r="G892" s="47"/>
      <c r="H892" s="46"/>
      <c r="I892" s="47"/>
      <c r="J892" s="47"/>
      <c r="K892" s="47"/>
      <c r="L892" s="47"/>
      <c r="M892" s="47"/>
      <c r="N892" s="47"/>
      <c r="O892" s="47"/>
      <c r="P892" s="45" t="str">
        <f aca="false">IF($A892="","",IF(COUNTIF(Accounts!$C$2:$C$201,$A892)+COUNTIF('Service Principals'!$C$2:$C$201,$A892)+COUNTIF('Managed Identities'!$C$2:$C$201,$A892)&gt;0,"Yes","NOT IN INVENTORY"))</f>
        <v/>
      </c>
    </row>
    <row r="893" customFormat="false" ht="15" hidden="false" customHeight="false" outlineLevel="0" collapsed="false">
      <c r="A893" s="46"/>
      <c r="B893" s="47"/>
      <c r="C893" s="47"/>
      <c r="D893" s="46"/>
      <c r="E893" s="47"/>
      <c r="F893" s="47"/>
      <c r="G893" s="47"/>
      <c r="H893" s="46"/>
      <c r="I893" s="47"/>
      <c r="J893" s="47"/>
      <c r="K893" s="47"/>
      <c r="L893" s="47"/>
      <c r="M893" s="47"/>
      <c r="N893" s="47"/>
      <c r="O893" s="47"/>
      <c r="P893" s="45" t="str">
        <f aca="false">IF($A893="","",IF(COUNTIF(Accounts!$C$2:$C$201,$A893)+COUNTIF('Service Principals'!$C$2:$C$201,$A893)+COUNTIF('Managed Identities'!$C$2:$C$201,$A893)&gt;0,"Yes","NOT IN INVENTORY"))</f>
        <v/>
      </c>
    </row>
    <row r="894" customFormat="false" ht="15" hidden="false" customHeight="false" outlineLevel="0" collapsed="false">
      <c r="A894" s="46"/>
      <c r="B894" s="47"/>
      <c r="C894" s="47"/>
      <c r="D894" s="46"/>
      <c r="E894" s="47"/>
      <c r="F894" s="47"/>
      <c r="G894" s="47"/>
      <c r="H894" s="46"/>
      <c r="I894" s="47"/>
      <c r="J894" s="47"/>
      <c r="K894" s="47"/>
      <c r="L894" s="47"/>
      <c r="M894" s="47"/>
      <c r="N894" s="47"/>
      <c r="O894" s="47"/>
      <c r="P894" s="45" t="str">
        <f aca="false">IF($A894="","",IF(COUNTIF(Accounts!$C$2:$C$201,$A894)+COUNTIF('Service Principals'!$C$2:$C$201,$A894)+COUNTIF('Managed Identities'!$C$2:$C$201,$A894)&gt;0,"Yes","NOT IN INVENTORY"))</f>
        <v/>
      </c>
    </row>
    <row r="895" customFormat="false" ht="15" hidden="false" customHeight="false" outlineLevel="0" collapsed="false">
      <c r="A895" s="46"/>
      <c r="B895" s="47"/>
      <c r="C895" s="47"/>
      <c r="D895" s="46"/>
      <c r="E895" s="47"/>
      <c r="F895" s="47"/>
      <c r="G895" s="47"/>
      <c r="H895" s="46"/>
      <c r="I895" s="47"/>
      <c r="J895" s="47"/>
      <c r="K895" s="47"/>
      <c r="L895" s="47"/>
      <c r="M895" s="47"/>
      <c r="N895" s="47"/>
      <c r="O895" s="47"/>
      <c r="P895" s="45" t="str">
        <f aca="false">IF($A895="","",IF(COUNTIF(Accounts!$C$2:$C$201,$A895)+COUNTIF('Service Principals'!$C$2:$C$201,$A895)+COUNTIF('Managed Identities'!$C$2:$C$201,$A895)&gt;0,"Yes","NOT IN INVENTORY"))</f>
        <v/>
      </c>
    </row>
    <row r="896" customFormat="false" ht="15" hidden="false" customHeight="false" outlineLevel="0" collapsed="false">
      <c r="A896" s="46"/>
      <c r="B896" s="47"/>
      <c r="C896" s="47"/>
      <c r="D896" s="46"/>
      <c r="E896" s="47"/>
      <c r="F896" s="47"/>
      <c r="G896" s="47"/>
      <c r="H896" s="46"/>
      <c r="I896" s="47"/>
      <c r="J896" s="47"/>
      <c r="K896" s="47"/>
      <c r="L896" s="47"/>
      <c r="M896" s="47"/>
      <c r="N896" s="47"/>
      <c r="O896" s="47"/>
      <c r="P896" s="45" t="str">
        <f aca="false">IF($A896="","",IF(COUNTIF(Accounts!$C$2:$C$201,$A896)+COUNTIF('Service Principals'!$C$2:$C$201,$A896)+COUNTIF('Managed Identities'!$C$2:$C$201,$A896)&gt;0,"Yes","NOT IN INVENTORY"))</f>
        <v/>
      </c>
    </row>
    <row r="897" customFormat="false" ht="15" hidden="false" customHeight="false" outlineLevel="0" collapsed="false">
      <c r="A897" s="46"/>
      <c r="B897" s="47"/>
      <c r="C897" s="47"/>
      <c r="D897" s="46"/>
      <c r="E897" s="47"/>
      <c r="F897" s="47"/>
      <c r="G897" s="47"/>
      <c r="H897" s="46"/>
      <c r="I897" s="47"/>
      <c r="J897" s="47"/>
      <c r="K897" s="47"/>
      <c r="L897" s="47"/>
      <c r="M897" s="47"/>
      <c r="N897" s="47"/>
      <c r="O897" s="47"/>
      <c r="P897" s="45" t="str">
        <f aca="false">IF($A897="","",IF(COUNTIF(Accounts!$C$2:$C$201,$A897)+COUNTIF('Service Principals'!$C$2:$C$201,$A897)+COUNTIF('Managed Identities'!$C$2:$C$201,$A897)&gt;0,"Yes","NOT IN INVENTORY"))</f>
        <v/>
      </c>
    </row>
    <row r="898" customFormat="false" ht="15" hidden="false" customHeight="false" outlineLevel="0" collapsed="false">
      <c r="A898" s="46"/>
      <c r="B898" s="47"/>
      <c r="C898" s="47"/>
      <c r="D898" s="46"/>
      <c r="E898" s="47"/>
      <c r="F898" s="47"/>
      <c r="G898" s="47"/>
      <c r="H898" s="46"/>
      <c r="I898" s="47"/>
      <c r="J898" s="47"/>
      <c r="K898" s="47"/>
      <c r="L898" s="47"/>
      <c r="M898" s="47"/>
      <c r="N898" s="47"/>
      <c r="O898" s="47"/>
      <c r="P898" s="45" t="str">
        <f aca="false">IF($A898="","",IF(COUNTIF(Accounts!$C$2:$C$201,$A898)+COUNTIF('Service Principals'!$C$2:$C$201,$A898)+COUNTIF('Managed Identities'!$C$2:$C$201,$A898)&gt;0,"Yes","NOT IN INVENTORY"))</f>
        <v/>
      </c>
    </row>
    <row r="899" customFormat="false" ht="15" hidden="false" customHeight="false" outlineLevel="0" collapsed="false">
      <c r="A899" s="46"/>
      <c r="B899" s="47"/>
      <c r="C899" s="47"/>
      <c r="D899" s="46"/>
      <c r="E899" s="47"/>
      <c r="F899" s="47"/>
      <c r="G899" s="47"/>
      <c r="H899" s="46"/>
      <c r="I899" s="47"/>
      <c r="J899" s="47"/>
      <c r="K899" s="47"/>
      <c r="L899" s="47"/>
      <c r="M899" s="47"/>
      <c r="N899" s="47"/>
      <c r="O899" s="47"/>
      <c r="P899" s="45" t="str">
        <f aca="false">IF($A899="","",IF(COUNTIF(Accounts!$C$2:$C$201,$A899)+COUNTIF('Service Principals'!$C$2:$C$201,$A899)+COUNTIF('Managed Identities'!$C$2:$C$201,$A899)&gt;0,"Yes","NOT IN INVENTORY"))</f>
        <v/>
      </c>
    </row>
    <row r="900" customFormat="false" ht="15" hidden="false" customHeight="false" outlineLevel="0" collapsed="false">
      <c r="A900" s="46"/>
      <c r="B900" s="47"/>
      <c r="C900" s="47"/>
      <c r="D900" s="46"/>
      <c r="E900" s="47"/>
      <c r="F900" s="47"/>
      <c r="G900" s="47"/>
      <c r="H900" s="46"/>
      <c r="I900" s="47"/>
      <c r="J900" s="47"/>
      <c r="K900" s="47"/>
      <c r="L900" s="47"/>
      <c r="M900" s="47"/>
      <c r="N900" s="47"/>
      <c r="O900" s="47"/>
      <c r="P900" s="45" t="str">
        <f aca="false">IF($A900="","",IF(COUNTIF(Accounts!$C$2:$C$201,$A900)+COUNTIF('Service Principals'!$C$2:$C$201,$A900)+COUNTIF('Managed Identities'!$C$2:$C$201,$A900)&gt;0,"Yes","NOT IN INVENTORY"))</f>
        <v/>
      </c>
    </row>
    <row r="901" customFormat="false" ht="15" hidden="false" customHeight="false" outlineLevel="0" collapsed="false">
      <c r="A901" s="46"/>
      <c r="B901" s="47"/>
      <c r="C901" s="47"/>
      <c r="D901" s="46"/>
      <c r="E901" s="47"/>
      <c r="F901" s="47"/>
      <c r="G901" s="47"/>
      <c r="H901" s="46"/>
      <c r="I901" s="47"/>
      <c r="J901" s="47"/>
      <c r="K901" s="47"/>
      <c r="L901" s="47"/>
      <c r="M901" s="47"/>
      <c r="N901" s="47"/>
      <c r="O901" s="47"/>
      <c r="P901" s="45" t="str">
        <f aca="false">IF($A901="","",IF(COUNTIF(Accounts!$C$2:$C$201,$A901)+COUNTIF('Service Principals'!$C$2:$C$201,$A901)+COUNTIF('Managed Identities'!$C$2:$C$201,$A901)&gt;0,"Yes","NOT IN INVENTORY"))</f>
        <v/>
      </c>
    </row>
    <row r="902" customFormat="false" ht="15" hidden="false" customHeight="false" outlineLevel="0" collapsed="false">
      <c r="A902" s="46"/>
      <c r="B902" s="47"/>
      <c r="C902" s="47"/>
      <c r="D902" s="46"/>
      <c r="E902" s="47"/>
      <c r="F902" s="47"/>
      <c r="G902" s="47"/>
      <c r="H902" s="46"/>
      <c r="I902" s="47"/>
      <c r="J902" s="47"/>
      <c r="K902" s="47"/>
      <c r="L902" s="47"/>
      <c r="M902" s="47"/>
      <c r="N902" s="47"/>
      <c r="O902" s="47"/>
      <c r="P902" s="45" t="str">
        <f aca="false">IF($A902="","",IF(COUNTIF(Accounts!$C$2:$C$201,$A902)+COUNTIF('Service Principals'!$C$2:$C$201,$A902)+COUNTIF('Managed Identities'!$C$2:$C$201,$A902)&gt;0,"Yes","NOT IN INVENTORY"))</f>
        <v/>
      </c>
    </row>
    <row r="903" customFormat="false" ht="15" hidden="false" customHeight="false" outlineLevel="0" collapsed="false">
      <c r="A903" s="46"/>
      <c r="B903" s="47"/>
      <c r="C903" s="47"/>
      <c r="D903" s="46"/>
      <c r="E903" s="47"/>
      <c r="F903" s="47"/>
      <c r="G903" s="47"/>
      <c r="H903" s="46"/>
      <c r="I903" s="47"/>
      <c r="J903" s="47"/>
      <c r="K903" s="47"/>
      <c r="L903" s="47"/>
      <c r="M903" s="47"/>
      <c r="N903" s="47"/>
      <c r="O903" s="47"/>
      <c r="P903" s="45" t="str">
        <f aca="false">IF($A903="","",IF(COUNTIF(Accounts!$C$2:$C$201,$A903)+COUNTIF('Service Principals'!$C$2:$C$201,$A903)+COUNTIF('Managed Identities'!$C$2:$C$201,$A903)&gt;0,"Yes","NOT IN INVENTORY"))</f>
        <v/>
      </c>
    </row>
    <row r="904" customFormat="false" ht="15" hidden="false" customHeight="false" outlineLevel="0" collapsed="false">
      <c r="A904" s="46"/>
      <c r="B904" s="47"/>
      <c r="C904" s="47"/>
      <c r="D904" s="46"/>
      <c r="E904" s="47"/>
      <c r="F904" s="47"/>
      <c r="G904" s="47"/>
      <c r="H904" s="46"/>
      <c r="I904" s="47"/>
      <c r="J904" s="47"/>
      <c r="K904" s="47"/>
      <c r="L904" s="47"/>
      <c r="M904" s="47"/>
      <c r="N904" s="47"/>
      <c r="O904" s="47"/>
      <c r="P904" s="45" t="str">
        <f aca="false">IF($A904="","",IF(COUNTIF(Accounts!$C$2:$C$201,$A904)+COUNTIF('Service Principals'!$C$2:$C$201,$A904)+COUNTIF('Managed Identities'!$C$2:$C$201,$A904)&gt;0,"Yes","NOT IN INVENTORY"))</f>
        <v/>
      </c>
    </row>
    <row r="905" customFormat="false" ht="15" hidden="false" customHeight="false" outlineLevel="0" collapsed="false">
      <c r="A905" s="46"/>
      <c r="B905" s="47"/>
      <c r="C905" s="47"/>
      <c r="D905" s="46"/>
      <c r="E905" s="47"/>
      <c r="F905" s="47"/>
      <c r="G905" s="47"/>
      <c r="H905" s="46"/>
      <c r="I905" s="47"/>
      <c r="J905" s="47"/>
      <c r="K905" s="47"/>
      <c r="L905" s="47"/>
      <c r="M905" s="47"/>
      <c r="N905" s="47"/>
      <c r="O905" s="47"/>
      <c r="P905" s="45" t="str">
        <f aca="false">IF($A905="","",IF(COUNTIF(Accounts!$C$2:$C$201,$A905)+COUNTIF('Service Principals'!$C$2:$C$201,$A905)+COUNTIF('Managed Identities'!$C$2:$C$201,$A905)&gt;0,"Yes","NOT IN INVENTORY"))</f>
        <v/>
      </c>
    </row>
    <row r="906" customFormat="false" ht="15" hidden="false" customHeight="false" outlineLevel="0" collapsed="false">
      <c r="A906" s="46"/>
      <c r="B906" s="47"/>
      <c r="C906" s="47"/>
      <c r="D906" s="46"/>
      <c r="E906" s="47"/>
      <c r="F906" s="47"/>
      <c r="G906" s="47"/>
      <c r="H906" s="46"/>
      <c r="I906" s="47"/>
      <c r="J906" s="47"/>
      <c r="K906" s="47"/>
      <c r="L906" s="47"/>
      <c r="M906" s="47"/>
      <c r="N906" s="47"/>
      <c r="O906" s="47"/>
      <c r="P906" s="45" t="str">
        <f aca="false">IF($A906="","",IF(COUNTIF(Accounts!$C$2:$C$201,$A906)+COUNTIF('Service Principals'!$C$2:$C$201,$A906)+COUNTIF('Managed Identities'!$C$2:$C$201,$A906)&gt;0,"Yes","NOT IN INVENTORY"))</f>
        <v/>
      </c>
    </row>
    <row r="907" customFormat="false" ht="15" hidden="false" customHeight="false" outlineLevel="0" collapsed="false">
      <c r="A907" s="46"/>
      <c r="B907" s="47"/>
      <c r="C907" s="47"/>
      <c r="D907" s="46"/>
      <c r="E907" s="47"/>
      <c r="F907" s="47"/>
      <c r="G907" s="47"/>
      <c r="H907" s="46"/>
      <c r="I907" s="47"/>
      <c r="J907" s="47"/>
      <c r="K907" s="47"/>
      <c r="L907" s="47"/>
      <c r="M907" s="47"/>
      <c r="N907" s="47"/>
      <c r="O907" s="47"/>
      <c r="P907" s="45" t="str">
        <f aca="false">IF($A907="","",IF(COUNTIF(Accounts!$C$2:$C$201,$A907)+COUNTIF('Service Principals'!$C$2:$C$201,$A907)+COUNTIF('Managed Identities'!$C$2:$C$201,$A907)&gt;0,"Yes","NOT IN INVENTORY"))</f>
        <v/>
      </c>
    </row>
    <row r="908" customFormat="false" ht="15" hidden="false" customHeight="false" outlineLevel="0" collapsed="false">
      <c r="A908" s="46"/>
      <c r="B908" s="47"/>
      <c r="C908" s="47"/>
      <c r="D908" s="46"/>
      <c r="E908" s="47"/>
      <c r="F908" s="47"/>
      <c r="G908" s="47"/>
      <c r="H908" s="46"/>
      <c r="I908" s="47"/>
      <c r="J908" s="47"/>
      <c r="K908" s="47"/>
      <c r="L908" s="47"/>
      <c r="M908" s="47"/>
      <c r="N908" s="47"/>
      <c r="O908" s="47"/>
      <c r="P908" s="45" t="str">
        <f aca="false">IF($A908="","",IF(COUNTIF(Accounts!$C$2:$C$201,$A908)+COUNTIF('Service Principals'!$C$2:$C$201,$A908)+COUNTIF('Managed Identities'!$C$2:$C$201,$A908)&gt;0,"Yes","NOT IN INVENTORY"))</f>
        <v/>
      </c>
    </row>
    <row r="909" customFormat="false" ht="15" hidden="false" customHeight="false" outlineLevel="0" collapsed="false">
      <c r="A909" s="46"/>
      <c r="B909" s="47"/>
      <c r="C909" s="47"/>
      <c r="D909" s="46"/>
      <c r="E909" s="47"/>
      <c r="F909" s="47"/>
      <c r="G909" s="47"/>
      <c r="H909" s="46"/>
      <c r="I909" s="47"/>
      <c r="J909" s="47"/>
      <c r="K909" s="47"/>
      <c r="L909" s="47"/>
      <c r="M909" s="47"/>
      <c r="N909" s="47"/>
      <c r="O909" s="47"/>
      <c r="P909" s="45" t="str">
        <f aca="false">IF($A909="","",IF(COUNTIF(Accounts!$C$2:$C$201,$A909)+COUNTIF('Service Principals'!$C$2:$C$201,$A909)+COUNTIF('Managed Identities'!$C$2:$C$201,$A909)&gt;0,"Yes","NOT IN INVENTORY"))</f>
        <v/>
      </c>
    </row>
    <row r="910" customFormat="false" ht="15" hidden="false" customHeight="false" outlineLevel="0" collapsed="false">
      <c r="A910" s="46"/>
      <c r="B910" s="47"/>
      <c r="C910" s="47"/>
      <c r="D910" s="46"/>
      <c r="E910" s="47"/>
      <c r="F910" s="47"/>
      <c r="G910" s="47"/>
      <c r="H910" s="46"/>
      <c r="I910" s="47"/>
      <c r="J910" s="47"/>
      <c r="K910" s="47"/>
      <c r="L910" s="47"/>
      <c r="M910" s="47"/>
      <c r="N910" s="47"/>
      <c r="O910" s="47"/>
      <c r="P910" s="45" t="str">
        <f aca="false">IF($A910="","",IF(COUNTIF(Accounts!$C$2:$C$201,$A910)+COUNTIF('Service Principals'!$C$2:$C$201,$A910)+COUNTIF('Managed Identities'!$C$2:$C$201,$A910)&gt;0,"Yes","NOT IN INVENTORY"))</f>
        <v/>
      </c>
    </row>
    <row r="911" customFormat="false" ht="15" hidden="false" customHeight="false" outlineLevel="0" collapsed="false">
      <c r="A911" s="46"/>
      <c r="B911" s="47"/>
      <c r="C911" s="47"/>
      <c r="D911" s="46"/>
      <c r="E911" s="47"/>
      <c r="F911" s="47"/>
      <c r="G911" s="47"/>
      <c r="H911" s="46"/>
      <c r="I911" s="47"/>
      <c r="J911" s="47"/>
      <c r="K911" s="47"/>
      <c r="L911" s="47"/>
      <c r="M911" s="47"/>
      <c r="N911" s="47"/>
      <c r="O911" s="47"/>
      <c r="P911" s="45" t="str">
        <f aca="false">IF($A911="","",IF(COUNTIF(Accounts!$C$2:$C$201,$A911)+COUNTIF('Service Principals'!$C$2:$C$201,$A911)+COUNTIF('Managed Identities'!$C$2:$C$201,$A911)&gt;0,"Yes","NOT IN INVENTORY"))</f>
        <v/>
      </c>
    </row>
    <row r="912" customFormat="false" ht="15" hidden="false" customHeight="false" outlineLevel="0" collapsed="false">
      <c r="A912" s="46"/>
      <c r="B912" s="47"/>
      <c r="C912" s="47"/>
      <c r="D912" s="46"/>
      <c r="E912" s="47"/>
      <c r="F912" s="47"/>
      <c r="G912" s="47"/>
      <c r="H912" s="46"/>
      <c r="I912" s="47"/>
      <c r="J912" s="47"/>
      <c r="K912" s="47"/>
      <c r="L912" s="47"/>
      <c r="M912" s="47"/>
      <c r="N912" s="47"/>
      <c r="O912" s="47"/>
      <c r="P912" s="45" t="str">
        <f aca="false">IF($A912="","",IF(COUNTIF(Accounts!$C$2:$C$201,$A912)+COUNTIF('Service Principals'!$C$2:$C$201,$A912)+COUNTIF('Managed Identities'!$C$2:$C$201,$A912)&gt;0,"Yes","NOT IN INVENTORY"))</f>
        <v/>
      </c>
    </row>
    <row r="913" customFormat="false" ht="15" hidden="false" customHeight="false" outlineLevel="0" collapsed="false">
      <c r="A913" s="46"/>
      <c r="B913" s="47"/>
      <c r="C913" s="47"/>
      <c r="D913" s="46"/>
      <c r="E913" s="47"/>
      <c r="F913" s="47"/>
      <c r="G913" s="47"/>
      <c r="H913" s="46"/>
      <c r="I913" s="47"/>
      <c r="J913" s="47"/>
      <c r="K913" s="47"/>
      <c r="L913" s="47"/>
      <c r="M913" s="47"/>
      <c r="N913" s="47"/>
      <c r="O913" s="47"/>
      <c r="P913" s="45" t="str">
        <f aca="false">IF($A913="","",IF(COUNTIF(Accounts!$C$2:$C$201,$A913)+COUNTIF('Service Principals'!$C$2:$C$201,$A913)+COUNTIF('Managed Identities'!$C$2:$C$201,$A913)&gt;0,"Yes","NOT IN INVENTORY"))</f>
        <v/>
      </c>
    </row>
    <row r="914" customFormat="false" ht="15" hidden="false" customHeight="false" outlineLevel="0" collapsed="false">
      <c r="A914" s="46"/>
      <c r="B914" s="47"/>
      <c r="C914" s="47"/>
      <c r="D914" s="46"/>
      <c r="E914" s="47"/>
      <c r="F914" s="47"/>
      <c r="G914" s="47"/>
      <c r="H914" s="46"/>
      <c r="I914" s="47"/>
      <c r="J914" s="47"/>
      <c r="K914" s="47"/>
      <c r="L914" s="47"/>
      <c r="M914" s="47"/>
      <c r="N914" s="47"/>
      <c r="O914" s="47"/>
      <c r="P914" s="45" t="str">
        <f aca="false">IF($A914="","",IF(COUNTIF(Accounts!$C$2:$C$201,$A914)+COUNTIF('Service Principals'!$C$2:$C$201,$A914)+COUNTIF('Managed Identities'!$C$2:$C$201,$A914)&gt;0,"Yes","NOT IN INVENTORY"))</f>
        <v/>
      </c>
    </row>
    <row r="915" customFormat="false" ht="15" hidden="false" customHeight="false" outlineLevel="0" collapsed="false">
      <c r="A915" s="46"/>
      <c r="B915" s="47"/>
      <c r="C915" s="47"/>
      <c r="D915" s="46"/>
      <c r="E915" s="47"/>
      <c r="F915" s="47"/>
      <c r="G915" s="47"/>
      <c r="H915" s="46"/>
      <c r="I915" s="47"/>
      <c r="J915" s="47"/>
      <c r="K915" s="47"/>
      <c r="L915" s="47"/>
      <c r="M915" s="47"/>
      <c r="N915" s="47"/>
      <c r="O915" s="47"/>
      <c r="P915" s="45" t="str">
        <f aca="false">IF($A915="","",IF(COUNTIF(Accounts!$C$2:$C$201,$A915)+COUNTIF('Service Principals'!$C$2:$C$201,$A915)+COUNTIF('Managed Identities'!$C$2:$C$201,$A915)&gt;0,"Yes","NOT IN INVENTORY"))</f>
        <v/>
      </c>
    </row>
    <row r="916" customFormat="false" ht="15" hidden="false" customHeight="false" outlineLevel="0" collapsed="false">
      <c r="A916" s="46"/>
      <c r="B916" s="47"/>
      <c r="C916" s="47"/>
      <c r="D916" s="46"/>
      <c r="E916" s="47"/>
      <c r="F916" s="47"/>
      <c r="G916" s="47"/>
      <c r="H916" s="46"/>
      <c r="I916" s="47"/>
      <c r="J916" s="47"/>
      <c r="K916" s="47"/>
      <c r="L916" s="47"/>
      <c r="M916" s="47"/>
      <c r="N916" s="47"/>
      <c r="O916" s="47"/>
      <c r="P916" s="45" t="str">
        <f aca="false">IF($A916="","",IF(COUNTIF(Accounts!$C$2:$C$201,$A916)+COUNTIF('Service Principals'!$C$2:$C$201,$A916)+COUNTIF('Managed Identities'!$C$2:$C$201,$A916)&gt;0,"Yes","NOT IN INVENTORY"))</f>
        <v/>
      </c>
    </row>
    <row r="917" customFormat="false" ht="15" hidden="false" customHeight="false" outlineLevel="0" collapsed="false">
      <c r="A917" s="46"/>
      <c r="B917" s="47"/>
      <c r="C917" s="47"/>
      <c r="D917" s="46"/>
      <c r="E917" s="47"/>
      <c r="F917" s="47"/>
      <c r="G917" s="47"/>
      <c r="H917" s="46"/>
      <c r="I917" s="47"/>
      <c r="J917" s="47"/>
      <c r="K917" s="47"/>
      <c r="L917" s="47"/>
      <c r="M917" s="47"/>
      <c r="N917" s="47"/>
      <c r="O917" s="47"/>
      <c r="P917" s="45" t="str">
        <f aca="false">IF($A917="","",IF(COUNTIF(Accounts!$C$2:$C$201,$A917)+COUNTIF('Service Principals'!$C$2:$C$201,$A917)+COUNTIF('Managed Identities'!$C$2:$C$201,$A917)&gt;0,"Yes","NOT IN INVENTORY"))</f>
        <v/>
      </c>
    </row>
    <row r="918" customFormat="false" ht="15" hidden="false" customHeight="false" outlineLevel="0" collapsed="false">
      <c r="A918" s="46"/>
      <c r="B918" s="47"/>
      <c r="C918" s="47"/>
      <c r="D918" s="46"/>
      <c r="E918" s="47"/>
      <c r="F918" s="47"/>
      <c r="G918" s="47"/>
      <c r="H918" s="46"/>
      <c r="I918" s="47"/>
      <c r="J918" s="47"/>
      <c r="K918" s="47"/>
      <c r="L918" s="47"/>
      <c r="M918" s="47"/>
      <c r="N918" s="47"/>
      <c r="O918" s="47"/>
      <c r="P918" s="45" t="str">
        <f aca="false">IF($A918="","",IF(COUNTIF(Accounts!$C$2:$C$201,$A918)+COUNTIF('Service Principals'!$C$2:$C$201,$A918)+COUNTIF('Managed Identities'!$C$2:$C$201,$A918)&gt;0,"Yes","NOT IN INVENTORY"))</f>
        <v/>
      </c>
    </row>
    <row r="919" customFormat="false" ht="15" hidden="false" customHeight="false" outlineLevel="0" collapsed="false">
      <c r="A919" s="46"/>
      <c r="B919" s="47"/>
      <c r="C919" s="47"/>
      <c r="D919" s="46"/>
      <c r="E919" s="47"/>
      <c r="F919" s="47"/>
      <c r="G919" s="47"/>
      <c r="H919" s="46"/>
      <c r="I919" s="47"/>
      <c r="J919" s="47"/>
      <c r="K919" s="47"/>
      <c r="L919" s="47"/>
      <c r="M919" s="47"/>
      <c r="N919" s="47"/>
      <c r="O919" s="47"/>
      <c r="P919" s="45" t="str">
        <f aca="false">IF($A919="","",IF(COUNTIF(Accounts!$C$2:$C$201,$A919)+COUNTIF('Service Principals'!$C$2:$C$201,$A919)+COUNTIF('Managed Identities'!$C$2:$C$201,$A919)&gt;0,"Yes","NOT IN INVENTORY"))</f>
        <v/>
      </c>
    </row>
    <row r="920" customFormat="false" ht="15" hidden="false" customHeight="false" outlineLevel="0" collapsed="false">
      <c r="A920" s="46"/>
      <c r="B920" s="47"/>
      <c r="C920" s="47"/>
      <c r="D920" s="46"/>
      <c r="E920" s="47"/>
      <c r="F920" s="47"/>
      <c r="G920" s="47"/>
      <c r="H920" s="46"/>
      <c r="I920" s="47"/>
      <c r="J920" s="47"/>
      <c r="K920" s="47"/>
      <c r="L920" s="47"/>
      <c r="M920" s="47"/>
      <c r="N920" s="47"/>
      <c r="O920" s="47"/>
      <c r="P920" s="45" t="str">
        <f aca="false">IF($A920="","",IF(COUNTIF(Accounts!$C$2:$C$201,$A920)+COUNTIF('Service Principals'!$C$2:$C$201,$A920)+COUNTIF('Managed Identities'!$C$2:$C$201,$A920)&gt;0,"Yes","NOT IN INVENTORY"))</f>
        <v/>
      </c>
    </row>
    <row r="921" customFormat="false" ht="15" hidden="false" customHeight="false" outlineLevel="0" collapsed="false">
      <c r="A921" s="46"/>
      <c r="B921" s="47"/>
      <c r="C921" s="47"/>
      <c r="D921" s="46"/>
      <c r="E921" s="47"/>
      <c r="F921" s="47"/>
      <c r="G921" s="47"/>
      <c r="H921" s="46"/>
      <c r="I921" s="47"/>
      <c r="J921" s="47"/>
      <c r="K921" s="47"/>
      <c r="L921" s="47"/>
      <c r="M921" s="47"/>
      <c r="N921" s="47"/>
      <c r="O921" s="47"/>
      <c r="P921" s="45" t="str">
        <f aca="false">IF($A921="","",IF(COUNTIF(Accounts!$C$2:$C$201,$A921)+COUNTIF('Service Principals'!$C$2:$C$201,$A921)+COUNTIF('Managed Identities'!$C$2:$C$201,$A921)&gt;0,"Yes","NOT IN INVENTORY"))</f>
        <v/>
      </c>
    </row>
    <row r="922" customFormat="false" ht="15" hidden="false" customHeight="false" outlineLevel="0" collapsed="false">
      <c r="A922" s="46"/>
      <c r="B922" s="47"/>
      <c r="C922" s="47"/>
      <c r="D922" s="46"/>
      <c r="E922" s="47"/>
      <c r="F922" s="47"/>
      <c r="G922" s="47"/>
      <c r="H922" s="46"/>
      <c r="I922" s="47"/>
      <c r="J922" s="47"/>
      <c r="K922" s="47"/>
      <c r="L922" s="47"/>
      <c r="M922" s="47"/>
      <c r="N922" s="47"/>
      <c r="O922" s="47"/>
      <c r="P922" s="45" t="str">
        <f aca="false">IF($A922="","",IF(COUNTIF(Accounts!$C$2:$C$201,$A922)+COUNTIF('Service Principals'!$C$2:$C$201,$A922)+COUNTIF('Managed Identities'!$C$2:$C$201,$A922)&gt;0,"Yes","NOT IN INVENTORY"))</f>
        <v/>
      </c>
    </row>
    <row r="923" customFormat="false" ht="15" hidden="false" customHeight="false" outlineLevel="0" collapsed="false">
      <c r="A923" s="46"/>
      <c r="B923" s="47"/>
      <c r="C923" s="47"/>
      <c r="D923" s="46"/>
      <c r="E923" s="47"/>
      <c r="F923" s="47"/>
      <c r="G923" s="47"/>
      <c r="H923" s="46"/>
      <c r="I923" s="47"/>
      <c r="J923" s="47"/>
      <c r="K923" s="47"/>
      <c r="L923" s="47"/>
      <c r="M923" s="47"/>
      <c r="N923" s="47"/>
      <c r="O923" s="47"/>
      <c r="P923" s="45" t="str">
        <f aca="false">IF($A923="","",IF(COUNTIF(Accounts!$C$2:$C$201,$A923)+COUNTIF('Service Principals'!$C$2:$C$201,$A923)+COUNTIF('Managed Identities'!$C$2:$C$201,$A923)&gt;0,"Yes","NOT IN INVENTORY"))</f>
        <v/>
      </c>
    </row>
    <row r="924" customFormat="false" ht="15" hidden="false" customHeight="false" outlineLevel="0" collapsed="false">
      <c r="A924" s="46"/>
      <c r="B924" s="47"/>
      <c r="C924" s="47"/>
      <c r="D924" s="46"/>
      <c r="E924" s="47"/>
      <c r="F924" s="47"/>
      <c r="G924" s="47"/>
      <c r="H924" s="46"/>
      <c r="I924" s="47"/>
      <c r="J924" s="47"/>
      <c r="K924" s="47"/>
      <c r="L924" s="47"/>
      <c r="M924" s="47"/>
      <c r="N924" s="47"/>
      <c r="O924" s="47"/>
      <c r="P924" s="45" t="str">
        <f aca="false">IF($A924="","",IF(COUNTIF(Accounts!$C$2:$C$201,$A924)+COUNTIF('Service Principals'!$C$2:$C$201,$A924)+COUNTIF('Managed Identities'!$C$2:$C$201,$A924)&gt;0,"Yes","NOT IN INVENTORY"))</f>
        <v/>
      </c>
    </row>
    <row r="925" customFormat="false" ht="15" hidden="false" customHeight="false" outlineLevel="0" collapsed="false">
      <c r="A925" s="46"/>
      <c r="B925" s="47"/>
      <c r="C925" s="47"/>
      <c r="D925" s="46"/>
      <c r="E925" s="47"/>
      <c r="F925" s="47"/>
      <c r="G925" s="47"/>
      <c r="H925" s="46"/>
      <c r="I925" s="47"/>
      <c r="J925" s="47"/>
      <c r="K925" s="47"/>
      <c r="L925" s="47"/>
      <c r="M925" s="47"/>
      <c r="N925" s="47"/>
      <c r="O925" s="47"/>
      <c r="P925" s="45" t="str">
        <f aca="false">IF($A925="","",IF(COUNTIF(Accounts!$C$2:$C$201,$A925)+COUNTIF('Service Principals'!$C$2:$C$201,$A925)+COUNTIF('Managed Identities'!$C$2:$C$201,$A925)&gt;0,"Yes","NOT IN INVENTORY"))</f>
        <v/>
      </c>
    </row>
    <row r="926" customFormat="false" ht="15" hidden="false" customHeight="false" outlineLevel="0" collapsed="false">
      <c r="A926" s="46"/>
      <c r="B926" s="47"/>
      <c r="C926" s="47"/>
      <c r="D926" s="46"/>
      <c r="E926" s="47"/>
      <c r="F926" s="47"/>
      <c r="G926" s="47"/>
      <c r="H926" s="46"/>
      <c r="I926" s="47"/>
      <c r="J926" s="47"/>
      <c r="K926" s="47"/>
      <c r="L926" s="47"/>
      <c r="M926" s="47"/>
      <c r="N926" s="47"/>
      <c r="O926" s="47"/>
      <c r="P926" s="45" t="str">
        <f aca="false">IF($A926="","",IF(COUNTIF(Accounts!$C$2:$C$201,$A926)+COUNTIF('Service Principals'!$C$2:$C$201,$A926)+COUNTIF('Managed Identities'!$C$2:$C$201,$A926)&gt;0,"Yes","NOT IN INVENTORY"))</f>
        <v/>
      </c>
    </row>
    <row r="927" customFormat="false" ht="15" hidden="false" customHeight="false" outlineLevel="0" collapsed="false">
      <c r="A927" s="46"/>
      <c r="B927" s="47"/>
      <c r="C927" s="47"/>
      <c r="D927" s="46"/>
      <c r="E927" s="47"/>
      <c r="F927" s="47"/>
      <c r="G927" s="47"/>
      <c r="H927" s="46"/>
      <c r="I927" s="47"/>
      <c r="J927" s="47"/>
      <c r="K927" s="47"/>
      <c r="L927" s="47"/>
      <c r="M927" s="47"/>
      <c r="N927" s="47"/>
      <c r="O927" s="47"/>
      <c r="P927" s="45" t="str">
        <f aca="false">IF($A927="","",IF(COUNTIF(Accounts!$C$2:$C$201,$A927)+COUNTIF('Service Principals'!$C$2:$C$201,$A927)+COUNTIF('Managed Identities'!$C$2:$C$201,$A927)&gt;0,"Yes","NOT IN INVENTORY"))</f>
        <v/>
      </c>
    </row>
    <row r="928" customFormat="false" ht="15" hidden="false" customHeight="false" outlineLevel="0" collapsed="false">
      <c r="A928" s="46"/>
      <c r="B928" s="47"/>
      <c r="C928" s="47"/>
      <c r="D928" s="46"/>
      <c r="E928" s="47"/>
      <c r="F928" s="47"/>
      <c r="G928" s="47"/>
      <c r="H928" s="46"/>
      <c r="I928" s="47"/>
      <c r="J928" s="47"/>
      <c r="K928" s="47"/>
      <c r="L928" s="47"/>
      <c r="M928" s="47"/>
      <c r="N928" s="47"/>
      <c r="O928" s="47"/>
      <c r="P928" s="45" t="str">
        <f aca="false">IF($A928="","",IF(COUNTIF(Accounts!$C$2:$C$201,$A928)+COUNTIF('Service Principals'!$C$2:$C$201,$A928)+COUNTIF('Managed Identities'!$C$2:$C$201,$A928)&gt;0,"Yes","NOT IN INVENTORY"))</f>
        <v/>
      </c>
    </row>
    <row r="929" customFormat="false" ht="15" hidden="false" customHeight="false" outlineLevel="0" collapsed="false">
      <c r="A929" s="46"/>
      <c r="B929" s="47"/>
      <c r="C929" s="47"/>
      <c r="D929" s="46"/>
      <c r="E929" s="47"/>
      <c r="F929" s="47"/>
      <c r="G929" s="47"/>
      <c r="H929" s="46"/>
      <c r="I929" s="47"/>
      <c r="J929" s="47"/>
      <c r="K929" s="47"/>
      <c r="L929" s="47"/>
      <c r="M929" s="47"/>
      <c r="N929" s="47"/>
      <c r="O929" s="47"/>
      <c r="P929" s="45" t="str">
        <f aca="false">IF($A929="","",IF(COUNTIF(Accounts!$C$2:$C$201,$A929)+COUNTIF('Service Principals'!$C$2:$C$201,$A929)+COUNTIF('Managed Identities'!$C$2:$C$201,$A929)&gt;0,"Yes","NOT IN INVENTORY"))</f>
        <v/>
      </c>
    </row>
    <row r="930" customFormat="false" ht="15" hidden="false" customHeight="false" outlineLevel="0" collapsed="false">
      <c r="A930" s="46"/>
      <c r="B930" s="47"/>
      <c r="C930" s="47"/>
      <c r="D930" s="46"/>
      <c r="E930" s="47"/>
      <c r="F930" s="47"/>
      <c r="G930" s="47"/>
      <c r="H930" s="46"/>
      <c r="I930" s="47"/>
      <c r="J930" s="47"/>
      <c r="K930" s="47"/>
      <c r="L930" s="47"/>
      <c r="M930" s="47"/>
      <c r="N930" s="47"/>
      <c r="O930" s="47"/>
      <c r="P930" s="45" t="str">
        <f aca="false">IF($A930="","",IF(COUNTIF(Accounts!$C$2:$C$201,$A930)+COUNTIF('Service Principals'!$C$2:$C$201,$A930)+COUNTIF('Managed Identities'!$C$2:$C$201,$A930)&gt;0,"Yes","NOT IN INVENTORY"))</f>
        <v/>
      </c>
    </row>
    <row r="931" customFormat="false" ht="15" hidden="false" customHeight="false" outlineLevel="0" collapsed="false">
      <c r="A931" s="46"/>
      <c r="B931" s="47"/>
      <c r="C931" s="47"/>
      <c r="D931" s="46"/>
      <c r="E931" s="47"/>
      <c r="F931" s="47"/>
      <c r="G931" s="47"/>
      <c r="H931" s="46"/>
      <c r="I931" s="47"/>
      <c r="J931" s="47"/>
      <c r="K931" s="47"/>
      <c r="L931" s="47"/>
      <c r="M931" s="47"/>
      <c r="N931" s="47"/>
      <c r="O931" s="47"/>
      <c r="P931" s="45" t="str">
        <f aca="false">IF($A931="","",IF(COUNTIF(Accounts!$C$2:$C$201,$A931)+COUNTIF('Service Principals'!$C$2:$C$201,$A931)+COUNTIF('Managed Identities'!$C$2:$C$201,$A931)&gt;0,"Yes","NOT IN INVENTORY"))</f>
        <v/>
      </c>
    </row>
    <row r="932" customFormat="false" ht="15" hidden="false" customHeight="false" outlineLevel="0" collapsed="false">
      <c r="A932" s="46"/>
      <c r="B932" s="47"/>
      <c r="C932" s="47"/>
      <c r="D932" s="46"/>
      <c r="E932" s="47"/>
      <c r="F932" s="47"/>
      <c r="G932" s="47"/>
      <c r="H932" s="46"/>
      <c r="I932" s="47"/>
      <c r="J932" s="47"/>
      <c r="K932" s="47"/>
      <c r="L932" s="47"/>
      <c r="M932" s="47"/>
      <c r="N932" s="47"/>
      <c r="O932" s="47"/>
      <c r="P932" s="45" t="str">
        <f aca="false">IF($A932="","",IF(COUNTIF(Accounts!$C$2:$C$201,$A932)+COUNTIF('Service Principals'!$C$2:$C$201,$A932)+COUNTIF('Managed Identities'!$C$2:$C$201,$A932)&gt;0,"Yes","NOT IN INVENTORY"))</f>
        <v/>
      </c>
    </row>
    <row r="933" customFormat="false" ht="15" hidden="false" customHeight="false" outlineLevel="0" collapsed="false">
      <c r="A933" s="46"/>
      <c r="B933" s="47"/>
      <c r="C933" s="47"/>
      <c r="D933" s="46"/>
      <c r="E933" s="47"/>
      <c r="F933" s="47"/>
      <c r="G933" s="47"/>
      <c r="H933" s="46"/>
      <c r="I933" s="47"/>
      <c r="J933" s="47"/>
      <c r="K933" s="47"/>
      <c r="L933" s="47"/>
      <c r="M933" s="47"/>
      <c r="N933" s="47"/>
      <c r="O933" s="47"/>
      <c r="P933" s="45" t="str">
        <f aca="false">IF($A933="","",IF(COUNTIF(Accounts!$C$2:$C$201,$A933)+COUNTIF('Service Principals'!$C$2:$C$201,$A933)+COUNTIF('Managed Identities'!$C$2:$C$201,$A933)&gt;0,"Yes","NOT IN INVENTORY"))</f>
        <v/>
      </c>
    </row>
    <row r="934" customFormat="false" ht="15" hidden="false" customHeight="false" outlineLevel="0" collapsed="false">
      <c r="A934" s="46"/>
      <c r="B934" s="47"/>
      <c r="C934" s="47"/>
      <c r="D934" s="46"/>
      <c r="E934" s="47"/>
      <c r="F934" s="47"/>
      <c r="G934" s="47"/>
      <c r="H934" s="46"/>
      <c r="I934" s="47"/>
      <c r="J934" s="47"/>
      <c r="K934" s="47"/>
      <c r="L934" s="47"/>
      <c r="M934" s="47"/>
      <c r="N934" s="47"/>
      <c r="O934" s="47"/>
      <c r="P934" s="45" t="str">
        <f aca="false">IF($A934="","",IF(COUNTIF(Accounts!$C$2:$C$201,$A934)+COUNTIF('Service Principals'!$C$2:$C$201,$A934)+COUNTIF('Managed Identities'!$C$2:$C$201,$A934)&gt;0,"Yes","NOT IN INVENTORY"))</f>
        <v/>
      </c>
    </row>
    <row r="935" customFormat="false" ht="15" hidden="false" customHeight="false" outlineLevel="0" collapsed="false">
      <c r="A935" s="46"/>
      <c r="B935" s="47"/>
      <c r="C935" s="47"/>
      <c r="D935" s="46"/>
      <c r="E935" s="47"/>
      <c r="F935" s="47"/>
      <c r="G935" s="47"/>
      <c r="H935" s="46"/>
      <c r="I935" s="47"/>
      <c r="J935" s="47"/>
      <c r="K935" s="47"/>
      <c r="L935" s="47"/>
      <c r="M935" s="47"/>
      <c r="N935" s="47"/>
      <c r="O935" s="47"/>
      <c r="P935" s="45" t="str">
        <f aca="false">IF($A935="","",IF(COUNTIF(Accounts!$C$2:$C$201,$A935)+COUNTIF('Service Principals'!$C$2:$C$201,$A935)+COUNTIF('Managed Identities'!$C$2:$C$201,$A935)&gt;0,"Yes","NOT IN INVENTORY"))</f>
        <v/>
      </c>
    </row>
    <row r="936" customFormat="false" ht="15" hidden="false" customHeight="false" outlineLevel="0" collapsed="false">
      <c r="A936" s="46"/>
      <c r="B936" s="47"/>
      <c r="C936" s="47"/>
      <c r="D936" s="46"/>
      <c r="E936" s="47"/>
      <c r="F936" s="47"/>
      <c r="G936" s="47"/>
      <c r="H936" s="46"/>
      <c r="I936" s="47"/>
      <c r="J936" s="47"/>
      <c r="K936" s="47"/>
      <c r="L936" s="47"/>
      <c r="M936" s="47"/>
      <c r="N936" s="47"/>
      <c r="O936" s="47"/>
      <c r="P936" s="45" t="str">
        <f aca="false">IF($A936="","",IF(COUNTIF(Accounts!$C$2:$C$201,$A936)+COUNTIF('Service Principals'!$C$2:$C$201,$A936)+COUNTIF('Managed Identities'!$C$2:$C$201,$A936)&gt;0,"Yes","NOT IN INVENTORY"))</f>
        <v/>
      </c>
    </row>
    <row r="937" customFormat="false" ht="15" hidden="false" customHeight="false" outlineLevel="0" collapsed="false">
      <c r="A937" s="46"/>
      <c r="B937" s="47"/>
      <c r="C937" s="47"/>
      <c r="D937" s="46"/>
      <c r="E937" s="47"/>
      <c r="F937" s="47"/>
      <c r="G937" s="47"/>
      <c r="H937" s="46"/>
      <c r="I937" s="47"/>
      <c r="J937" s="47"/>
      <c r="K937" s="47"/>
      <c r="L937" s="47"/>
      <c r="M937" s="47"/>
      <c r="N937" s="47"/>
      <c r="O937" s="47"/>
      <c r="P937" s="45" t="str">
        <f aca="false">IF($A937="","",IF(COUNTIF(Accounts!$C$2:$C$201,$A937)+COUNTIF('Service Principals'!$C$2:$C$201,$A937)+COUNTIF('Managed Identities'!$C$2:$C$201,$A937)&gt;0,"Yes","NOT IN INVENTORY"))</f>
        <v/>
      </c>
    </row>
    <row r="938" customFormat="false" ht="15" hidden="false" customHeight="false" outlineLevel="0" collapsed="false">
      <c r="A938" s="46"/>
      <c r="B938" s="47"/>
      <c r="C938" s="47"/>
      <c r="D938" s="46"/>
      <c r="E938" s="47"/>
      <c r="F938" s="47"/>
      <c r="G938" s="47"/>
      <c r="H938" s="46"/>
      <c r="I938" s="47"/>
      <c r="J938" s="47"/>
      <c r="K938" s="47"/>
      <c r="L938" s="47"/>
      <c r="M938" s="47"/>
      <c r="N938" s="47"/>
      <c r="O938" s="47"/>
      <c r="P938" s="45" t="str">
        <f aca="false">IF($A938="","",IF(COUNTIF(Accounts!$C$2:$C$201,$A938)+COUNTIF('Service Principals'!$C$2:$C$201,$A938)+COUNTIF('Managed Identities'!$C$2:$C$201,$A938)&gt;0,"Yes","NOT IN INVENTORY"))</f>
        <v/>
      </c>
    </row>
    <row r="939" customFormat="false" ht="15" hidden="false" customHeight="false" outlineLevel="0" collapsed="false">
      <c r="A939" s="46"/>
      <c r="B939" s="47"/>
      <c r="C939" s="47"/>
      <c r="D939" s="46"/>
      <c r="E939" s="47"/>
      <c r="F939" s="47"/>
      <c r="G939" s="47"/>
      <c r="H939" s="46"/>
      <c r="I939" s="47"/>
      <c r="J939" s="47"/>
      <c r="K939" s="47"/>
      <c r="L939" s="47"/>
      <c r="M939" s="47"/>
      <c r="N939" s="47"/>
      <c r="O939" s="47"/>
      <c r="P939" s="45" t="str">
        <f aca="false">IF($A939="","",IF(COUNTIF(Accounts!$C$2:$C$201,$A939)+COUNTIF('Service Principals'!$C$2:$C$201,$A939)+COUNTIF('Managed Identities'!$C$2:$C$201,$A939)&gt;0,"Yes","NOT IN INVENTORY"))</f>
        <v/>
      </c>
    </row>
    <row r="940" customFormat="false" ht="15" hidden="false" customHeight="false" outlineLevel="0" collapsed="false">
      <c r="A940" s="46"/>
      <c r="B940" s="47"/>
      <c r="C940" s="47"/>
      <c r="D940" s="46"/>
      <c r="E940" s="47"/>
      <c r="F940" s="47"/>
      <c r="G940" s="47"/>
      <c r="H940" s="46"/>
      <c r="I940" s="47"/>
      <c r="J940" s="47"/>
      <c r="K940" s="47"/>
      <c r="L940" s="47"/>
      <c r="M940" s="47"/>
      <c r="N940" s="47"/>
      <c r="O940" s="47"/>
      <c r="P940" s="45" t="str">
        <f aca="false">IF($A940="","",IF(COUNTIF(Accounts!$C$2:$C$201,$A940)+COUNTIF('Service Principals'!$C$2:$C$201,$A940)+COUNTIF('Managed Identities'!$C$2:$C$201,$A940)&gt;0,"Yes","NOT IN INVENTORY"))</f>
        <v/>
      </c>
    </row>
    <row r="941" customFormat="false" ht="15" hidden="false" customHeight="false" outlineLevel="0" collapsed="false">
      <c r="A941" s="46"/>
      <c r="B941" s="47"/>
      <c r="C941" s="47"/>
      <c r="D941" s="46"/>
      <c r="E941" s="47"/>
      <c r="F941" s="47"/>
      <c r="G941" s="47"/>
      <c r="H941" s="46"/>
      <c r="I941" s="47"/>
      <c r="J941" s="47"/>
      <c r="K941" s="47"/>
      <c r="L941" s="47"/>
      <c r="M941" s="47"/>
      <c r="N941" s="47"/>
      <c r="O941" s="47"/>
      <c r="P941" s="45" t="str">
        <f aca="false">IF($A941="","",IF(COUNTIF(Accounts!$C$2:$C$201,$A941)+COUNTIF('Service Principals'!$C$2:$C$201,$A941)+COUNTIF('Managed Identities'!$C$2:$C$201,$A941)&gt;0,"Yes","NOT IN INVENTORY"))</f>
        <v/>
      </c>
    </row>
    <row r="942" customFormat="false" ht="15" hidden="false" customHeight="false" outlineLevel="0" collapsed="false">
      <c r="A942" s="46"/>
      <c r="B942" s="47"/>
      <c r="C942" s="47"/>
      <c r="D942" s="46"/>
      <c r="E942" s="47"/>
      <c r="F942" s="47"/>
      <c r="G942" s="47"/>
      <c r="H942" s="46"/>
      <c r="I942" s="47"/>
      <c r="J942" s="47"/>
      <c r="K942" s="47"/>
      <c r="L942" s="47"/>
      <c r="M942" s="47"/>
      <c r="N942" s="47"/>
      <c r="O942" s="47"/>
      <c r="P942" s="45" t="str">
        <f aca="false">IF($A942="","",IF(COUNTIF(Accounts!$C$2:$C$201,$A942)+COUNTIF('Service Principals'!$C$2:$C$201,$A942)+COUNTIF('Managed Identities'!$C$2:$C$201,$A942)&gt;0,"Yes","NOT IN INVENTORY"))</f>
        <v/>
      </c>
    </row>
    <row r="943" customFormat="false" ht="15" hidden="false" customHeight="false" outlineLevel="0" collapsed="false">
      <c r="A943" s="46"/>
      <c r="B943" s="47"/>
      <c r="C943" s="47"/>
      <c r="D943" s="46"/>
      <c r="E943" s="47"/>
      <c r="F943" s="47"/>
      <c r="G943" s="47"/>
      <c r="H943" s="46"/>
      <c r="I943" s="47"/>
      <c r="J943" s="47"/>
      <c r="K943" s="47"/>
      <c r="L943" s="47"/>
      <c r="M943" s="47"/>
      <c r="N943" s="47"/>
      <c r="O943" s="47"/>
      <c r="P943" s="45" t="str">
        <f aca="false">IF($A943="","",IF(COUNTIF(Accounts!$C$2:$C$201,$A943)+COUNTIF('Service Principals'!$C$2:$C$201,$A943)+COUNTIF('Managed Identities'!$C$2:$C$201,$A943)&gt;0,"Yes","NOT IN INVENTORY"))</f>
        <v/>
      </c>
    </row>
    <row r="944" customFormat="false" ht="15" hidden="false" customHeight="false" outlineLevel="0" collapsed="false">
      <c r="A944" s="46"/>
      <c r="B944" s="47"/>
      <c r="C944" s="47"/>
      <c r="D944" s="46"/>
      <c r="E944" s="47"/>
      <c r="F944" s="47"/>
      <c r="G944" s="47"/>
      <c r="H944" s="46"/>
      <c r="I944" s="47"/>
      <c r="J944" s="47"/>
      <c r="K944" s="47"/>
      <c r="L944" s="47"/>
      <c r="M944" s="47"/>
      <c r="N944" s="47"/>
      <c r="O944" s="47"/>
      <c r="P944" s="45" t="str">
        <f aca="false">IF($A944="","",IF(COUNTIF(Accounts!$C$2:$C$201,$A944)+COUNTIF('Service Principals'!$C$2:$C$201,$A944)+COUNTIF('Managed Identities'!$C$2:$C$201,$A944)&gt;0,"Yes","NOT IN INVENTORY"))</f>
        <v/>
      </c>
    </row>
    <row r="945" customFormat="false" ht="15" hidden="false" customHeight="false" outlineLevel="0" collapsed="false">
      <c r="A945" s="46"/>
      <c r="B945" s="47"/>
      <c r="C945" s="47"/>
      <c r="D945" s="46"/>
      <c r="E945" s="47"/>
      <c r="F945" s="47"/>
      <c r="G945" s="47"/>
      <c r="H945" s="46"/>
      <c r="I945" s="47"/>
      <c r="J945" s="47"/>
      <c r="K945" s="47"/>
      <c r="L945" s="47"/>
      <c r="M945" s="47"/>
      <c r="N945" s="47"/>
      <c r="O945" s="47"/>
      <c r="P945" s="45" t="str">
        <f aca="false">IF($A945="","",IF(COUNTIF(Accounts!$C$2:$C$201,$A945)+COUNTIF('Service Principals'!$C$2:$C$201,$A945)+COUNTIF('Managed Identities'!$C$2:$C$201,$A945)&gt;0,"Yes","NOT IN INVENTORY"))</f>
        <v/>
      </c>
    </row>
    <row r="946" customFormat="false" ht="15" hidden="false" customHeight="false" outlineLevel="0" collapsed="false">
      <c r="A946" s="46"/>
      <c r="B946" s="47"/>
      <c r="C946" s="47"/>
      <c r="D946" s="46"/>
      <c r="E946" s="47"/>
      <c r="F946" s="47"/>
      <c r="G946" s="47"/>
      <c r="H946" s="46"/>
      <c r="I946" s="47"/>
      <c r="J946" s="47"/>
      <c r="K946" s="47"/>
      <c r="L946" s="47"/>
      <c r="M946" s="47"/>
      <c r="N946" s="47"/>
      <c r="O946" s="47"/>
      <c r="P946" s="45" t="str">
        <f aca="false">IF($A946="","",IF(COUNTIF(Accounts!$C$2:$C$201,$A946)+COUNTIF('Service Principals'!$C$2:$C$201,$A946)+COUNTIF('Managed Identities'!$C$2:$C$201,$A946)&gt;0,"Yes","NOT IN INVENTORY"))</f>
        <v/>
      </c>
    </row>
    <row r="947" customFormat="false" ht="15" hidden="false" customHeight="false" outlineLevel="0" collapsed="false">
      <c r="A947" s="46"/>
      <c r="B947" s="47"/>
      <c r="C947" s="47"/>
      <c r="D947" s="46"/>
      <c r="E947" s="47"/>
      <c r="F947" s="47"/>
      <c r="G947" s="47"/>
      <c r="H947" s="46"/>
      <c r="I947" s="47"/>
      <c r="J947" s="47"/>
      <c r="K947" s="47"/>
      <c r="L947" s="47"/>
      <c r="M947" s="47"/>
      <c r="N947" s="47"/>
      <c r="O947" s="47"/>
      <c r="P947" s="45" t="str">
        <f aca="false">IF($A947="","",IF(COUNTIF(Accounts!$C$2:$C$201,$A947)+COUNTIF('Service Principals'!$C$2:$C$201,$A947)+COUNTIF('Managed Identities'!$C$2:$C$201,$A947)&gt;0,"Yes","NOT IN INVENTORY"))</f>
        <v/>
      </c>
    </row>
    <row r="948" customFormat="false" ht="15" hidden="false" customHeight="false" outlineLevel="0" collapsed="false">
      <c r="A948" s="46"/>
      <c r="B948" s="47"/>
      <c r="C948" s="47"/>
      <c r="D948" s="46"/>
      <c r="E948" s="47"/>
      <c r="F948" s="47"/>
      <c r="G948" s="47"/>
      <c r="H948" s="46"/>
      <c r="I948" s="47"/>
      <c r="J948" s="47"/>
      <c r="K948" s="47"/>
      <c r="L948" s="47"/>
      <c r="M948" s="47"/>
      <c r="N948" s="47"/>
      <c r="O948" s="47"/>
      <c r="P948" s="45" t="str">
        <f aca="false">IF($A948="","",IF(COUNTIF(Accounts!$C$2:$C$201,$A948)+COUNTIF('Service Principals'!$C$2:$C$201,$A948)+COUNTIF('Managed Identities'!$C$2:$C$201,$A948)&gt;0,"Yes","NOT IN INVENTORY"))</f>
        <v/>
      </c>
    </row>
    <row r="949" customFormat="false" ht="15" hidden="false" customHeight="false" outlineLevel="0" collapsed="false">
      <c r="A949" s="46"/>
      <c r="B949" s="47"/>
      <c r="C949" s="47"/>
      <c r="D949" s="46"/>
      <c r="E949" s="47"/>
      <c r="F949" s="47"/>
      <c r="G949" s="47"/>
      <c r="H949" s="46"/>
      <c r="I949" s="47"/>
      <c r="J949" s="47"/>
      <c r="K949" s="47"/>
      <c r="L949" s="47"/>
      <c r="M949" s="47"/>
      <c r="N949" s="47"/>
      <c r="O949" s="47"/>
      <c r="P949" s="45" t="str">
        <f aca="false">IF($A949="","",IF(COUNTIF(Accounts!$C$2:$C$201,$A949)+COUNTIF('Service Principals'!$C$2:$C$201,$A949)+COUNTIF('Managed Identities'!$C$2:$C$201,$A949)&gt;0,"Yes","NOT IN INVENTORY"))</f>
        <v/>
      </c>
    </row>
    <row r="950" customFormat="false" ht="15" hidden="false" customHeight="false" outlineLevel="0" collapsed="false">
      <c r="A950" s="46"/>
      <c r="B950" s="47"/>
      <c r="C950" s="47"/>
      <c r="D950" s="46"/>
      <c r="E950" s="47"/>
      <c r="F950" s="47"/>
      <c r="G950" s="47"/>
      <c r="H950" s="46"/>
      <c r="I950" s="47"/>
      <c r="J950" s="47"/>
      <c r="K950" s="47"/>
      <c r="L950" s="47"/>
      <c r="M950" s="47"/>
      <c r="N950" s="47"/>
      <c r="O950" s="47"/>
      <c r="P950" s="45" t="str">
        <f aca="false">IF($A950="","",IF(COUNTIF(Accounts!$C$2:$C$201,$A950)+COUNTIF('Service Principals'!$C$2:$C$201,$A950)+COUNTIF('Managed Identities'!$C$2:$C$201,$A950)&gt;0,"Yes","NOT IN INVENTORY"))</f>
        <v/>
      </c>
    </row>
    <row r="951" customFormat="false" ht="15" hidden="false" customHeight="false" outlineLevel="0" collapsed="false">
      <c r="A951" s="46"/>
      <c r="B951" s="47"/>
      <c r="C951" s="47"/>
      <c r="D951" s="46"/>
      <c r="E951" s="47"/>
      <c r="F951" s="47"/>
      <c r="G951" s="47"/>
      <c r="H951" s="46"/>
      <c r="I951" s="47"/>
      <c r="J951" s="47"/>
      <c r="K951" s="47"/>
      <c r="L951" s="47"/>
      <c r="M951" s="47"/>
      <c r="N951" s="47"/>
      <c r="O951" s="47"/>
      <c r="P951" s="45" t="str">
        <f aca="false">IF($A951="","",IF(COUNTIF(Accounts!$C$2:$C$201,$A951)+COUNTIF('Service Principals'!$C$2:$C$201,$A951)+COUNTIF('Managed Identities'!$C$2:$C$201,$A951)&gt;0,"Yes","NOT IN INVENTORY"))</f>
        <v/>
      </c>
    </row>
    <row r="952" customFormat="false" ht="15" hidden="false" customHeight="false" outlineLevel="0" collapsed="false">
      <c r="A952" s="46"/>
      <c r="B952" s="47"/>
      <c r="C952" s="47"/>
      <c r="D952" s="46"/>
      <c r="E952" s="47"/>
      <c r="F952" s="47"/>
      <c r="G952" s="47"/>
      <c r="H952" s="46"/>
      <c r="I952" s="47"/>
      <c r="J952" s="47"/>
      <c r="K952" s="47"/>
      <c r="L952" s="47"/>
      <c r="M952" s="47"/>
      <c r="N952" s="47"/>
      <c r="O952" s="47"/>
      <c r="P952" s="45" t="str">
        <f aca="false">IF($A952="","",IF(COUNTIF(Accounts!$C$2:$C$201,$A952)+COUNTIF('Service Principals'!$C$2:$C$201,$A952)+COUNTIF('Managed Identities'!$C$2:$C$201,$A952)&gt;0,"Yes","NOT IN INVENTORY"))</f>
        <v/>
      </c>
    </row>
    <row r="953" customFormat="false" ht="15" hidden="false" customHeight="false" outlineLevel="0" collapsed="false">
      <c r="A953" s="46"/>
      <c r="B953" s="47"/>
      <c r="C953" s="47"/>
      <c r="D953" s="46"/>
      <c r="E953" s="47"/>
      <c r="F953" s="47"/>
      <c r="G953" s="47"/>
      <c r="H953" s="46"/>
      <c r="I953" s="47"/>
      <c r="J953" s="47"/>
      <c r="K953" s="47"/>
      <c r="L953" s="47"/>
      <c r="M953" s="47"/>
      <c r="N953" s="47"/>
      <c r="O953" s="47"/>
      <c r="P953" s="45" t="str">
        <f aca="false">IF($A953="","",IF(COUNTIF(Accounts!$C$2:$C$201,$A953)+COUNTIF('Service Principals'!$C$2:$C$201,$A953)+COUNTIF('Managed Identities'!$C$2:$C$201,$A953)&gt;0,"Yes","NOT IN INVENTORY"))</f>
        <v/>
      </c>
    </row>
    <row r="954" customFormat="false" ht="15" hidden="false" customHeight="false" outlineLevel="0" collapsed="false">
      <c r="A954" s="46"/>
      <c r="B954" s="47"/>
      <c r="C954" s="47"/>
      <c r="D954" s="46"/>
      <c r="E954" s="47"/>
      <c r="F954" s="47"/>
      <c r="G954" s="47"/>
      <c r="H954" s="46"/>
      <c r="I954" s="47"/>
      <c r="J954" s="47"/>
      <c r="K954" s="47"/>
      <c r="L954" s="47"/>
      <c r="M954" s="47"/>
      <c r="N954" s="47"/>
      <c r="O954" s="47"/>
      <c r="P954" s="45" t="str">
        <f aca="false">IF($A954="","",IF(COUNTIF(Accounts!$C$2:$C$201,$A954)+COUNTIF('Service Principals'!$C$2:$C$201,$A954)+COUNTIF('Managed Identities'!$C$2:$C$201,$A954)&gt;0,"Yes","NOT IN INVENTORY"))</f>
        <v/>
      </c>
    </row>
    <row r="955" customFormat="false" ht="15" hidden="false" customHeight="false" outlineLevel="0" collapsed="false">
      <c r="A955" s="46"/>
      <c r="B955" s="47"/>
      <c r="C955" s="47"/>
      <c r="D955" s="46"/>
      <c r="E955" s="47"/>
      <c r="F955" s="47"/>
      <c r="G955" s="47"/>
      <c r="H955" s="46"/>
      <c r="I955" s="47"/>
      <c r="J955" s="47"/>
      <c r="K955" s="47"/>
      <c r="L955" s="47"/>
      <c r="M955" s="47"/>
      <c r="N955" s="47"/>
      <c r="O955" s="47"/>
      <c r="P955" s="45" t="str">
        <f aca="false">IF($A955="","",IF(COUNTIF(Accounts!$C$2:$C$201,$A955)+COUNTIF('Service Principals'!$C$2:$C$201,$A955)+COUNTIF('Managed Identities'!$C$2:$C$201,$A955)&gt;0,"Yes","NOT IN INVENTORY"))</f>
        <v/>
      </c>
    </row>
    <row r="956" customFormat="false" ht="15" hidden="false" customHeight="false" outlineLevel="0" collapsed="false">
      <c r="A956" s="46"/>
      <c r="B956" s="47"/>
      <c r="C956" s="47"/>
      <c r="D956" s="46"/>
      <c r="E956" s="47"/>
      <c r="F956" s="47"/>
      <c r="G956" s="47"/>
      <c r="H956" s="46"/>
      <c r="I956" s="47"/>
      <c r="J956" s="47"/>
      <c r="K956" s="47"/>
      <c r="L956" s="47"/>
      <c r="M956" s="47"/>
      <c r="N956" s="47"/>
      <c r="O956" s="47"/>
      <c r="P956" s="45" t="str">
        <f aca="false">IF($A956="","",IF(COUNTIF(Accounts!$C$2:$C$201,$A956)+COUNTIF('Service Principals'!$C$2:$C$201,$A956)+COUNTIF('Managed Identities'!$C$2:$C$201,$A956)&gt;0,"Yes","NOT IN INVENTORY"))</f>
        <v/>
      </c>
    </row>
    <row r="957" customFormat="false" ht="15" hidden="false" customHeight="false" outlineLevel="0" collapsed="false">
      <c r="A957" s="46"/>
      <c r="B957" s="47"/>
      <c r="C957" s="47"/>
      <c r="D957" s="46"/>
      <c r="E957" s="47"/>
      <c r="F957" s="47"/>
      <c r="G957" s="47"/>
      <c r="H957" s="46"/>
      <c r="I957" s="47"/>
      <c r="J957" s="47"/>
      <c r="K957" s="47"/>
      <c r="L957" s="47"/>
      <c r="M957" s="47"/>
      <c r="N957" s="47"/>
      <c r="O957" s="47"/>
      <c r="P957" s="45" t="str">
        <f aca="false">IF($A957="","",IF(COUNTIF(Accounts!$C$2:$C$201,$A957)+COUNTIF('Service Principals'!$C$2:$C$201,$A957)+COUNTIF('Managed Identities'!$C$2:$C$201,$A957)&gt;0,"Yes","NOT IN INVENTORY"))</f>
        <v/>
      </c>
    </row>
    <row r="958" customFormat="false" ht="15" hidden="false" customHeight="false" outlineLevel="0" collapsed="false">
      <c r="A958" s="46"/>
      <c r="B958" s="47"/>
      <c r="C958" s="47"/>
      <c r="D958" s="46"/>
      <c r="E958" s="47"/>
      <c r="F958" s="47"/>
      <c r="G958" s="47"/>
      <c r="H958" s="46"/>
      <c r="I958" s="47"/>
      <c r="J958" s="47"/>
      <c r="K958" s="47"/>
      <c r="L958" s="47"/>
      <c r="M958" s="47"/>
      <c r="N958" s="47"/>
      <c r="O958" s="47"/>
      <c r="P958" s="45" t="str">
        <f aca="false">IF($A958="","",IF(COUNTIF(Accounts!$C$2:$C$201,$A958)+COUNTIF('Service Principals'!$C$2:$C$201,$A958)+COUNTIF('Managed Identities'!$C$2:$C$201,$A958)&gt;0,"Yes","NOT IN INVENTORY"))</f>
        <v/>
      </c>
    </row>
    <row r="959" customFormat="false" ht="15" hidden="false" customHeight="false" outlineLevel="0" collapsed="false">
      <c r="A959" s="46"/>
      <c r="B959" s="47"/>
      <c r="C959" s="47"/>
      <c r="D959" s="46"/>
      <c r="E959" s="47"/>
      <c r="F959" s="47"/>
      <c r="G959" s="47"/>
      <c r="H959" s="46"/>
      <c r="I959" s="47"/>
      <c r="J959" s="47"/>
      <c r="K959" s="47"/>
      <c r="L959" s="47"/>
      <c r="M959" s="47"/>
      <c r="N959" s="47"/>
      <c r="O959" s="47"/>
      <c r="P959" s="45" t="str">
        <f aca="false">IF($A959="","",IF(COUNTIF(Accounts!$C$2:$C$201,$A959)+COUNTIF('Service Principals'!$C$2:$C$201,$A959)+COUNTIF('Managed Identities'!$C$2:$C$201,$A959)&gt;0,"Yes","NOT IN INVENTORY"))</f>
        <v/>
      </c>
    </row>
    <row r="960" customFormat="false" ht="15" hidden="false" customHeight="false" outlineLevel="0" collapsed="false">
      <c r="A960" s="46"/>
      <c r="B960" s="47"/>
      <c r="C960" s="47"/>
      <c r="D960" s="46"/>
      <c r="E960" s="47"/>
      <c r="F960" s="47"/>
      <c r="G960" s="47"/>
      <c r="H960" s="46"/>
      <c r="I960" s="47"/>
      <c r="J960" s="47"/>
      <c r="K960" s="47"/>
      <c r="L960" s="47"/>
      <c r="M960" s="47"/>
      <c r="N960" s="47"/>
      <c r="O960" s="47"/>
      <c r="P960" s="45" t="str">
        <f aca="false">IF($A960="","",IF(COUNTIF(Accounts!$C$2:$C$201,$A960)+COUNTIF('Service Principals'!$C$2:$C$201,$A960)+COUNTIF('Managed Identities'!$C$2:$C$201,$A960)&gt;0,"Yes","NOT IN INVENTORY"))</f>
        <v/>
      </c>
    </row>
    <row r="961" customFormat="false" ht="15" hidden="false" customHeight="false" outlineLevel="0" collapsed="false">
      <c r="A961" s="46"/>
      <c r="B961" s="47"/>
      <c r="C961" s="47"/>
      <c r="D961" s="46"/>
      <c r="E961" s="47"/>
      <c r="F961" s="47"/>
      <c r="G961" s="47"/>
      <c r="H961" s="46"/>
      <c r="I961" s="47"/>
      <c r="J961" s="47"/>
      <c r="K961" s="47"/>
      <c r="L961" s="47"/>
      <c r="M961" s="47"/>
      <c r="N961" s="47"/>
      <c r="O961" s="47"/>
      <c r="P961" s="45" t="str">
        <f aca="false">IF($A961="","",IF(COUNTIF(Accounts!$C$2:$C$201,$A961)+COUNTIF('Service Principals'!$C$2:$C$201,$A961)+COUNTIF('Managed Identities'!$C$2:$C$201,$A961)&gt;0,"Yes","NOT IN INVENTORY"))</f>
        <v/>
      </c>
    </row>
    <row r="962" customFormat="false" ht="15" hidden="false" customHeight="false" outlineLevel="0" collapsed="false">
      <c r="A962" s="46"/>
      <c r="B962" s="47"/>
      <c r="C962" s="47"/>
      <c r="D962" s="46"/>
      <c r="E962" s="47"/>
      <c r="F962" s="47"/>
      <c r="G962" s="47"/>
      <c r="H962" s="46"/>
      <c r="I962" s="47"/>
      <c r="J962" s="47"/>
      <c r="K962" s="47"/>
      <c r="L962" s="47"/>
      <c r="M962" s="47"/>
      <c r="N962" s="47"/>
      <c r="O962" s="47"/>
      <c r="P962" s="45" t="str">
        <f aca="false">IF($A962="","",IF(COUNTIF(Accounts!$C$2:$C$201,$A962)+COUNTIF('Service Principals'!$C$2:$C$201,$A962)+COUNTIF('Managed Identities'!$C$2:$C$201,$A962)&gt;0,"Yes","NOT IN INVENTORY"))</f>
        <v/>
      </c>
    </row>
    <row r="963" customFormat="false" ht="15" hidden="false" customHeight="false" outlineLevel="0" collapsed="false">
      <c r="A963" s="46"/>
      <c r="B963" s="47"/>
      <c r="C963" s="47"/>
      <c r="D963" s="46"/>
      <c r="E963" s="47"/>
      <c r="F963" s="47"/>
      <c r="G963" s="47"/>
      <c r="H963" s="46"/>
      <c r="I963" s="47"/>
      <c r="J963" s="47"/>
      <c r="K963" s="47"/>
      <c r="L963" s="47"/>
      <c r="M963" s="47"/>
      <c r="N963" s="47"/>
      <c r="O963" s="47"/>
      <c r="P963" s="45" t="str">
        <f aca="false">IF($A963="","",IF(COUNTIF(Accounts!$C$2:$C$201,$A963)+COUNTIF('Service Principals'!$C$2:$C$201,$A963)+COUNTIF('Managed Identities'!$C$2:$C$201,$A963)&gt;0,"Yes","NOT IN INVENTORY"))</f>
        <v/>
      </c>
    </row>
    <row r="964" customFormat="false" ht="15" hidden="false" customHeight="false" outlineLevel="0" collapsed="false">
      <c r="A964" s="46"/>
      <c r="B964" s="47"/>
      <c r="C964" s="47"/>
      <c r="D964" s="46"/>
      <c r="E964" s="47"/>
      <c r="F964" s="47"/>
      <c r="G964" s="47"/>
      <c r="H964" s="46"/>
      <c r="I964" s="47"/>
      <c r="J964" s="47"/>
      <c r="K964" s="47"/>
      <c r="L964" s="47"/>
      <c r="M964" s="47"/>
      <c r="N964" s="47"/>
      <c r="O964" s="47"/>
      <c r="P964" s="45" t="str">
        <f aca="false">IF($A964="","",IF(COUNTIF(Accounts!$C$2:$C$201,$A964)+COUNTIF('Service Principals'!$C$2:$C$201,$A964)+COUNTIF('Managed Identities'!$C$2:$C$201,$A964)&gt;0,"Yes","NOT IN INVENTORY"))</f>
        <v/>
      </c>
    </row>
    <row r="965" customFormat="false" ht="15" hidden="false" customHeight="false" outlineLevel="0" collapsed="false">
      <c r="A965" s="46"/>
      <c r="B965" s="47"/>
      <c r="C965" s="47"/>
      <c r="D965" s="46"/>
      <c r="E965" s="47"/>
      <c r="F965" s="47"/>
      <c r="G965" s="47"/>
      <c r="H965" s="46"/>
      <c r="I965" s="47"/>
      <c r="J965" s="47"/>
      <c r="K965" s="47"/>
      <c r="L965" s="47"/>
      <c r="M965" s="47"/>
      <c r="N965" s="47"/>
      <c r="O965" s="47"/>
      <c r="P965" s="45" t="str">
        <f aca="false">IF($A965="","",IF(COUNTIF(Accounts!$C$2:$C$201,$A965)+COUNTIF('Service Principals'!$C$2:$C$201,$A965)+COUNTIF('Managed Identities'!$C$2:$C$201,$A965)&gt;0,"Yes","NOT IN INVENTORY"))</f>
        <v/>
      </c>
    </row>
    <row r="966" customFormat="false" ht="15" hidden="false" customHeight="false" outlineLevel="0" collapsed="false">
      <c r="A966" s="46"/>
      <c r="B966" s="47"/>
      <c r="C966" s="47"/>
      <c r="D966" s="46"/>
      <c r="E966" s="47"/>
      <c r="F966" s="47"/>
      <c r="G966" s="47"/>
      <c r="H966" s="46"/>
      <c r="I966" s="47"/>
      <c r="J966" s="47"/>
      <c r="K966" s="47"/>
      <c r="L966" s="47"/>
      <c r="M966" s="47"/>
      <c r="N966" s="47"/>
      <c r="O966" s="47"/>
      <c r="P966" s="45" t="str">
        <f aca="false">IF($A966="","",IF(COUNTIF(Accounts!$C$2:$C$201,$A966)+COUNTIF('Service Principals'!$C$2:$C$201,$A966)+COUNTIF('Managed Identities'!$C$2:$C$201,$A966)&gt;0,"Yes","NOT IN INVENTORY"))</f>
        <v/>
      </c>
    </row>
    <row r="967" customFormat="false" ht="15" hidden="false" customHeight="false" outlineLevel="0" collapsed="false">
      <c r="A967" s="46"/>
      <c r="B967" s="47"/>
      <c r="C967" s="47"/>
      <c r="D967" s="46"/>
      <c r="E967" s="47"/>
      <c r="F967" s="47"/>
      <c r="G967" s="47"/>
      <c r="H967" s="46"/>
      <c r="I967" s="47"/>
      <c r="J967" s="47"/>
      <c r="K967" s="47"/>
      <c r="L967" s="47"/>
      <c r="M967" s="47"/>
      <c r="N967" s="47"/>
      <c r="O967" s="47"/>
      <c r="P967" s="45" t="str">
        <f aca="false">IF($A967="","",IF(COUNTIF(Accounts!$C$2:$C$201,$A967)+COUNTIF('Service Principals'!$C$2:$C$201,$A967)+COUNTIF('Managed Identities'!$C$2:$C$201,$A967)&gt;0,"Yes","NOT IN INVENTORY"))</f>
        <v/>
      </c>
    </row>
    <row r="968" customFormat="false" ht="15" hidden="false" customHeight="false" outlineLevel="0" collapsed="false">
      <c r="A968" s="46"/>
      <c r="B968" s="47"/>
      <c r="C968" s="47"/>
      <c r="D968" s="46"/>
      <c r="E968" s="47"/>
      <c r="F968" s="47"/>
      <c r="G968" s="47"/>
      <c r="H968" s="46"/>
      <c r="I968" s="47"/>
      <c r="J968" s="47"/>
      <c r="K968" s="47"/>
      <c r="L968" s="47"/>
      <c r="M968" s="47"/>
      <c r="N968" s="47"/>
      <c r="O968" s="47"/>
      <c r="P968" s="45" t="str">
        <f aca="false">IF($A968="","",IF(COUNTIF(Accounts!$C$2:$C$201,$A968)+COUNTIF('Service Principals'!$C$2:$C$201,$A968)+COUNTIF('Managed Identities'!$C$2:$C$201,$A968)&gt;0,"Yes","NOT IN INVENTORY"))</f>
        <v/>
      </c>
    </row>
    <row r="969" customFormat="false" ht="15" hidden="false" customHeight="false" outlineLevel="0" collapsed="false">
      <c r="A969" s="46"/>
      <c r="B969" s="47"/>
      <c r="C969" s="47"/>
      <c r="D969" s="46"/>
      <c r="E969" s="47"/>
      <c r="F969" s="47"/>
      <c r="G969" s="47"/>
      <c r="H969" s="46"/>
      <c r="I969" s="47"/>
      <c r="J969" s="47"/>
      <c r="K969" s="47"/>
      <c r="L969" s="47"/>
      <c r="M969" s="47"/>
      <c r="N969" s="47"/>
      <c r="O969" s="47"/>
      <c r="P969" s="45" t="str">
        <f aca="false">IF($A969="","",IF(COUNTIF(Accounts!$C$2:$C$201,$A969)+COUNTIF('Service Principals'!$C$2:$C$201,$A969)+COUNTIF('Managed Identities'!$C$2:$C$201,$A969)&gt;0,"Yes","NOT IN INVENTORY"))</f>
        <v/>
      </c>
    </row>
    <row r="970" customFormat="false" ht="15" hidden="false" customHeight="false" outlineLevel="0" collapsed="false">
      <c r="A970" s="46"/>
      <c r="B970" s="47"/>
      <c r="C970" s="47"/>
      <c r="D970" s="46"/>
      <c r="E970" s="47"/>
      <c r="F970" s="47"/>
      <c r="G970" s="47"/>
      <c r="H970" s="46"/>
      <c r="I970" s="47"/>
      <c r="J970" s="47"/>
      <c r="K970" s="47"/>
      <c r="L970" s="47"/>
      <c r="M970" s="47"/>
      <c r="N970" s="47"/>
      <c r="O970" s="47"/>
      <c r="P970" s="45" t="str">
        <f aca="false">IF($A970="","",IF(COUNTIF(Accounts!$C$2:$C$201,$A970)+COUNTIF('Service Principals'!$C$2:$C$201,$A970)+COUNTIF('Managed Identities'!$C$2:$C$201,$A970)&gt;0,"Yes","NOT IN INVENTORY"))</f>
        <v/>
      </c>
    </row>
    <row r="971" customFormat="false" ht="15" hidden="false" customHeight="false" outlineLevel="0" collapsed="false">
      <c r="A971" s="46"/>
      <c r="B971" s="47"/>
      <c r="C971" s="47"/>
      <c r="D971" s="46"/>
      <c r="E971" s="47"/>
      <c r="F971" s="47"/>
      <c r="G971" s="47"/>
      <c r="H971" s="46"/>
      <c r="I971" s="47"/>
      <c r="J971" s="47"/>
      <c r="K971" s="47"/>
      <c r="L971" s="47"/>
      <c r="M971" s="47"/>
      <c r="N971" s="47"/>
      <c r="O971" s="47"/>
      <c r="P971" s="45" t="str">
        <f aca="false">IF($A971="","",IF(COUNTIF(Accounts!$C$2:$C$201,$A971)+COUNTIF('Service Principals'!$C$2:$C$201,$A971)+COUNTIF('Managed Identities'!$C$2:$C$201,$A971)&gt;0,"Yes","NOT IN INVENTORY"))</f>
        <v/>
      </c>
    </row>
    <row r="972" customFormat="false" ht="15" hidden="false" customHeight="false" outlineLevel="0" collapsed="false">
      <c r="A972" s="46"/>
      <c r="B972" s="47"/>
      <c r="C972" s="47"/>
      <c r="D972" s="46"/>
      <c r="E972" s="47"/>
      <c r="F972" s="47"/>
      <c r="G972" s="47"/>
      <c r="H972" s="46"/>
      <c r="I972" s="47"/>
      <c r="J972" s="47"/>
      <c r="K972" s="47"/>
      <c r="L972" s="47"/>
      <c r="M972" s="47"/>
      <c r="N972" s="47"/>
      <c r="O972" s="47"/>
      <c r="P972" s="45" t="str">
        <f aca="false">IF($A972="","",IF(COUNTIF(Accounts!$C$2:$C$201,$A972)+COUNTIF('Service Principals'!$C$2:$C$201,$A972)+COUNTIF('Managed Identities'!$C$2:$C$201,$A972)&gt;0,"Yes","NOT IN INVENTORY"))</f>
        <v/>
      </c>
    </row>
    <row r="973" customFormat="false" ht="15" hidden="false" customHeight="false" outlineLevel="0" collapsed="false">
      <c r="A973" s="46"/>
      <c r="B973" s="47"/>
      <c r="C973" s="47"/>
      <c r="D973" s="46"/>
      <c r="E973" s="47"/>
      <c r="F973" s="47"/>
      <c r="G973" s="47"/>
      <c r="H973" s="46"/>
      <c r="I973" s="47"/>
      <c r="J973" s="47"/>
      <c r="K973" s="47"/>
      <c r="L973" s="47"/>
      <c r="M973" s="47"/>
      <c r="N973" s="47"/>
      <c r="O973" s="47"/>
      <c r="P973" s="45" t="str">
        <f aca="false">IF($A973="","",IF(COUNTIF(Accounts!$C$2:$C$201,$A973)+COUNTIF('Service Principals'!$C$2:$C$201,$A973)+COUNTIF('Managed Identities'!$C$2:$C$201,$A973)&gt;0,"Yes","NOT IN INVENTORY"))</f>
        <v/>
      </c>
    </row>
    <row r="974" customFormat="false" ht="15" hidden="false" customHeight="false" outlineLevel="0" collapsed="false">
      <c r="A974" s="46"/>
      <c r="B974" s="47"/>
      <c r="C974" s="47"/>
      <c r="D974" s="46"/>
      <c r="E974" s="47"/>
      <c r="F974" s="47"/>
      <c r="G974" s="47"/>
      <c r="H974" s="46"/>
      <c r="I974" s="47"/>
      <c r="J974" s="47"/>
      <c r="K974" s="47"/>
      <c r="L974" s="47"/>
      <c r="M974" s="47"/>
      <c r="N974" s="47"/>
      <c r="O974" s="47"/>
      <c r="P974" s="45" t="str">
        <f aca="false">IF($A974="","",IF(COUNTIF(Accounts!$C$2:$C$201,$A974)+COUNTIF('Service Principals'!$C$2:$C$201,$A974)+COUNTIF('Managed Identities'!$C$2:$C$201,$A974)&gt;0,"Yes","NOT IN INVENTORY"))</f>
        <v/>
      </c>
    </row>
    <row r="975" customFormat="false" ht="15" hidden="false" customHeight="false" outlineLevel="0" collapsed="false">
      <c r="A975" s="46"/>
      <c r="B975" s="47"/>
      <c r="C975" s="47"/>
      <c r="D975" s="46"/>
      <c r="E975" s="47"/>
      <c r="F975" s="47"/>
      <c r="G975" s="47"/>
      <c r="H975" s="46"/>
      <c r="I975" s="47"/>
      <c r="J975" s="47"/>
      <c r="K975" s="47"/>
      <c r="L975" s="47"/>
      <c r="M975" s="47"/>
      <c r="N975" s="47"/>
      <c r="O975" s="47"/>
      <c r="P975" s="45" t="str">
        <f aca="false">IF($A975="","",IF(COUNTIF(Accounts!$C$2:$C$201,$A975)+COUNTIF('Service Principals'!$C$2:$C$201,$A975)+COUNTIF('Managed Identities'!$C$2:$C$201,$A975)&gt;0,"Yes","NOT IN INVENTORY"))</f>
        <v/>
      </c>
    </row>
    <row r="976" customFormat="false" ht="15" hidden="false" customHeight="false" outlineLevel="0" collapsed="false">
      <c r="A976" s="46"/>
      <c r="B976" s="47"/>
      <c r="C976" s="47"/>
      <c r="D976" s="46"/>
      <c r="E976" s="47"/>
      <c r="F976" s="47"/>
      <c r="G976" s="47"/>
      <c r="H976" s="46"/>
      <c r="I976" s="47"/>
      <c r="J976" s="47"/>
      <c r="K976" s="47"/>
      <c r="L976" s="47"/>
      <c r="M976" s="47"/>
      <c r="N976" s="47"/>
      <c r="O976" s="47"/>
      <c r="P976" s="45" t="str">
        <f aca="false">IF($A976="","",IF(COUNTIF(Accounts!$C$2:$C$201,$A976)+COUNTIF('Service Principals'!$C$2:$C$201,$A976)+COUNTIF('Managed Identities'!$C$2:$C$201,$A976)&gt;0,"Yes","NOT IN INVENTORY"))</f>
        <v/>
      </c>
    </row>
    <row r="977" customFormat="false" ht="15" hidden="false" customHeight="false" outlineLevel="0" collapsed="false">
      <c r="A977" s="46"/>
      <c r="B977" s="47"/>
      <c r="C977" s="47"/>
      <c r="D977" s="46"/>
      <c r="E977" s="47"/>
      <c r="F977" s="47"/>
      <c r="G977" s="47"/>
      <c r="H977" s="46"/>
      <c r="I977" s="47"/>
      <c r="J977" s="47"/>
      <c r="K977" s="47"/>
      <c r="L977" s="47"/>
      <c r="M977" s="47"/>
      <c r="N977" s="47"/>
      <c r="O977" s="47"/>
      <c r="P977" s="45" t="str">
        <f aca="false">IF($A977="","",IF(COUNTIF(Accounts!$C$2:$C$201,$A977)+COUNTIF('Service Principals'!$C$2:$C$201,$A977)+COUNTIF('Managed Identities'!$C$2:$C$201,$A977)&gt;0,"Yes","NOT IN INVENTORY"))</f>
        <v/>
      </c>
    </row>
    <row r="978" customFormat="false" ht="15" hidden="false" customHeight="false" outlineLevel="0" collapsed="false">
      <c r="A978" s="46"/>
      <c r="B978" s="47"/>
      <c r="C978" s="47"/>
      <c r="D978" s="46"/>
      <c r="E978" s="47"/>
      <c r="F978" s="47"/>
      <c r="G978" s="47"/>
      <c r="H978" s="46"/>
      <c r="I978" s="47"/>
      <c r="J978" s="47"/>
      <c r="K978" s="47"/>
      <c r="L978" s="47"/>
      <c r="M978" s="47"/>
      <c r="N978" s="47"/>
      <c r="O978" s="47"/>
      <c r="P978" s="45" t="str">
        <f aca="false">IF($A978="","",IF(COUNTIF(Accounts!$C$2:$C$201,$A978)+COUNTIF('Service Principals'!$C$2:$C$201,$A978)+COUNTIF('Managed Identities'!$C$2:$C$201,$A978)&gt;0,"Yes","NOT IN INVENTORY"))</f>
        <v/>
      </c>
    </row>
    <row r="979" customFormat="false" ht="15" hidden="false" customHeight="false" outlineLevel="0" collapsed="false">
      <c r="A979" s="46"/>
      <c r="B979" s="47"/>
      <c r="C979" s="47"/>
      <c r="D979" s="46"/>
      <c r="E979" s="47"/>
      <c r="F979" s="47"/>
      <c r="G979" s="47"/>
      <c r="H979" s="46"/>
      <c r="I979" s="47"/>
      <c r="J979" s="47"/>
      <c r="K979" s="47"/>
      <c r="L979" s="47"/>
      <c r="M979" s="47"/>
      <c r="N979" s="47"/>
      <c r="O979" s="47"/>
      <c r="P979" s="45" t="str">
        <f aca="false">IF($A979="","",IF(COUNTIF(Accounts!$C$2:$C$201,$A979)+COUNTIF('Service Principals'!$C$2:$C$201,$A979)+COUNTIF('Managed Identities'!$C$2:$C$201,$A979)&gt;0,"Yes","NOT IN INVENTORY"))</f>
        <v/>
      </c>
    </row>
    <row r="980" customFormat="false" ht="15" hidden="false" customHeight="false" outlineLevel="0" collapsed="false">
      <c r="A980" s="46"/>
      <c r="B980" s="47"/>
      <c r="C980" s="47"/>
      <c r="D980" s="46"/>
      <c r="E980" s="47"/>
      <c r="F980" s="47"/>
      <c r="G980" s="47"/>
      <c r="H980" s="46"/>
      <c r="I980" s="47"/>
      <c r="J980" s="47"/>
      <c r="K980" s="47"/>
      <c r="L980" s="47"/>
      <c r="M980" s="47"/>
      <c r="N980" s="47"/>
      <c r="O980" s="47"/>
      <c r="P980" s="45" t="str">
        <f aca="false">IF($A980="","",IF(COUNTIF(Accounts!$C$2:$C$201,$A980)+COUNTIF('Service Principals'!$C$2:$C$201,$A980)+COUNTIF('Managed Identities'!$C$2:$C$201,$A980)&gt;0,"Yes","NOT IN INVENTORY"))</f>
        <v/>
      </c>
    </row>
    <row r="981" customFormat="false" ht="15" hidden="false" customHeight="false" outlineLevel="0" collapsed="false">
      <c r="A981" s="46"/>
      <c r="B981" s="47"/>
      <c r="C981" s="47"/>
      <c r="D981" s="46"/>
      <c r="E981" s="47"/>
      <c r="F981" s="47"/>
      <c r="G981" s="47"/>
      <c r="H981" s="46"/>
      <c r="I981" s="47"/>
      <c r="J981" s="47"/>
      <c r="K981" s="47"/>
      <c r="L981" s="47"/>
      <c r="M981" s="47"/>
      <c r="N981" s="47"/>
      <c r="O981" s="47"/>
      <c r="P981" s="45" t="str">
        <f aca="false">IF($A981="","",IF(COUNTIF(Accounts!$C$2:$C$201,$A981)+COUNTIF('Service Principals'!$C$2:$C$201,$A981)+COUNTIF('Managed Identities'!$C$2:$C$201,$A981)&gt;0,"Yes","NOT IN INVENTORY"))</f>
        <v/>
      </c>
    </row>
    <row r="982" customFormat="false" ht="15" hidden="false" customHeight="false" outlineLevel="0" collapsed="false">
      <c r="A982" s="46"/>
      <c r="B982" s="47"/>
      <c r="C982" s="47"/>
      <c r="D982" s="46"/>
      <c r="E982" s="47"/>
      <c r="F982" s="47"/>
      <c r="G982" s="47"/>
      <c r="H982" s="46"/>
      <c r="I982" s="47"/>
      <c r="J982" s="47"/>
      <c r="K982" s="47"/>
      <c r="L982" s="47"/>
      <c r="M982" s="47"/>
      <c r="N982" s="47"/>
      <c r="O982" s="47"/>
      <c r="P982" s="45" t="str">
        <f aca="false">IF($A982="","",IF(COUNTIF(Accounts!$C$2:$C$201,$A982)+COUNTIF('Service Principals'!$C$2:$C$201,$A982)+COUNTIF('Managed Identities'!$C$2:$C$201,$A982)&gt;0,"Yes","NOT IN INVENTORY"))</f>
        <v/>
      </c>
    </row>
    <row r="983" customFormat="false" ht="15" hidden="false" customHeight="false" outlineLevel="0" collapsed="false">
      <c r="A983" s="46"/>
      <c r="B983" s="47"/>
      <c r="C983" s="47"/>
      <c r="D983" s="46"/>
      <c r="E983" s="47"/>
      <c r="F983" s="47"/>
      <c r="G983" s="47"/>
      <c r="H983" s="46"/>
      <c r="I983" s="47"/>
      <c r="J983" s="47"/>
      <c r="K983" s="47"/>
      <c r="L983" s="47"/>
      <c r="M983" s="47"/>
      <c r="N983" s="47"/>
      <c r="O983" s="47"/>
      <c r="P983" s="45" t="str">
        <f aca="false">IF($A983="","",IF(COUNTIF(Accounts!$C$2:$C$201,$A983)+COUNTIF('Service Principals'!$C$2:$C$201,$A983)+COUNTIF('Managed Identities'!$C$2:$C$201,$A983)&gt;0,"Yes","NOT IN INVENTORY"))</f>
        <v/>
      </c>
    </row>
    <row r="984" customFormat="false" ht="15" hidden="false" customHeight="false" outlineLevel="0" collapsed="false">
      <c r="A984" s="46"/>
      <c r="B984" s="47"/>
      <c r="C984" s="47"/>
      <c r="D984" s="46"/>
      <c r="E984" s="47"/>
      <c r="F984" s="47"/>
      <c r="G984" s="47"/>
      <c r="H984" s="46"/>
      <c r="I984" s="47"/>
      <c r="J984" s="47"/>
      <c r="K984" s="47"/>
      <c r="L984" s="47"/>
      <c r="M984" s="47"/>
      <c r="N984" s="47"/>
      <c r="O984" s="47"/>
      <c r="P984" s="45" t="str">
        <f aca="false">IF($A984="","",IF(COUNTIF(Accounts!$C$2:$C$201,$A984)+COUNTIF('Service Principals'!$C$2:$C$201,$A984)+COUNTIF('Managed Identities'!$C$2:$C$201,$A984)&gt;0,"Yes","NOT IN INVENTORY"))</f>
        <v/>
      </c>
    </row>
    <row r="985" customFormat="false" ht="15" hidden="false" customHeight="false" outlineLevel="0" collapsed="false">
      <c r="A985" s="46"/>
      <c r="B985" s="47"/>
      <c r="C985" s="47"/>
      <c r="D985" s="46"/>
      <c r="E985" s="47"/>
      <c r="F985" s="47"/>
      <c r="G985" s="47"/>
      <c r="H985" s="46"/>
      <c r="I985" s="47"/>
      <c r="J985" s="47"/>
      <c r="K985" s="47"/>
      <c r="L985" s="47"/>
      <c r="M985" s="47"/>
      <c r="N985" s="47"/>
      <c r="O985" s="47"/>
      <c r="P985" s="45" t="str">
        <f aca="false">IF($A985="","",IF(COUNTIF(Accounts!$C$2:$C$201,$A985)+COUNTIF('Service Principals'!$C$2:$C$201,$A985)+COUNTIF('Managed Identities'!$C$2:$C$201,$A985)&gt;0,"Yes","NOT IN INVENTORY"))</f>
        <v/>
      </c>
    </row>
    <row r="986" customFormat="false" ht="15" hidden="false" customHeight="false" outlineLevel="0" collapsed="false">
      <c r="A986" s="46"/>
      <c r="B986" s="47"/>
      <c r="C986" s="47"/>
      <c r="D986" s="46"/>
      <c r="E986" s="47"/>
      <c r="F986" s="47"/>
      <c r="G986" s="47"/>
      <c r="H986" s="46"/>
      <c r="I986" s="47"/>
      <c r="J986" s="47"/>
      <c r="K986" s="47"/>
      <c r="L986" s="47"/>
      <c r="M986" s="47"/>
      <c r="N986" s="47"/>
      <c r="O986" s="47"/>
      <c r="P986" s="45" t="str">
        <f aca="false">IF($A986="","",IF(COUNTIF(Accounts!$C$2:$C$201,$A986)+COUNTIF('Service Principals'!$C$2:$C$201,$A986)+COUNTIF('Managed Identities'!$C$2:$C$201,$A986)&gt;0,"Yes","NOT IN INVENTORY"))</f>
        <v/>
      </c>
    </row>
    <row r="987" customFormat="false" ht="15" hidden="false" customHeight="false" outlineLevel="0" collapsed="false">
      <c r="A987" s="46"/>
      <c r="B987" s="47"/>
      <c r="C987" s="47"/>
      <c r="D987" s="46"/>
      <c r="E987" s="47"/>
      <c r="F987" s="47"/>
      <c r="G987" s="47"/>
      <c r="H987" s="46"/>
      <c r="I987" s="47"/>
      <c r="J987" s="47"/>
      <c r="K987" s="47"/>
      <c r="L987" s="47"/>
      <c r="M987" s="47"/>
      <c r="N987" s="47"/>
      <c r="O987" s="47"/>
      <c r="P987" s="45" t="str">
        <f aca="false">IF($A987="","",IF(COUNTIF(Accounts!$C$2:$C$201,$A987)+COUNTIF('Service Principals'!$C$2:$C$201,$A987)+COUNTIF('Managed Identities'!$C$2:$C$201,$A987)&gt;0,"Yes","NOT IN INVENTORY"))</f>
        <v/>
      </c>
    </row>
    <row r="988" customFormat="false" ht="15" hidden="false" customHeight="false" outlineLevel="0" collapsed="false">
      <c r="A988" s="46"/>
      <c r="B988" s="47"/>
      <c r="C988" s="47"/>
      <c r="D988" s="46"/>
      <c r="E988" s="47"/>
      <c r="F988" s="47"/>
      <c r="G988" s="47"/>
      <c r="H988" s="46"/>
      <c r="I988" s="47"/>
      <c r="J988" s="47"/>
      <c r="K988" s="47"/>
      <c r="L988" s="47"/>
      <c r="M988" s="47"/>
      <c r="N988" s="47"/>
      <c r="O988" s="47"/>
      <c r="P988" s="45" t="str">
        <f aca="false">IF($A988="","",IF(COUNTIF(Accounts!$C$2:$C$201,$A988)+COUNTIF('Service Principals'!$C$2:$C$201,$A988)+COUNTIF('Managed Identities'!$C$2:$C$201,$A988)&gt;0,"Yes","NOT IN INVENTORY"))</f>
        <v/>
      </c>
    </row>
    <row r="989" customFormat="false" ht="15" hidden="false" customHeight="false" outlineLevel="0" collapsed="false">
      <c r="A989" s="46"/>
      <c r="B989" s="47"/>
      <c r="C989" s="47"/>
      <c r="D989" s="46"/>
      <c r="E989" s="47"/>
      <c r="F989" s="47"/>
      <c r="G989" s="47"/>
      <c r="H989" s="46"/>
      <c r="I989" s="47"/>
      <c r="J989" s="47"/>
      <c r="K989" s="47"/>
      <c r="L989" s="47"/>
      <c r="M989" s="47"/>
      <c r="N989" s="47"/>
      <c r="O989" s="47"/>
      <c r="P989" s="45" t="str">
        <f aca="false">IF($A989="","",IF(COUNTIF(Accounts!$C$2:$C$201,$A989)+COUNTIF('Service Principals'!$C$2:$C$201,$A989)+COUNTIF('Managed Identities'!$C$2:$C$201,$A989)&gt;0,"Yes","NOT IN INVENTORY"))</f>
        <v/>
      </c>
    </row>
    <row r="990" customFormat="false" ht="15" hidden="false" customHeight="false" outlineLevel="0" collapsed="false">
      <c r="A990" s="46"/>
      <c r="B990" s="47"/>
      <c r="C990" s="47"/>
      <c r="D990" s="46"/>
      <c r="E990" s="47"/>
      <c r="F990" s="47"/>
      <c r="G990" s="47"/>
      <c r="H990" s="46"/>
      <c r="I990" s="47"/>
      <c r="J990" s="47"/>
      <c r="K990" s="47"/>
      <c r="L990" s="47"/>
      <c r="M990" s="47"/>
      <c r="N990" s="47"/>
      <c r="O990" s="47"/>
      <c r="P990" s="45" t="str">
        <f aca="false">IF($A990="","",IF(COUNTIF(Accounts!$C$2:$C$201,$A990)+COUNTIF('Service Principals'!$C$2:$C$201,$A990)+COUNTIF('Managed Identities'!$C$2:$C$201,$A990)&gt;0,"Yes","NOT IN INVENTORY"))</f>
        <v/>
      </c>
    </row>
    <row r="991" customFormat="false" ht="15" hidden="false" customHeight="false" outlineLevel="0" collapsed="false">
      <c r="A991" s="46"/>
      <c r="B991" s="47"/>
      <c r="C991" s="47"/>
      <c r="D991" s="46"/>
      <c r="E991" s="47"/>
      <c r="F991" s="47"/>
      <c r="G991" s="47"/>
      <c r="H991" s="46"/>
      <c r="I991" s="47"/>
      <c r="J991" s="47"/>
      <c r="K991" s="47"/>
      <c r="L991" s="47"/>
      <c r="M991" s="47"/>
      <c r="N991" s="47"/>
      <c r="O991" s="47"/>
      <c r="P991" s="45" t="str">
        <f aca="false">IF($A991="","",IF(COUNTIF(Accounts!$C$2:$C$201,$A991)+COUNTIF('Service Principals'!$C$2:$C$201,$A991)+COUNTIF('Managed Identities'!$C$2:$C$201,$A991)&gt;0,"Yes","NOT IN INVENTORY"))</f>
        <v/>
      </c>
    </row>
    <row r="992" customFormat="false" ht="15" hidden="false" customHeight="false" outlineLevel="0" collapsed="false">
      <c r="A992" s="46"/>
      <c r="B992" s="47"/>
      <c r="C992" s="47"/>
      <c r="D992" s="46"/>
      <c r="E992" s="47"/>
      <c r="F992" s="47"/>
      <c r="G992" s="47"/>
      <c r="H992" s="46"/>
      <c r="I992" s="47"/>
      <c r="J992" s="47"/>
      <c r="K992" s="47"/>
      <c r="L992" s="47"/>
      <c r="M992" s="47"/>
      <c r="N992" s="47"/>
      <c r="O992" s="47"/>
      <c r="P992" s="45" t="str">
        <f aca="false">IF($A992="","",IF(COUNTIF(Accounts!$C$2:$C$201,$A992)+COUNTIF('Service Principals'!$C$2:$C$201,$A992)+COUNTIF('Managed Identities'!$C$2:$C$201,$A992)&gt;0,"Yes","NOT IN INVENTORY"))</f>
        <v/>
      </c>
    </row>
    <row r="993" customFormat="false" ht="15" hidden="false" customHeight="false" outlineLevel="0" collapsed="false">
      <c r="A993" s="46"/>
      <c r="B993" s="47"/>
      <c r="C993" s="47"/>
      <c r="D993" s="46"/>
      <c r="E993" s="47"/>
      <c r="F993" s="47"/>
      <c r="G993" s="47"/>
      <c r="H993" s="46"/>
      <c r="I993" s="47"/>
      <c r="J993" s="47"/>
      <c r="K993" s="47"/>
      <c r="L993" s="47"/>
      <c r="M993" s="47"/>
      <c r="N993" s="47"/>
      <c r="O993" s="47"/>
      <c r="P993" s="45" t="str">
        <f aca="false">IF($A993="","",IF(COUNTIF(Accounts!$C$2:$C$201,$A993)+COUNTIF('Service Principals'!$C$2:$C$201,$A993)+COUNTIF('Managed Identities'!$C$2:$C$201,$A993)&gt;0,"Yes","NOT IN INVENTORY"))</f>
        <v/>
      </c>
    </row>
    <row r="994" customFormat="false" ht="15" hidden="false" customHeight="false" outlineLevel="0" collapsed="false">
      <c r="A994" s="46"/>
      <c r="B994" s="47"/>
      <c r="C994" s="47"/>
      <c r="D994" s="46"/>
      <c r="E994" s="47"/>
      <c r="F994" s="47"/>
      <c r="G994" s="47"/>
      <c r="H994" s="46"/>
      <c r="I994" s="47"/>
      <c r="J994" s="47"/>
      <c r="K994" s="47"/>
      <c r="L994" s="47"/>
      <c r="M994" s="47"/>
      <c r="N994" s="47"/>
      <c r="O994" s="47"/>
      <c r="P994" s="45" t="str">
        <f aca="false">IF($A994="","",IF(COUNTIF(Accounts!$C$2:$C$201,$A994)+COUNTIF('Service Principals'!$C$2:$C$201,$A994)+COUNTIF('Managed Identities'!$C$2:$C$201,$A994)&gt;0,"Yes","NOT IN INVENTORY"))</f>
        <v/>
      </c>
    </row>
    <row r="995" customFormat="false" ht="15" hidden="false" customHeight="false" outlineLevel="0" collapsed="false">
      <c r="A995" s="46"/>
      <c r="B995" s="47"/>
      <c r="C995" s="47"/>
      <c r="D995" s="46"/>
      <c r="E995" s="47"/>
      <c r="F995" s="47"/>
      <c r="G995" s="47"/>
      <c r="H995" s="46"/>
      <c r="I995" s="47"/>
      <c r="J995" s="47"/>
      <c r="K995" s="47"/>
      <c r="L995" s="47"/>
      <c r="M995" s="47"/>
      <c r="N995" s="47"/>
      <c r="O995" s="47"/>
      <c r="P995" s="45" t="str">
        <f aca="false">IF($A995="","",IF(COUNTIF(Accounts!$C$2:$C$201,$A995)+COUNTIF('Service Principals'!$C$2:$C$201,$A995)+COUNTIF('Managed Identities'!$C$2:$C$201,$A995)&gt;0,"Yes","NOT IN INVENTORY"))</f>
        <v/>
      </c>
    </row>
    <row r="996" customFormat="false" ht="15" hidden="false" customHeight="false" outlineLevel="0" collapsed="false">
      <c r="A996" s="46"/>
      <c r="B996" s="47"/>
      <c r="C996" s="47"/>
      <c r="D996" s="46"/>
      <c r="E996" s="47"/>
      <c r="F996" s="47"/>
      <c r="G996" s="47"/>
      <c r="H996" s="46"/>
      <c r="I996" s="47"/>
      <c r="J996" s="47"/>
      <c r="K996" s="47"/>
      <c r="L996" s="47"/>
      <c r="M996" s="47"/>
      <c r="N996" s="47"/>
      <c r="O996" s="47"/>
      <c r="P996" s="45" t="str">
        <f aca="false">IF($A996="","",IF(COUNTIF(Accounts!$C$2:$C$201,$A996)+COUNTIF('Service Principals'!$C$2:$C$201,$A996)+COUNTIF('Managed Identities'!$C$2:$C$201,$A996)&gt;0,"Yes","NOT IN INVENTORY"))</f>
        <v/>
      </c>
    </row>
    <row r="997" customFormat="false" ht="15" hidden="false" customHeight="false" outlineLevel="0" collapsed="false">
      <c r="A997" s="46"/>
      <c r="B997" s="47"/>
      <c r="C997" s="47"/>
      <c r="D997" s="46"/>
      <c r="E997" s="47"/>
      <c r="F997" s="47"/>
      <c r="G997" s="47"/>
      <c r="H997" s="46"/>
      <c r="I997" s="47"/>
      <c r="J997" s="47"/>
      <c r="K997" s="47"/>
      <c r="L997" s="47"/>
      <c r="M997" s="47"/>
      <c r="N997" s="47"/>
      <c r="O997" s="47"/>
      <c r="P997" s="45" t="str">
        <f aca="false">IF($A997="","",IF(COUNTIF(Accounts!$C$2:$C$201,$A997)+COUNTIF('Service Principals'!$C$2:$C$201,$A997)+COUNTIF('Managed Identities'!$C$2:$C$201,$A997)&gt;0,"Yes","NOT IN INVENTORY"))</f>
        <v/>
      </c>
    </row>
    <row r="998" customFormat="false" ht="15" hidden="false" customHeight="false" outlineLevel="0" collapsed="false">
      <c r="A998" s="46"/>
      <c r="B998" s="47"/>
      <c r="C998" s="47"/>
      <c r="D998" s="46"/>
      <c r="E998" s="47"/>
      <c r="F998" s="47"/>
      <c r="G998" s="47"/>
      <c r="H998" s="46"/>
      <c r="I998" s="47"/>
      <c r="J998" s="47"/>
      <c r="K998" s="47"/>
      <c r="L998" s="47"/>
      <c r="M998" s="47"/>
      <c r="N998" s="47"/>
      <c r="O998" s="47"/>
      <c r="P998" s="45" t="str">
        <f aca="false">IF($A998="","",IF(COUNTIF(Accounts!$C$2:$C$201,$A998)+COUNTIF('Service Principals'!$C$2:$C$201,$A998)+COUNTIF('Managed Identities'!$C$2:$C$201,$A998)&gt;0,"Yes","NOT IN INVENTORY"))</f>
        <v/>
      </c>
    </row>
    <row r="999" customFormat="false" ht="15" hidden="false" customHeight="false" outlineLevel="0" collapsed="false">
      <c r="A999" s="46"/>
      <c r="B999" s="47"/>
      <c r="C999" s="47"/>
      <c r="D999" s="46"/>
      <c r="E999" s="47"/>
      <c r="F999" s="47"/>
      <c r="G999" s="47"/>
      <c r="H999" s="46"/>
      <c r="I999" s="47"/>
      <c r="J999" s="47"/>
      <c r="K999" s="47"/>
      <c r="L999" s="47"/>
      <c r="M999" s="47"/>
      <c r="N999" s="47"/>
      <c r="O999" s="47"/>
      <c r="P999" s="45" t="str">
        <f aca="false">IF($A999="","",IF(COUNTIF(Accounts!$C$2:$C$201,$A999)+COUNTIF('Service Principals'!$C$2:$C$201,$A999)+COUNTIF('Managed Identities'!$C$2:$C$201,$A999)&gt;0,"Yes","NOT IN INVENTORY"))</f>
        <v/>
      </c>
    </row>
    <row r="1000" customFormat="false" ht="15" hidden="false" customHeight="false" outlineLevel="0" collapsed="false">
      <c r="A1000" s="46"/>
      <c r="B1000" s="47"/>
      <c r="C1000" s="47"/>
      <c r="D1000" s="46"/>
      <c r="E1000" s="47"/>
      <c r="F1000" s="47"/>
      <c r="G1000" s="47"/>
      <c r="H1000" s="46"/>
      <c r="I1000" s="47"/>
      <c r="J1000" s="47"/>
      <c r="K1000" s="47"/>
      <c r="L1000" s="47"/>
      <c r="M1000" s="47"/>
      <c r="N1000" s="47"/>
      <c r="O1000" s="47"/>
      <c r="P1000" s="45" t="str">
        <f aca="false">IF($A1000="","",IF(COUNTIF(Accounts!$C$2:$C$201,$A1000)+COUNTIF('Service Principals'!$C$2:$C$201,$A1000)+COUNTIF('Managed Identities'!$C$2:$C$201,$A1000)&gt;0,"Yes","NOT IN INVENTORY"))</f>
        <v/>
      </c>
    </row>
    <row r="1001" customFormat="false" ht="15" hidden="false" customHeight="false" outlineLevel="0" collapsed="false">
      <c r="A1001" s="46"/>
      <c r="B1001" s="47"/>
      <c r="C1001" s="47"/>
      <c r="D1001" s="46"/>
      <c r="E1001" s="47"/>
      <c r="F1001" s="47"/>
      <c r="G1001" s="47"/>
      <c r="H1001" s="46"/>
      <c r="I1001" s="47"/>
      <c r="J1001" s="47"/>
      <c r="K1001" s="47"/>
      <c r="L1001" s="47"/>
      <c r="M1001" s="47"/>
      <c r="N1001" s="47"/>
      <c r="O1001" s="47"/>
      <c r="P1001" s="45" t="str">
        <f aca="false">IF($A1001="","",IF(COUNTIF(Accounts!$C$2:$C$201,$A1001)+COUNTIF('Service Principals'!$C$2:$C$201,$A1001)+COUNTIF('Managed Identities'!$C$2:$C$201,$A1001)&gt;0,"Yes","NOT IN INVENTORY"))</f>
        <v/>
      </c>
    </row>
    <row r="1002" customFormat="false" ht="15" hidden="false" customHeight="false" outlineLevel="0" collapsed="false">
      <c r="A1002" s="46"/>
      <c r="B1002" s="47"/>
      <c r="C1002" s="47"/>
      <c r="D1002" s="46"/>
      <c r="E1002" s="47"/>
      <c r="F1002" s="47"/>
      <c r="G1002" s="47"/>
      <c r="H1002" s="46"/>
      <c r="I1002" s="47"/>
      <c r="J1002" s="47"/>
      <c r="K1002" s="47"/>
      <c r="L1002" s="47"/>
      <c r="M1002" s="47"/>
      <c r="N1002" s="47"/>
      <c r="O1002" s="47"/>
      <c r="P1002" s="45" t="str">
        <f aca="false">IF($A1002="","",IF(COUNTIF(Accounts!$C$2:$C$201,$A1002)+COUNTIF('Service Principals'!$C$2:$C$201,$A1002)+COUNTIF('Managed Identities'!$C$2:$C$201,$A1002)&gt;0,"Yes","NOT IN INVENTORY"))</f>
        <v/>
      </c>
    </row>
    <row r="1003" customFormat="false" ht="15" hidden="false" customHeight="false" outlineLevel="0" collapsed="false">
      <c r="A1003" s="46"/>
      <c r="B1003" s="47"/>
      <c r="C1003" s="47"/>
      <c r="D1003" s="46"/>
      <c r="E1003" s="47"/>
      <c r="F1003" s="47"/>
      <c r="G1003" s="47"/>
      <c r="H1003" s="46"/>
      <c r="I1003" s="47"/>
      <c r="J1003" s="47"/>
      <c r="K1003" s="47"/>
      <c r="L1003" s="47"/>
      <c r="M1003" s="47"/>
      <c r="N1003" s="47"/>
      <c r="O1003" s="47"/>
      <c r="P1003" s="45" t="str">
        <f aca="false">IF($A1003="","",IF(COUNTIF(Accounts!$C$2:$C$201,$A1003)+COUNTIF('Service Principals'!$C$2:$C$201,$A1003)+COUNTIF('Managed Identities'!$C$2:$C$201,$A1003)&gt;0,"Yes","NOT IN INVENTORY"))</f>
        <v/>
      </c>
    </row>
    <row r="1004" customFormat="false" ht="15" hidden="false" customHeight="false" outlineLevel="0" collapsed="false">
      <c r="A1004" s="46"/>
      <c r="B1004" s="47"/>
      <c r="C1004" s="47"/>
      <c r="D1004" s="46"/>
      <c r="E1004" s="47"/>
      <c r="F1004" s="47"/>
      <c r="G1004" s="47"/>
      <c r="H1004" s="46"/>
      <c r="I1004" s="47"/>
      <c r="J1004" s="47"/>
      <c r="K1004" s="47"/>
      <c r="L1004" s="47"/>
      <c r="M1004" s="47"/>
      <c r="N1004" s="47"/>
      <c r="O1004" s="47"/>
      <c r="P1004" s="45" t="str">
        <f aca="false">IF($A1004="","",IF(COUNTIF(Accounts!$C$2:$C$201,$A1004)+COUNTIF('Service Principals'!$C$2:$C$201,$A1004)+COUNTIF('Managed Identities'!$C$2:$C$201,$A1004)&gt;0,"Yes","NOT IN INVENTORY"))</f>
        <v/>
      </c>
    </row>
    <row r="1005" customFormat="false" ht="15" hidden="false" customHeight="false" outlineLevel="0" collapsed="false">
      <c r="A1005" s="46"/>
      <c r="B1005" s="47"/>
      <c r="C1005" s="47"/>
      <c r="D1005" s="46"/>
      <c r="E1005" s="47"/>
      <c r="F1005" s="47"/>
      <c r="G1005" s="47"/>
      <c r="H1005" s="46"/>
      <c r="I1005" s="47"/>
      <c r="J1005" s="47"/>
      <c r="K1005" s="47"/>
      <c r="L1005" s="47"/>
      <c r="M1005" s="47"/>
      <c r="N1005" s="47"/>
      <c r="O1005" s="47"/>
      <c r="P1005" s="45" t="str">
        <f aca="false">IF($A1005="","",IF(COUNTIF(Accounts!$C$2:$C$201,$A1005)+COUNTIF('Service Principals'!$C$2:$C$201,$A1005)+COUNTIF('Managed Identities'!$C$2:$C$201,$A1005)&gt;0,"Yes","NOT IN INVENTORY"))</f>
        <v/>
      </c>
    </row>
    <row r="1006" customFormat="false" ht="15" hidden="false" customHeight="false" outlineLevel="0" collapsed="false">
      <c r="A1006" s="46"/>
      <c r="B1006" s="47"/>
      <c r="C1006" s="47"/>
      <c r="D1006" s="46"/>
      <c r="E1006" s="47"/>
      <c r="F1006" s="47"/>
      <c r="G1006" s="47"/>
      <c r="H1006" s="46"/>
      <c r="I1006" s="47"/>
      <c r="J1006" s="47"/>
      <c r="K1006" s="47"/>
      <c r="L1006" s="47"/>
      <c r="M1006" s="47"/>
      <c r="N1006" s="47"/>
      <c r="O1006" s="47"/>
      <c r="P1006" s="45" t="str">
        <f aca="false">IF($A1006="","",IF(COUNTIF(Accounts!$C$2:$C$201,$A1006)+COUNTIF('Service Principals'!$C$2:$C$201,$A1006)+COUNTIF('Managed Identities'!$C$2:$C$201,$A1006)&gt;0,"Yes","NOT IN INVENTORY"))</f>
        <v/>
      </c>
    </row>
    <row r="1007" customFormat="false" ht="15" hidden="false" customHeight="false" outlineLevel="0" collapsed="false">
      <c r="A1007" s="46"/>
      <c r="B1007" s="47"/>
      <c r="C1007" s="47"/>
      <c r="D1007" s="46"/>
      <c r="E1007" s="47"/>
      <c r="F1007" s="47"/>
      <c r="G1007" s="47"/>
      <c r="H1007" s="46"/>
      <c r="I1007" s="47"/>
      <c r="J1007" s="47"/>
      <c r="K1007" s="47"/>
      <c r="L1007" s="47"/>
      <c r="M1007" s="47"/>
      <c r="N1007" s="47"/>
      <c r="O1007" s="47"/>
      <c r="P1007" s="45" t="str">
        <f aca="false">IF($A1007="","",IF(COUNTIF(Accounts!$C$2:$C$201,$A1007)+COUNTIF('Service Principals'!$C$2:$C$201,$A1007)+COUNTIF('Managed Identities'!$C$2:$C$201,$A1007)&gt;0,"Yes","NOT IN INVENTORY"))</f>
        <v/>
      </c>
    </row>
    <row r="1008" customFormat="false" ht="15" hidden="false" customHeight="false" outlineLevel="0" collapsed="false">
      <c r="A1008" s="46"/>
      <c r="B1008" s="47"/>
      <c r="C1008" s="47"/>
      <c r="D1008" s="46"/>
      <c r="E1008" s="47"/>
      <c r="F1008" s="47"/>
      <c r="G1008" s="47"/>
      <c r="H1008" s="46"/>
      <c r="I1008" s="47"/>
      <c r="J1008" s="47"/>
      <c r="K1008" s="47"/>
      <c r="L1008" s="47"/>
      <c r="M1008" s="47"/>
      <c r="N1008" s="47"/>
      <c r="O1008" s="47"/>
      <c r="P1008" s="45" t="str">
        <f aca="false">IF($A1008="","",IF(COUNTIF(Accounts!$C$2:$C$201,$A1008)+COUNTIF('Service Principals'!$C$2:$C$201,$A1008)+COUNTIF('Managed Identities'!$C$2:$C$201,$A1008)&gt;0,"Yes","NOT IN INVENTORY"))</f>
        <v/>
      </c>
    </row>
    <row r="1009" customFormat="false" ht="15" hidden="false" customHeight="false" outlineLevel="0" collapsed="false">
      <c r="A1009" s="46"/>
      <c r="B1009" s="47"/>
      <c r="C1009" s="47"/>
      <c r="D1009" s="46"/>
      <c r="E1009" s="47"/>
      <c r="F1009" s="47"/>
      <c r="G1009" s="47"/>
      <c r="H1009" s="46"/>
      <c r="I1009" s="47"/>
      <c r="J1009" s="47"/>
      <c r="K1009" s="47"/>
      <c r="L1009" s="47"/>
      <c r="M1009" s="47"/>
      <c r="N1009" s="47"/>
      <c r="O1009" s="47"/>
      <c r="P1009" s="45" t="str">
        <f aca="false">IF($A1009="","",IF(COUNTIF(Accounts!$C$2:$C$201,$A1009)+COUNTIF('Service Principals'!$C$2:$C$201,$A1009)+COUNTIF('Managed Identities'!$C$2:$C$201,$A1009)&gt;0,"Yes","NOT IN INVENTORY"))</f>
        <v/>
      </c>
    </row>
    <row r="1010" customFormat="false" ht="15" hidden="false" customHeight="false" outlineLevel="0" collapsed="false">
      <c r="A1010" s="46"/>
      <c r="B1010" s="47"/>
      <c r="C1010" s="47"/>
      <c r="D1010" s="46"/>
      <c r="E1010" s="47"/>
      <c r="F1010" s="47"/>
      <c r="G1010" s="47"/>
      <c r="H1010" s="46"/>
      <c r="I1010" s="47"/>
      <c r="J1010" s="47"/>
      <c r="K1010" s="47"/>
      <c r="L1010" s="47"/>
      <c r="M1010" s="47"/>
      <c r="N1010" s="47"/>
      <c r="O1010" s="47"/>
      <c r="P1010" s="45" t="str">
        <f aca="false">IF($A1010="","",IF(COUNTIF(Accounts!$C$2:$C$201,$A1010)+COUNTIF('Service Principals'!$C$2:$C$201,$A1010)+COUNTIF('Managed Identities'!$C$2:$C$201,$A1010)&gt;0,"Yes","NOT IN INVENTORY"))</f>
        <v/>
      </c>
    </row>
    <row r="1011" customFormat="false" ht="15" hidden="false" customHeight="false" outlineLevel="0" collapsed="false">
      <c r="A1011" s="46"/>
      <c r="B1011" s="47"/>
      <c r="C1011" s="47"/>
      <c r="D1011" s="46"/>
      <c r="E1011" s="47"/>
      <c r="F1011" s="47"/>
      <c r="G1011" s="47"/>
      <c r="H1011" s="46"/>
      <c r="I1011" s="47"/>
      <c r="J1011" s="47"/>
      <c r="K1011" s="47"/>
      <c r="L1011" s="47"/>
      <c r="M1011" s="47"/>
      <c r="N1011" s="47"/>
      <c r="O1011" s="47"/>
      <c r="P1011" s="45" t="str">
        <f aca="false">IF($A1011="","",IF(COUNTIF(Accounts!$C$2:$C$201,$A1011)+COUNTIF('Service Principals'!$C$2:$C$201,$A1011)+COUNTIF('Managed Identities'!$C$2:$C$201,$A1011)&gt;0,"Yes","NOT IN INVENTORY"))</f>
        <v/>
      </c>
    </row>
    <row r="1012" customFormat="false" ht="15" hidden="false" customHeight="false" outlineLevel="0" collapsed="false">
      <c r="A1012" s="46"/>
      <c r="B1012" s="47"/>
      <c r="C1012" s="47"/>
      <c r="D1012" s="46"/>
      <c r="E1012" s="47"/>
      <c r="F1012" s="47"/>
      <c r="G1012" s="47"/>
      <c r="H1012" s="46"/>
      <c r="I1012" s="47"/>
      <c r="J1012" s="47"/>
      <c r="K1012" s="47"/>
      <c r="L1012" s="47"/>
      <c r="M1012" s="47"/>
      <c r="N1012" s="47"/>
      <c r="O1012" s="47"/>
      <c r="P1012" s="45" t="str">
        <f aca="false">IF($A1012="","",IF(COUNTIF(Accounts!$C$2:$C$201,$A1012)+COUNTIF('Service Principals'!$C$2:$C$201,$A1012)+COUNTIF('Managed Identities'!$C$2:$C$201,$A1012)&gt;0,"Yes","NOT IN INVENTORY"))</f>
        <v/>
      </c>
    </row>
    <row r="1013" customFormat="false" ht="15" hidden="false" customHeight="false" outlineLevel="0" collapsed="false">
      <c r="A1013" s="46"/>
      <c r="B1013" s="47"/>
      <c r="C1013" s="47"/>
      <c r="D1013" s="46"/>
      <c r="E1013" s="47"/>
      <c r="F1013" s="47"/>
      <c r="G1013" s="47"/>
      <c r="H1013" s="46"/>
      <c r="I1013" s="47"/>
      <c r="J1013" s="47"/>
      <c r="K1013" s="47"/>
      <c r="L1013" s="47"/>
      <c r="M1013" s="47"/>
      <c r="N1013" s="47"/>
      <c r="O1013" s="47"/>
      <c r="P1013" s="45" t="str">
        <f aca="false">IF($A1013="","",IF(COUNTIF(Accounts!$C$2:$C$201,$A1013)+COUNTIF('Service Principals'!$C$2:$C$201,$A1013)+COUNTIF('Managed Identities'!$C$2:$C$201,$A1013)&gt;0,"Yes","NOT IN INVENTORY"))</f>
        <v/>
      </c>
    </row>
    <row r="1014" customFormat="false" ht="15" hidden="false" customHeight="false" outlineLevel="0" collapsed="false">
      <c r="A1014" s="46"/>
      <c r="B1014" s="47"/>
      <c r="C1014" s="47"/>
      <c r="D1014" s="46"/>
      <c r="E1014" s="47"/>
      <c r="F1014" s="47"/>
      <c r="G1014" s="47"/>
      <c r="H1014" s="46"/>
      <c r="I1014" s="47"/>
      <c r="J1014" s="47"/>
      <c r="K1014" s="47"/>
      <c r="L1014" s="47"/>
      <c r="M1014" s="47"/>
      <c r="N1014" s="47"/>
      <c r="O1014" s="47"/>
      <c r="P1014" s="45" t="str">
        <f aca="false">IF($A1014="","",IF(COUNTIF(Accounts!$C$2:$C$201,$A1014)+COUNTIF('Service Principals'!$C$2:$C$201,$A1014)+COUNTIF('Managed Identities'!$C$2:$C$201,$A1014)&gt;0,"Yes","NOT IN INVENTORY"))</f>
        <v/>
      </c>
    </row>
    <row r="1015" customFormat="false" ht="15" hidden="false" customHeight="false" outlineLevel="0" collapsed="false">
      <c r="A1015" s="46"/>
      <c r="B1015" s="47"/>
      <c r="C1015" s="47"/>
      <c r="D1015" s="46"/>
      <c r="E1015" s="47"/>
      <c r="F1015" s="47"/>
      <c r="G1015" s="47"/>
      <c r="H1015" s="46"/>
      <c r="I1015" s="47"/>
      <c r="J1015" s="47"/>
      <c r="K1015" s="47"/>
      <c r="L1015" s="47"/>
      <c r="M1015" s="47"/>
      <c r="N1015" s="47"/>
      <c r="O1015" s="47"/>
      <c r="P1015" s="45" t="str">
        <f aca="false">IF($A1015="","",IF(COUNTIF(Accounts!$C$2:$C$201,$A1015)+COUNTIF('Service Principals'!$C$2:$C$201,$A1015)+COUNTIF('Managed Identities'!$C$2:$C$201,$A1015)&gt;0,"Yes","NOT IN INVENTORY"))</f>
        <v/>
      </c>
    </row>
    <row r="1016" customFormat="false" ht="15" hidden="false" customHeight="false" outlineLevel="0" collapsed="false">
      <c r="A1016" s="46"/>
      <c r="B1016" s="47"/>
      <c r="C1016" s="47"/>
      <c r="D1016" s="46"/>
      <c r="E1016" s="47"/>
      <c r="F1016" s="47"/>
      <c r="G1016" s="47"/>
      <c r="H1016" s="46"/>
      <c r="I1016" s="47"/>
      <c r="J1016" s="47"/>
      <c r="K1016" s="47"/>
      <c r="L1016" s="47"/>
      <c r="M1016" s="47"/>
      <c r="N1016" s="47"/>
      <c r="O1016" s="47"/>
      <c r="P1016" s="45" t="str">
        <f aca="false">IF($A1016="","",IF(COUNTIF(Accounts!$C$2:$C$201,$A1016)+COUNTIF('Service Principals'!$C$2:$C$201,$A1016)+COUNTIF('Managed Identities'!$C$2:$C$201,$A1016)&gt;0,"Yes","NOT IN INVENTORY"))</f>
        <v/>
      </c>
    </row>
    <row r="1017" customFormat="false" ht="15" hidden="false" customHeight="false" outlineLevel="0" collapsed="false">
      <c r="A1017" s="46"/>
      <c r="B1017" s="47"/>
      <c r="C1017" s="47"/>
      <c r="D1017" s="46"/>
      <c r="E1017" s="47"/>
      <c r="F1017" s="47"/>
      <c r="G1017" s="47"/>
      <c r="H1017" s="46"/>
      <c r="I1017" s="47"/>
      <c r="J1017" s="47"/>
      <c r="K1017" s="47"/>
      <c r="L1017" s="47"/>
      <c r="M1017" s="47"/>
      <c r="N1017" s="47"/>
      <c r="O1017" s="47"/>
      <c r="P1017" s="45" t="str">
        <f aca="false">IF($A1017="","",IF(COUNTIF(Accounts!$C$2:$C$201,$A1017)+COUNTIF('Service Principals'!$C$2:$C$201,$A1017)+COUNTIF('Managed Identities'!$C$2:$C$201,$A1017)&gt;0,"Yes","NOT IN INVENTORY"))</f>
        <v/>
      </c>
    </row>
    <row r="1018" customFormat="false" ht="15" hidden="false" customHeight="false" outlineLevel="0" collapsed="false">
      <c r="A1018" s="46"/>
      <c r="B1018" s="47"/>
      <c r="C1018" s="47"/>
      <c r="D1018" s="46"/>
      <c r="E1018" s="47"/>
      <c r="F1018" s="47"/>
      <c r="G1018" s="47"/>
      <c r="H1018" s="46"/>
      <c r="I1018" s="47"/>
      <c r="J1018" s="47"/>
      <c r="K1018" s="47"/>
      <c r="L1018" s="47"/>
      <c r="M1018" s="47"/>
      <c r="N1018" s="47"/>
      <c r="O1018" s="47"/>
      <c r="P1018" s="45" t="str">
        <f aca="false">IF($A1018="","",IF(COUNTIF(Accounts!$C$2:$C$201,$A1018)+COUNTIF('Service Principals'!$C$2:$C$201,$A1018)+COUNTIF('Managed Identities'!$C$2:$C$201,$A1018)&gt;0,"Yes","NOT IN INVENTORY"))</f>
        <v/>
      </c>
    </row>
    <row r="1019" customFormat="false" ht="15" hidden="false" customHeight="false" outlineLevel="0" collapsed="false">
      <c r="A1019" s="46"/>
      <c r="B1019" s="47"/>
      <c r="C1019" s="47"/>
      <c r="D1019" s="46"/>
      <c r="E1019" s="47"/>
      <c r="F1019" s="47"/>
      <c r="G1019" s="47"/>
      <c r="H1019" s="46"/>
      <c r="I1019" s="47"/>
      <c r="J1019" s="47"/>
      <c r="K1019" s="47"/>
      <c r="L1019" s="47"/>
      <c r="M1019" s="47"/>
      <c r="N1019" s="47"/>
      <c r="O1019" s="47"/>
      <c r="P1019" s="45" t="str">
        <f aca="false">IF($A1019="","",IF(COUNTIF(Accounts!$C$2:$C$201,$A1019)+COUNTIF('Service Principals'!$C$2:$C$201,$A1019)+COUNTIF('Managed Identities'!$C$2:$C$201,$A1019)&gt;0,"Yes","NOT IN INVENTORY"))</f>
        <v/>
      </c>
    </row>
    <row r="1020" customFormat="false" ht="15" hidden="false" customHeight="false" outlineLevel="0" collapsed="false">
      <c r="A1020" s="46"/>
      <c r="B1020" s="47"/>
      <c r="C1020" s="47"/>
      <c r="D1020" s="46"/>
      <c r="E1020" s="47"/>
      <c r="F1020" s="47"/>
      <c r="G1020" s="47"/>
      <c r="H1020" s="46"/>
      <c r="I1020" s="47"/>
      <c r="J1020" s="47"/>
      <c r="K1020" s="47"/>
      <c r="L1020" s="47"/>
      <c r="M1020" s="47"/>
      <c r="N1020" s="47"/>
      <c r="O1020" s="47"/>
      <c r="P1020" s="45" t="str">
        <f aca="false">IF($A1020="","",IF(COUNTIF(Accounts!$C$2:$C$201,$A1020)+COUNTIF('Service Principals'!$C$2:$C$201,$A1020)+COUNTIF('Managed Identities'!$C$2:$C$201,$A1020)&gt;0,"Yes","NOT IN INVENTORY"))</f>
        <v/>
      </c>
    </row>
    <row r="1021" customFormat="false" ht="15" hidden="false" customHeight="false" outlineLevel="0" collapsed="false">
      <c r="A1021" s="46"/>
      <c r="B1021" s="47"/>
      <c r="C1021" s="47"/>
      <c r="D1021" s="46"/>
      <c r="E1021" s="47"/>
      <c r="F1021" s="47"/>
      <c r="G1021" s="47"/>
      <c r="H1021" s="46"/>
      <c r="I1021" s="47"/>
      <c r="J1021" s="47"/>
      <c r="K1021" s="47"/>
      <c r="L1021" s="47"/>
      <c r="M1021" s="47"/>
      <c r="N1021" s="47"/>
      <c r="O1021" s="47"/>
      <c r="P1021" s="45" t="str">
        <f aca="false">IF($A1021="","",IF(COUNTIF(Accounts!$C$2:$C$201,$A1021)+COUNTIF('Service Principals'!$C$2:$C$201,$A1021)+COUNTIF('Managed Identities'!$C$2:$C$201,$A1021)&gt;0,"Yes","NOT IN INVENTORY"))</f>
        <v/>
      </c>
    </row>
    <row r="1022" customFormat="false" ht="15" hidden="false" customHeight="false" outlineLevel="0" collapsed="false">
      <c r="A1022" s="46"/>
      <c r="B1022" s="47"/>
      <c r="C1022" s="47"/>
      <c r="D1022" s="46"/>
      <c r="E1022" s="47"/>
      <c r="F1022" s="47"/>
      <c r="G1022" s="47"/>
      <c r="H1022" s="46"/>
      <c r="I1022" s="47"/>
      <c r="J1022" s="47"/>
      <c r="K1022" s="47"/>
      <c r="L1022" s="47"/>
      <c r="M1022" s="47"/>
      <c r="N1022" s="47"/>
      <c r="O1022" s="47"/>
      <c r="P1022" s="45" t="str">
        <f aca="false">IF($A1022="","",IF(COUNTIF(Accounts!$C$2:$C$201,$A1022)+COUNTIF('Service Principals'!$C$2:$C$201,$A1022)+COUNTIF('Managed Identities'!$C$2:$C$201,$A1022)&gt;0,"Yes","NOT IN INVENTORY"))</f>
        <v/>
      </c>
    </row>
    <row r="1023" customFormat="false" ht="15" hidden="false" customHeight="false" outlineLevel="0" collapsed="false">
      <c r="A1023" s="46"/>
      <c r="B1023" s="47"/>
      <c r="C1023" s="47"/>
      <c r="D1023" s="46"/>
      <c r="E1023" s="47"/>
      <c r="F1023" s="47"/>
      <c r="G1023" s="47"/>
      <c r="H1023" s="46"/>
      <c r="I1023" s="47"/>
      <c r="J1023" s="47"/>
      <c r="K1023" s="47"/>
      <c r="L1023" s="47"/>
      <c r="M1023" s="47"/>
      <c r="N1023" s="47"/>
      <c r="O1023" s="47"/>
      <c r="P1023" s="45" t="str">
        <f aca="false">IF($A1023="","",IF(COUNTIF(Accounts!$C$2:$C$201,$A1023)+COUNTIF('Service Principals'!$C$2:$C$201,$A1023)+COUNTIF('Managed Identities'!$C$2:$C$201,$A1023)&gt;0,"Yes","NOT IN INVENTORY"))</f>
        <v/>
      </c>
    </row>
    <row r="1024" customFormat="false" ht="15" hidden="false" customHeight="false" outlineLevel="0" collapsed="false">
      <c r="A1024" s="46"/>
      <c r="B1024" s="47"/>
      <c r="C1024" s="47"/>
      <c r="D1024" s="46"/>
      <c r="E1024" s="47"/>
      <c r="F1024" s="47"/>
      <c r="G1024" s="47"/>
      <c r="H1024" s="46"/>
      <c r="I1024" s="47"/>
      <c r="J1024" s="47"/>
      <c r="K1024" s="47"/>
      <c r="L1024" s="47"/>
      <c r="M1024" s="47"/>
      <c r="N1024" s="47"/>
      <c r="O1024" s="47"/>
      <c r="P1024" s="45" t="str">
        <f aca="false">IF($A1024="","",IF(COUNTIF(Accounts!$C$2:$C$201,$A1024)+COUNTIF('Service Principals'!$C$2:$C$201,$A1024)+COUNTIF('Managed Identities'!$C$2:$C$201,$A1024)&gt;0,"Yes","NOT IN INVENTORY"))</f>
        <v/>
      </c>
    </row>
    <row r="1025" customFormat="false" ht="15" hidden="false" customHeight="false" outlineLevel="0" collapsed="false">
      <c r="A1025" s="46"/>
      <c r="B1025" s="47"/>
      <c r="C1025" s="47"/>
      <c r="D1025" s="46"/>
      <c r="E1025" s="47"/>
      <c r="F1025" s="47"/>
      <c r="G1025" s="47"/>
      <c r="H1025" s="46"/>
      <c r="I1025" s="47"/>
      <c r="J1025" s="47"/>
      <c r="K1025" s="47"/>
      <c r="L1025" s="47"/>
      <c r="M1025" s="47"/>
      <c r="N1025" s="47"/>
      <c r="O1025" s="47"/>
      <c r="P1025" s="45" t="str">
        <f aca="false">IF($A1025="","",IF(COUNTIF(Accounts!$C$2:$C$201,$A1025)+COUNTIF('Service Principals'!$C$2:$C$201,$A1025)+COUNTIF('Managed Identities'!$C$2:$C$201,$A1025)&gt;0,"Yes","NOT IN INVENTORY"))</f>
        <v/>
      </c>
    </row>
    <row r="1026" customFormat="false" ht="15" hidden="false" customHeight="false" outlineLevel="0" collapsed="false">
      <c r="A1026" s="46"/>
      <c r="B1026" s="47"/>
      <c r="C1026" s="47"/>
      <c r="D1026" s="46"/>
      <c r="E1026" s="47"/>
      <c r="F1026" s="47"/>
      <c r="G1026" s="47"/>
      <c r="H1026" s="46"/>
      <c r="I1026" s="47"/>
      <c r="J1026" s="47"/>
      <c r="K1026" s="47"/>
      <c r="L1026" s="47"/>
      <c r="M1026" s="47"/>
      <c r="N1026" s="47"/>
      <c r="O1026" s="47"/>
      <c r="P1026" s="45" t="str">
        <f aca="false">IF($A1026="","",IF(COUNTIF(Accounts!$C$2:$C$201,$A1026)+COUNTIF('Service Principals'!$C$2:$C$201,$A1026)+COUNTIF('Managed Identities'!$C$2:$C$201,$A1026)&gt;0,"Yes","NOT IN INVENTORY"))</f>
        <v/>
      </c>
    </row>
    <row r="1027" customFormat="false" ht="15" hidden="false" customHeight="false" outlineLevel="0" collapsed="false">
      <c r="A1027" s="46"/>
      <c r="B1027" s="47"/>
      <c r="C1027" s="47"/>
      <c r="D1027" s="46"/>
      <c r="E1027" s="47"/>
      <c r="F1027" s="47"/>
      <c r="G1027" s="47"/>
      <c r="H1027" s="46"/>
      <c r="I1027" s="47"/>
      <c r="J1027" s="47"/>
      <c r="K1027" s="47"/>
      <c r="L1027" s="47"/>
      <c r="M1027" s="47"/>
      <c r="N1027" s="47"/>
      <c r="O1027" s="47"/>
      <c r="P1027" s="45" t="str">
        <f aca="false">IF($A1027="","",IF(COUNTIF(Accounts!$C$2:$C$201,$A1027)+COUNTIF('Service Principals'!$C$2:$C$201,$A1027)+COUNTIF('Managed Identities'!$C$2:$C$201,$A1027)&gt;0,"Yes","NOT IN INVENTORY"))</f>
        <v/>
      </c>
    </row>
    <row r="1028" customFormat="false" ht="15" hidden="false" customHeight="false" outlineLevel="0" collapsed="false">
      <c r="A1028" s="46"/>
      <c r="B1028" s="47"/>
      <c r="C1028" s="47"/>
      <c r="D1028" s="46"/>
      <c r="E1028" s="47"/>
      <c r="F1028" s="47"/>
      <c r="G1028" s="47"/>
      <c r="H1028" s="46"/>
      <c r="I1028" s="47"/>
      <c r="J1028" s="47"/>
      <c r="K1028" s="47"/>
      <c r="L1028" s="47"/>
      <c r="M1028" s="47"/>
      <c r="N1028" s="47"/>
      <c r="O1028" s="47"/>
      <c r="P1028" s="45" t="str">
        <f aca="false">IF($A1028="","",IF(COUNTIF(Accounts!$C$2:$C$201,$A1028)+COUNTIF('Service Principals'!$C$2:$C$201,$A1028)+COUNTIF('Managed Identities'!$C$2:$C$201,$A1028)&gt;0,"Yes","NOT IN INVENTORY"))</f>
        <v/>
      </c>
    </row>
    <row r="1029" customFormat="false" ht="15" hidden="false" customHeight="false" outlineLevel="0" collapsed="false">
      <c r="A1029" s="46"/>
      <c r="B1029" s="47"/>
      <c r="C1029" s="47"/>
      <c r="D1029" s="46"/>
      <c r="E1029" s="47"/>
      <c r="F1029" s="47"/>
      <c r="G1029" s="47"/>
      <c r="H1029" s="46"/>
      <c r="I1029" s="47"/>
      <c r="J1029" s="47"/>
      <c r="K1029" s="47"/>
      <c r="L1029" s="47"/>
      <c r="M1029" s="47"/>
      <c r="N1029" s="47"/>
      <c r="O1029" s="47"/>
      <c r="P1029" s="45" t="str">
        <f aca="false">IF($A1029="","",IF(COUNTIF(Accounts!$C$2:$C$201,$A1029)+COUNTIF('Service Principals'!$C$2:$C$201,$A1029)+COUNTIF('Managed Identities'!$C$2:$C$201,$A1029)&gt;0,"Yes","NOT IN INVENTORY"))</f>
        <v/>
      </c>
    </row>
    <row r="1030" customFormat="false" ht="15" hidden="false" customHeight="false" outlineLevel="0" collapsed="false">
      <c r="A1030" s="46"/>
      <c r="B1030" s="47"/>
      <c r="C1030" s="47"/>
      <c r="D1030" s="46"/>
      <c r="E1030" s="47"/>
      <c r="F1030" s="47"/>
      <c r="G1030" s="47"/>
      <c r="H1030" s="46"/>
      <c r="I1030" s="47"/>
      <c r="J1030" s="47"/>
      <c r="K1030" s="47"/>
      <c r="L1030" s="47"/>
      <c r="M1030" s="47"/>
      <c r="N1030" s="47"/>
      <c r="O1030" s="47"/>
      <c r="P1030" s="45" t="str">
        <f aca="false">IF($A1030="","",IF(COUNTIF(Accounts!$C$2:$C$201,$A1030)+COUNTIF('Service Principals'!$C$2:$C$201,$A1030)+COUNTIF('Managed Identities'!$C$2:$C$201,$A1030)&gt;0,"Yes","NOT IN INVENTORY"))</f>
        <v/>
      </c>
    </row>
    <row r="1031" customFormat="false" ht="15" hidden="false" customHeight="false" outlineLevel="0" collapsed="false">
      <c r="A1031" s="46"/>
      <c r="B1031" s="47"/>
      <c r="C1031" s="47"/>
      <c r="D1031" s="46"/>
      <c r="E1031" s="47"/>
      <c r="F1031" s="47"/>
      <c r="G1031" s="47"/>
      <c r="H1031" s="46"/>
      <c r="I1031" s="47"/>
      <c r="J1031" s="47"/>
      <c r="K1031" s="47"/>
      <c r="L1031" s="47"/>
      <c r="M1031" s="47"/>
      <c r="N1031" s="47"/>
      <c r="O1031" s="47"/>
      <c r="P1031" s="45" t="str">
        <f aca="false">IF($A1031="","",IF(COUNTIF(Accounts!$C$2:$C$201,$A1031)+COUNTIF('Service Principals'!$C$2:$C$201,$A1031)+COUNTIF('Managed Identities'!$C$2:$C$201,$A1031)&gt;0,"Yes","NOT IN INVENTORY"))</f>
        <v/>
      </c>
    </row>
    <row r="1032" customFormat="false" ht="15" hidden="false" customHeight="false" outlineLevel="0" collapsed="false">
      <c r="A1032" s="46"/>
      <c r="B1032" s="47"/>
      <c r="C1032" s="47"/>
      <c r="D1032" s="46"/>
      <c r="E1032" s="47"/>
      <c r="F1032" s="47"/>
      <c r="G1032" s="47"/>
      <c r="H1032" s="46"/>
      <c r="I1032" s="47"/>
      <c r="J1032" s="47"/>
      <c r="K1032" s="47"/>
      <c r="L1032" s="47"/>
      <c r="M1032" s="47"/>
      <c r="N1032" s="47"/>
      <c r="O1032" s="47"/>
      <c r="P1032" s="45" t="str">
        <f aca="false">IF($A1032="","",IF(COUNTIF(Accounts!$C$2:$C$201,$A1032)+COUNTIF('Service Principals'!$C$2:$C$201,$A1032)+COUNTIF('Managed Identities'!$C$2:$C$201,$A1032)&gt;0,"Yes","NOT IN INVENTORY"))</f>
        <v/>
      </c>
    </row>
    <row r="1033" customFormat="false" ht="15" hidden="false" customHeight="false" outlineLevel="0" collapsed="false">
      <c r="A1033" s="46"/>
      <c r="B1033" s="47"/>
      <c r="C1033" s="47"/>
      <c r="D1033" s="46"/>
      <c r="E1033" s="47"/>
      <c r="F1033" s="47"/>
      <c r="G1033" s="47"/>
      <c r="H1033" s="46"/>
      <c r="I1033" s="47"/>
      <c r="J1033" s="47"/>
      <c r="K1033" s="47"/>
      <c r="L1033" s="47"/>
      <c r="M1033" s="47"/>
      <c r="N1033" s="47"/>
      <c r="O1033" s="47"/>
      <c r="P1033" s="45" t="str">
        <f aca="false">IF($A1033="","",IF(COUNTIF(Accounts!$C$2:$C$201,$A1033)+COUNTIF('Service Principals'!$C$2:$C$201,$A1033)+COUNTIF('Managed Identities'!$C$2:$C$201,$A1033)&gt;0,"Yes","NOT IN INVENTORY"))</f>
        <v/>
      </c>
    </row>
    <row r="1034" customFormat="false" ht="15" hidden="false" customHeight="false" outlineLevel="0" collapsed="false">
      <c r="A1034" s="46"/>
      <c r="B1034" s="47"/>
      <c r="C1034" s="47"/>
      <c r="D1034" s="46"/>
      <c r="E1034" s="47"/>
      <c r="F1034" s="47"/>
      <c r="G1034" s="47"/>
      <c r="H1034" s="46"/>
      <c r="I1034" s="47"/>
      <c r="J1034" s="47"/>
      <c r="K1034" s="47"/>
      <c r="L1034" s="47"/>
      <c r="M1034" s="47"/>
      <c r="N1034" s="47"/>
      <c r="O1034" s="47"/>
      <c r="P1034" s="45" t="str">
        <f aca="false">IF($A1034="","",IF(COUNTIF(Accounts!$C$2:$C$201,$A1034)+COUNTIF('Service Principals'!$C$2:$C$201,$A1034)+COUNTIF('Managed Identities'!$C$2:$C$201,$A1034)&gt;0,"Yes","NOT IN INVENTORY"))</f>
        <v/>
      </c>
    </row>
    <row r="1035" customFormat="false" ht="15" hidden="false" customHeight="false" outlineLevel="0" collapsed="false">
      <c r="A1035" s="46"/>
      <c r="B1035" s="47"/>
      <c r="C1035" s="47"/>
      <c r="D1035" s="46"/>
      <c r="E1035" s="47"/>
      <c r="F1035" s="47"/>
      <c r="G1035" s="47"/>
      <c r="H1035" s="46"/>
      <c r="I1035" s="47"/>
      <c r="J1035" s="47"/>
      <c r="K1035" s="47"/>
      <c r="L1035" s="47"/>
      <c r="M1035" s="47"/>
      <c r="N1035" s="47"/>
      <c r="O1035" s="47"/>
      <c r="P1035" s="45" t="str">
        <f aca="false">IF($A1035="","",IF(COUNTIF(Accounts!$C$2:$C$201,$A1035)+COUNTIF('Service Principals'!$C$2:$C$201,$A1035)+COUNTIF('Managed Identities'!$C$2:$C$201,$A1035)&gt;0,"Yes","NOT IN INVENTORY"))</f>
        <v/>
      </c>
    </row>
    <row r="1036" customFormat="false" ht="15" hidden="false" customHeight="false" outlineLevel="0" collapsed="false">
      <c r="A1036" s="46"/>
      <c r="B1036" s="47"/>
      <c r="C1036" s="47"/>
      <c r="D1036" s="46"/>
      <c r="E1036" s="47"/>
      <c r="F1036" s="47"/>
      <c r="G1036" s="47"/>
      <c r="H1036" s="46"/>
      <c r="I1036" s="47"/>
      <c r="J1036" s="47"/>
      <c r="K1036" s="47"/>
      <c r="L1036" s="47"/>
      <c r="M1036" s="47"/>
      <c r="N1036" s="47"/>
      <c r="O1036" s="47"/>
      <c r="P1036" s="45" t="str">
        <f aca="false">IF($A1036="","",IF(COUNTIF(Accounts!$C$2:$C$201,$A1036)+COUNTIF('Service Principals'!$C$2:$C$201,$A1036)+COUNTIF('Managed Identities'!$C$2:$C$201,$A1036)&gt;0,"Yes","NOT IN INVENTORY"))</f>
        <v/>
      </c>
    </row>
    <row r="1037" customFormat="false" ht="15" hidden="false" customHeight="false" outlineLevel="0" collapsed="false">
      <c r="A1037" s="46"/>
      <c r="B1037" s="47"/>
      <c r="C1037" s="47"/>
      <c r="D1037" s="46"/>
      <c r="E1037" s="47"/>
      <c r="F1037" s="47"/>
      <c r="G1037" s="47"/>
      <c r="H1037" s="46"/>
      <c r="I1037" s="47"/>
      <c r="J1037" s="47"/>
      <c r="K1037" s="47"/>
      <c r="L1037" s="47"/>
      <c r="M1037" s="47"/>
      <c r="N1037" s="47"/>
      <c r="O1037" s="47"/>
      <c r="P1037" s="45" t="str">
        <f aca="false">IF($A1037="","",IF(COUNTIF(Accounts!$C$2:$C$201,$A1037)+COUNTIF('Service Principals'!$C$2:$C$201,$A1037)+COUNTIF('Managed Identities'!$C$2:$C$201,$A1037)&gt;0,"Yes","NOT IN INVENTORY"))</f>
        <v/>
      </c>
    </row>
    <row r="1038" customFormat="false" ht="15" hidden="false" customHeight="false" outlineLevel="0" collapsed="false">
      <c r="A1038" s="46"/>
      <c r="B1038" s="47"/>
      <c r="C1038" s="47"/>
      <c r="D1038" s="46"/>
      <c r="E1038" s="47"/>
      <c r="F1038" s="47"/>
      <c r="G1038" s="47"/>
      <c r="H1038" s="46"/>
      <c r="I1038" s="47"/>
      <c r="J1038" s="47"/>
      <c r="K1038" s="47"/>
      <c r="L1038" s="47"/>
      <c r="M1038" s="47"/>
      <c r="N1038" s="47"/>
      <c r="O1038" s="47"/>
      <c r="P1038" s="45" t="str">
        <f aca="false">IF($A1038="","",IF(COUNTIF(Accounts!$C$2:$C$201,$A1038)+COUNTIF('Service Principals'!$C$2:$C$201,$A1038)+COUNTIF('Managed Identities'!$C$2:$C$201,$A1038)&gt;0,"Yes","NOT IN INVENTORY"))</f>
        <v/>
      </c>
    </row>
    <row r="1039" customFormat="false" ht="15" hidden="false" customHeight="false" outlineLevel="0" collapsed="false">
      <c r="A1039" s="46"/>
      <c r="B1039" s="47"/>
      <c r="C1039" s="47"/>
      <c r="D1039" s="46"/>
      <c r="E1039" s="47"/>
      <c r="F1039" s="47"/>
      <c r="G1039" s="47"/>
      <c r="H1039" s="46"/>
      <c r="I1039" s="47"/>
      <c r="J1039" s="47"/>
      <c r="K1039" s="47"/>
      <c r="L1039" s="47"/>
      <c r="M1039" s="47"/>
      <c r="N1039" s="47"/>
      <c r="O1039" s="47"/>
      <c r="P1039" s="45" t="str">
        <f aca="false">IF($A1039="","",IF(COUNTIF(Accounts!$C$2:$C$201,$A1039)+COUNTIF('Service Principals'!$C$2:$C$201,$A1039)+COUNTIF('Managed Identities'!$C$2:$C$201,$A1039)&gt;0,"Yes","NOT IN INVENTORY"))</f>
        <v/>
      </c>
    </row>
    <row r="1040" customFormat="false" ht="15" hidden="false" customHeight="false" outlineLevel="0" collapsed="false">
      <c r="A1040" s="46"/>
      <c r="B1040" s="47"/>
      <c r="C1040" s="47"/>
      <c r="D1040" s="46"/>
      <c r="E1040" s="47"/>
      <c r="F1040" s="47"/>
      <c r="G1040" s="47"/>
      <c r="H1040" s="46"/>
      <c r="I1040" s="47"/>
      <c r="J1040" s="47"/>
      <c r="K1040" s="47"/>
      <c r="L1040" s="47"/>
      <c r="M1040" s="47"/>
      <c r="N1040" s="47"/>
      <c r="O1040" s="47"/>
      <c r="P1040" s="45" t="str">
        <f aca="false">IF($A1040="","",IF(COUNTIF(Accounts!$C$2:$C$201,$A1040)+COUNTIF('Service Principals'!$C$2:$C$201,$A1040)+COUNTIF('Managed Identities'!$C$2:$C$201,$A1040)&gt;0,"Yes","NOT IN INVENTORY"))</f>
        <v/>
      </c>
    </row>
    <row r="1041" customFormat="false" ht="15" hidden="false" customHeight="false" outlineLevel="0" collapsed="false">
      <c r="A1041" s="46"/>
      <c r="B1041" s="47"/>
      <c r="C1041" s="47"/>
      <c r="D1041" s="46"/>
      <c r="E1041" s="47"/>
      <c r="F1041" s="47"/>
      <c r="G1041" s="47"/>
      <c r="H1041" s="46"/>
      <c r="I1041" s="47"/>
      <c r="J1041" s="47"/>
      <c r="K1041" s="47"/>
      <c r="L1041" s="47"/>
      <c r="M1041" s="47"/>
      <c r="N1041" s="47"/>
      <c r="O1041" s="47"/>
      <c r="P1041" s="45" t="str">
        <f aca="false">IF($A1041="","",IF(COUNTIF(Accounts!$C$2:$C$201,$A1041)+COUNTIF('Service Principals'!$C$2:$C$201,$A1041)+COUNTIF('Managed Identities'!$C$2:$C$201,$A1041)&gt;0,"Yes","NOT IN INVENTORY"))</f>
        <v/>
      </c>
    </row>
    <row r="1042" customFormat="false" ht="15" hidden="false" customHeight="false" outlineLevel="0" collapsed="false">
      <c r="A1042" s="46"/>
      <c r="B1042" s="47"/>
      <c r="C1042" s="47"/>
      <c r="D1042" s="46"/>
      <c r="E1042" s="47"/>
      <c r="F1042" s="47"/>
      <c r="G1042" s="47"/>
      <c r="H1042" s="46"/>
      <c r="I1042" s="47"/>
      <c r="J1042" s="47"/>
      <c r="K1042" s="47"/>
      <c r="L1042" s="47"/>
      <c r="M1042" s="47"/>
      <c r="N1042" s="47"/>
      <c r="O1042" s="47"/>
      <c r="P1042" s="45" t="str">
        <f aca="false">IF($A1042="","",IF(COUNTIF(Accounts!$C$2:$C$201,$A1042)+COUNTIF('Service Principals'!$C$2:$C$201,$A1042)+COUNTIF('Managed Identities'!$C$2:$C$201,$A1042)&gt;0,"Yes","NOT IN INVENTORY"))</f>
        <v/>
      </c>
    </row>
    <row r="1043" customFormat="false" ht="15" hidden="false" customHeight="false" outlineLevel="0" collapsed="false">
      <c r="A1043" s="46"/>
      <c r="B1043" s="47"/>
      <c r="C1043" s="47"/>
      <c r="D1043" s="46"/>
      <c r="E1043" s="47"/>
      <c r="F1043" s="47"/>
      <c r="G1043" s="47"/>
      <c r="H1043" s="46"/>
      <c r="I1043" s="47"/>
      <c r="J1043" s="47"/>
      <c r="K1043" s="47"/>
      <c r="L1043" s="47"/>
      <c r="M1043" s="47"/>
      <c r="N1043" s="47"/>
      <c r="O1043" s="47"/>
      <c r="P1043" s="45" t="str">
        <f aca="false">IF($A1043="","",IF(COUNTIF(Accounts!$C$2:$C$201,$A1043)+COUNTIF('Service Principals'!$C$2:$C$201,$A1043)+COUNTIF('Managed Identities'!$C$2:$C$201,$A1043)&gt;0,"Yes","NOT IN INVENTORY"))</f>
        <v/>
      </c>
    </row>
    <row r="1044" customFormat="false" ht="15" hidden="false" customHeight="false" outlineLevel="0" collapsed="false">
      <c r="A1044" s="46"/>
      <c r="B1044" s="47"/>
      <c r="C1044" s="47"/>
      <c r="D1044" s="46"/>
      <c r="E1044" s="47"/>
      <c r="F1044" s="47"/>
      <c r="G1044" s="47"/>
      <c r="H1044" s="46"/>
      <c r="I1044" s="47"/>
      <c r="J1044" s="47"/>
      <c r="K1044" s="47"/>
      <c r="L1044" s="47"/>
      <c r="M1044" s="47"/>
      <c r="N1044" s="47"/>
      <c r="O1044" s="47"/>
      <c r="P1044" s="45" t="str">
        <f aca="false">IF($A1044="","",IF(COUNTIF(Accounts!$C$2:$C$201,$A1044)+COUNTIF('Service Principals'!$C$2:$C$201,$A1044)+COUNTIF('Managed Identities'!$C$2:$C$201,$A1044)&gt;0,"Yes","NOT IN INVENTORY"))</f>
        <v/>
      </c>
    </row>
    <row r="1045" customFormat="false" ht="15" hidden="false" customHeight="false" outlineLevel="0" collapsed="false">
      <c r="A1045" s="46"/>
      <c r="B1045" s="47"/>
      <c r="C1045" s="47"/>
      <c r="D1045" s="46"/>
      <c r="E1045" s="47"/>
      <c r="F1045" s="47"/>
      <c r="G1045" s="47"/>
      <c r="H1045" s="46"/>
      <c r="I1045" s="47"/>
      <c r="J1045" s="47"/>
      <c r="K1045" s="47"/>
      <c r="L1045" s="47"/>
      <c r="M1045" s="47"/>
      <c r="N1045" s="47"/>
      <c r="O1045" s="47"/>
      <c r="P1045" s="45" t="str">
        <f aca="false">IF($A1045="","",IF(COUNTIF(Accounts!$C$2:$C$201,$A1045)+COUNTIF('Service Principals'!$C$2:$C$201,$A1045)+COUNTIF('Managed Identities'!$C$2:$C$201,$A1045)&gt;0,"Yes","NOT IN INVENTORY"))</f>
        <v/>
      </c>
    </row>
    <row r="1046" customFormat="false" ht="15" hidden="false" customHeight="false" outlineLevel="0" collapsed="false">
      <c r="A1046" s="46"/>
      <c r="B1046" s="47"/>
      <c r="C1046" s="47"/>
      <c r="D1046" s="46"/>
      <c r="E1046" s="47"/>
      <c r="F1046" s="47"/>
      <c r="G1046" s="47"/>
      <c r="H1046" s="46"/>
      <c r="I1046" s="47"/>
      <c r="J1046" s="47"/>
      <c r="K1046" s="47"/>
      <c r="L1046" s="47"/>
      <c r="M1046" s="47"/>
      <c r="N1046" s="47"/>
      <c r="O1046" s="47"/>
      <c r="P1046" s="45" t="str">
        <f aca="false">IF($A1046="","",IF(COUNTIF(Accounts!$C$2:$C$201,$A1046)+COUNTIF('Service Principals'!$C$2:$C$201,$A1046)+COUNTIF('Managed Identities'!$C$2:$C$201,$A1046)&gt;0,"Yes","NOT IN INVENTORY"))</f>
        <v/>
      </c>
    </row>
    <row r="1047" customFormat="false" ht="15" hidden="false" customHeight="false" outlineLevel="0" collapsed="false">
      <c r="A1047" s="46"/>
      <c r="B1047" s="47"/>
      <c r="C1047" s="47"/>
      <c r="D1047" s="46"/>
      <c r="E1047" s="47"/>
      <c r="F1047" s="47"/>
      <c r="G1047" s="47"/>
      <c r="H1047" s="46"/>
      <c r="I1047" s="47"/>
      <c r="J1047" s="47"/>
      <c r="K1047" s="47"/>
      <c r="L1047" s="47"/>
      <c r="M1047" s="47"/>
      <c r="N1047" s="47"/>
      <c r="O1047" s="47"/>
      <c r="P1047" s="45" t="str">
        <f aca="false">IF($A1047="","",IF(COUNTIF(Accounts!$C$2:$C$201,$A1047)+COUNTIF('Service Principals'!$C$2:$C$201,$A1047)+COUNTIF('Managed Identities'!$C$2:$C$201,$A1047)&gt;0,"Yes","NOT IN INVENTORY"))</f>
        <v/>
      </c>
    </row>
    <row r="1048" customFormat="false" ht="15" hidden="false" customHeight="false" outlineLevel="0" collapsed="false">
      <c r="A1048" s="46"/>
      <c r="B1048" s="47"/>
      <c r="C1048" s="47"/>
      <c r="D1048" s="46"/>
      <c r="E1048" s="47"/>
      <c r="F1048" s="47"/>
      <c r="G1048" s="47"/>
      <c r="H1048" s="46"/>
      <c r="I1048" s="47"/>
      <c r="J1048" s="47"/>
      <c r="K1048" s="47"/>
      <c r="L1048" s="47"/>
      <c r="M1048" s="47"/>
      <c r="N1048" s="47"/>
      <c r="O1048" s="47"/>
      <c r="P1048" s="45" t="str">
        <f aca="false">IF($A1048="","",IF(COUNTIF(Accounts!$C$2:$C$201,$A1048)+COUNTIF('Service Principals'!$C$2:$C$201,$A1048)+COUNTIF('Managed Identities'!$C$2:$C$201,$A1048)&gt;0,"Yes","NOT IN INVENTORY"))</f>
        <v/>
      </c>
    </row>
    <row r="1049" customFormat="false" ht="15" hidden="false" customHeight="false" outlineLevel="0" collapsed="false">
      <c r="A1049" s="46"/>
      <c r="B1049" s="47"/>
      <c r="C1049" s="47"/>
      <c r="D1049" s="46"/>
      <c r="E1049" s="47"/>
      <c r="F1049" s="47"/>
      <c r="G1049" s="47"/>
      <c r="H1049" s="46"/>
      <c r="I1049" s="47"/>
      <c r="J1049" s="47"/>
      <c r="K1049" s="47"/>
      <c r="L1049" s="47"/>
      <c r="M1049" s="47"/>
      <c r="N1049" s="47"/>
      <c r="O1049" s="47"/>
      <c r="P1049" s="45" t="str">
        <f aca="false">IF($A1049="","",IF(COUNTIF(Accounts!$C$2:$C$201,$A1049)+COUNTIF('Service Principals'!$C$2:$C$201,$A1049)+COUNTIF('Managed Identities'!$C$2:$C$201,$A1049)&gt;0,"Yes","NOT IN INVENTORY"))</f>
        <v/>
      </c>
    </row>
    <row r="1050" customFormat="false" ht="15" hidden="false" customHeight="false" outlineLevel="0" collapsed="false">
      <c r="A1050" s="46"/>
      <c r="B1050" s="47"/>
      <c r="C1050" s="47"/>
      <c r="D1050" s="46"/>
      <c r="E1050" s="47"/>
      <c r="F1050" s="47"/>
      <c r="G1050" s="47"/>
      <c r="H1050" s="46"/>
      <c r="I1050" s="47"/>
      <c r="J1050" s="47"/>
      <c r="K1050" s="47"/>
      <c r="L1050" s="47"/>
      <c r="M1050" s="47"/>
      <c r="N1050" s="47"/>
      <c r="O1050" s="47"/>
      <c r="P1050" s="45" t="str">
        <f aca="false">IF($A1050="","",IF(COUNTIF(Accounts!$C$2:$C$201,$A1050)+COUNTIF('Service Principals'!$C$2:$C$201,$A1050)+COUNTIF('Managed Identities'!$C$2:$C$201,$A1050)&gt;0,"Yes","NOT IN INVENTORY"))</f>
        <v/>
      </c>
    </row>
    <row r="1051" customFormat="false" ht="15" hidden="false" customHeight="false" outlineLevel="0" collapsed="false">
      <c r="A1051" s="46"/>
      <c r="B1051" s="47"/>
      <c r="C1051" s="47"/>
      <c r="D1051" s="46"/>
      <c r="E1051" s="47"/>
      <c r="F1051" s="47"/>
      <c r="G1051" s="47"/>
      <c r="H1051" s="46"/>
      <c r="I1051" s="47"/>
      <c r="J1051" s="47"/>
      <c r="K1051" s="47"/>
      <c r="L1051" s="47"/>
      <c r="M1051" s="47"/>
      <c r="N1051" s="47"/>
      <c r="O1051" s="47"/>
      <c r="P1051" s="45" t="str">
        <f aca="false">IF($A1051="","",IF(COUNTIF(Accounts!$C$2:$C$201,$A1051)+COUNTIF('Service Principals'!$C$2:$C$201,$A1051)+COUNTIF('Managed Identities'!$C$2:$C$201,$A1051)&gt;0,"Yes","NOT IN INVENTORY"))</f>
        <v/>
      </c>
    </row>
    <row r="1052" customFormat="false" ht="15" hidden="false" customHeight="false" outlineLevel="0" collapsed="false">
      <c r="A1052" s="46"/>
      <c r="B1052" s="47"/>
      <c r="C1052" s="47"/>
      <c r="D1052" s="46"/>
      <c r="E1052" s="47"/>
      <c r="F1052" s="47"/>
      <c r="G1052" s="47"/>
      <c r="H1052" s="46"/>
      <c r="I1052" s="47"/>
      <c r="J1052" s="47"/>
      <c r="K1052" s="47"/>
      <c r="L1052" s="47"/>
      <c r="M1052" s="47"/>
      <c r="N1052" s="47"/>
      <c r="O1052" s="47"/>
      <c r="P1052" s="45" t="str">
        <f aca="false">IF($A1052="","",IF(COUNTIF(Accounts!$C$2:$C$201,$A1052)+COUNTIF('Service Principals'!$C$2:$C$201,$A1052)+COUNTIF('Managed Identities'!$C$2:$C$201,$A1052)&gt;0,"Yes","NOT IN INVENTORY"))</f>
        <v/>
      </c>
    </row>
    <row r="1053" customFormat="false" ht="15" hidden="false" customHeight="false" outlineLevel="0" collapsed="false">
      <c r="A1053" s="46"/>
      <c r="B1053" s="47"/>
      <c r="C1053" s="47"/>
      <c r="D1053" s="46"/>
      <c r="E1053" s="47"/>
      <c r="F1053" s="47"/>
      <c r="G1053" s="47"/>
      <c r="H1053" s="46"/>
      <c r="I1053" s="47"/>
      <c r="J1053" s="47"/>
      <c r="K1053" s="47"/>
      <c r="L1053" s="47"/>
      <c r="M1053" s="47"/>
      <c r="N1053" s="47"/>
      <c r="O1053" s="47"/>
      <c r="P1053" s="45" t="str">
        <f aca="false">IF($A1053="","",IF(COUNTIF(Accounts!$C$2:$C$201,$A1053)+COUNTIF('Service Principals'!$C$2:$C$201,$A1053)+COUNTIF('Managed Identities'!$C$2:$C$201,$A1053)&gt;0,"Yes","NOT IN INVENTORY"))</f>
        <v/>
      </c>
    </row>
    <row r="1054" customFormat="false" ht="15" hidden="false" customHeight="false" outlineLevel="0" collapsed="false">
      <c r="A1054" s="46"/>
      <c r="B1054" s="47"/>
      <c r="C1054" s="47"/>
      <c r="D1054" s="46"/>
      <c r="E1054" s="47"/>
      <c r="F1054" s="47"/>
      <c r="G1054" s="47"/>
      <c r="H1054" s="46"/>
      <c r="I1054" s="47"/>
      <c r="J1054" s="47"/>
      <c r="K1054" s="47"/>
      <c r="L1054" s="47"/>
      <c r="M1054" s="47"/>
      <c r="N1054" s="47"/>
      <c r="O1054" s="47"/>
      <c r="P1054" s="45" t="str">
        <f aca="false">IF($A1054="","",IF(COUNTIF(Accounts!$C$2:$C$201,$A1054)+COUNTIF('Service Principals'!$C$2:$C$201,$A1054)+COUNTIF('Managed Identities'!$C$2:$C$201,$A1054)&gt;0,"Yes","NOT IN INVENTORY"))</f>
        <v/>
      </c>
    </row>
    <row r="1055" customFormat="false" ht="15" hidden="false" customHeight="false" outlineLevel="0" collapsed="false">
      <c r="A1055" s="46"/>
      <c r="B1055" s="47"/>
      <c r="C1055" s="47"/>
      <c r="D1055" s="46"/>
      <c r="E1055" s="47"/>
      <c r="F1055" s="47"/>
      <c r="G1055" s="47"/>
      <c r="H1055" s="46"/>
      <c r="I1055" s="47"/>
      <c r="J1055" s="47"/>
      <c r="K1055" s="47"/>
      <c r="L1055" s="47"/>
      <c r="M1055" s="47"/>
      <c r="N1055" s="47"/>
      <c r="O1055" s="47"/>
      <c r="P1055" s="45" t="str">
        <f aca="false">IF($A1055="","",IF(COUNTIF(Accounts!$C$2:$C$201,$A1055)+COUNTIF('Service Principals'!$C$2:$C$201,$A1055)+COUNTIF('Managed Identities'!$C$2:$C$201,$A1055)&gt;0,"Yes","NOT IN INVENTORY"))</f>
        <v/>
      </c>
    </row>
    <row r="1056" customFormat="false" ht="15" hidden="false" customHeight="false" outlineLevel="0" collapsed="false">
      <c r="A1056" s="46"/>
      <c r="B1056" s="47"/>
      <c r="C1056" s="47"/>
      <c r="D1056" s="46"/>
      <c r="E1056" s="47"/>
      <c r="F1056" s="47"/>
      <c r="G1056" s="47"/>
      <c r="H1056" s="46"/>
      <c r="I1056" s="47"/>
      <c r="J1056" s="47"/>
      <c r="K1056" s="47"/>
      <c r="L1056" s="47"/>
      <c r="M1056" s="47"/>
      <c r="N1056" s="47"/>
      <c r="O1056" s="47"/>
      <c r="P1056" s="45" t="str">
        <f aca="false">IF($A1056="","",IF(COUNTIF(Accounts!$C$2:$C$201,$A1056)+COUNTIF('Service Principals'!$C$2:$C$201,$A1056)+COUNTIF('Managed Identities'!$C$2:$C$201,$A1056)&gt;0,"Yes","NOT IN INVENTORY"))</f>
        <v/>
      </c>
    </row>
    <row r="1057" customFormat="false" ht="15" hidden="false" customHeight="false" outlineLevel="0" collapsed="false">
      <c r="A1057" s="46"/>
      <c r="B1057" s="47"/>
      <c r="C1057" s="47"/>
      <c r="D1057" s="46"/>
      <c r="E1057" s="47"/>
      <c r="F1057" s="47"/>
      <c r="G1057" s="47"/>
      <c r="H1057" s="46"/>
      <c r="I1057" s="47"/>
      <c r="J1057" s="47"/>
      <c r="K1057" s="47"/>
      <c r="L1057" s="47"/>
      <c r="M1057" s="47"/>
      <c r="N1057" s="47"/>
      <c r="O1057" s="47"/>
      <c r="P1057" s="45" t="str">
        <f aca="false">IF($A1057="","",IF(COUNTIF(Accounts!$C$2:$C$201,$A1057)+COUNTIF('Service Principals'!$C$2:$C$201,$A1057)+COUNTIF('Managed Identities'!$C$2:$C$201,$A1057)&gt;0,"Yes","NOT IN INVENTORY"))</f>
        <v/>
      </c>
    </row>
    <row r="1058" customFormat="false" ht="15" hidden="false" customHeight="false" outlineLevel="0" collapsed="false">
      <c r="A1058" s="46"/>
      <c r="B1058" s="47"/>
      <c r="C1058" s="47"/>
      <c r="D1058" s="46"/>
      <c r="E1058" s="47"/>
      <c r="F1058" s="47"/>
      <c r="G1058" s="47"/>
      <c r="H1058" s="46"/>
      <c r="I1058" s="47"/>
      <c r="J1058" s="47"/>
      <c r="K1058" s="47"/>
      <c r="L1058" s="47"/>
      <c r="M1058" s="47"/>
      <c r="N1058" s="47"/>
      <c r="O1058" s="47"/>
      <c r="P1058" s="45" t="str">
        <f aca="false">IF($A1058="","",IF(COUNTIF(Accounts!$C$2:$C$201,$A1058)+COUNTIF('Service Principals'!$C$2:$C$201,$A1058)+COUNTIF('Managed Identities'!$C$2:$C$201,$A1058)&gt;0,"Yes","NOT IN INVENTORY"))</f>
        <v/>
      </c>
    </row>
    <row r="1059" customFormat="false" ht="15" hidden="false" customHeight="false" outlineLevel="0" collapsed="false">
      <c r="A1059" s="46"/>
      <c r="B1059" s="47"/>
      <c r="C1059" s="47"/>
      <c r="D1059" s="46"/>
      <c r="E1059" s="47"/>
      <c r="F1059" s="47"/>
      <c r="G1059" s="47"/>
      <c r="H1059" s="46"/>
      <c r="I1059" s="47"/>
      <c r="J1059" s="47"/>
      <c r="K1059" s="47"/>
      <c r="L1059" s="47"/>
      <c r="M1059" s="47"/>
      <c r="N1059" s="47"/>
      <c r="O1059" s="47"/>
      <c r="P1059" s="45" t="str">
        <f aca="false">IF($A1059="","",IF(COUNTIF(Accounts!$C$2:$C$201,$A1059)+COUNTIF('Service Principals'!$C$2:$C$201,$A1059)+COUNTIF('Managed Identities'!$C$2:$C$201,$A1059)&gt;0,"Yes","NOT IN INVENTORY"))</f>
        <v/>
      </c>
    </row>
    <row r="1060" customFormat="false" ht="15" hidden="false" customHeight="false" outlineLevel="0" collapsed="false">
      <c r="A1060" s="46"/>
      <c r="B1060" s="47"/>
      <c r="C1060" s="47"/>
      <c r="D1060" s="46"/>
      <c r="E1060" s="47"/>
      <c r="F1060" s="47"/>
      <c r="G1060" s="47"/>
      <c r="H1060" s="46"/>
      <c r="I1060" s="47"/>
      <c r="J1060" s="47"/>
      <c r="K1060" s="47"/>
      <c r="L1060" s="47"/>
      <c r="M1060" s="47"/>
      <c r="N1060" s="47"/>
      <c r="O1060" s="47"/>
      <c r="P1060" s="45" t="str">
        <f aca="false">IF($A1060="","",IF(COUNTIF(Accounts!$C$2:$C$201,$A1060)+COUNTIF('Service Principals'!$C$2:$C$201,$A1060)+COUNTIF('Managed Identities'!$C$2:$C$201,$A1060)&gt;0,"Yes","NOT IN INVENTORY"))</f>
        <v/>
      </c>
    </row>
    <row r="1061" customFormat="false" ht="15" hidden="false" customHeight="false" outlineLevel="0" collapsed="false">
      <c r="A1061" s="46"/>
      <c r="B1061" s="47"/>
      <c r="C1061" s="47"/>
      <c r="D1061" s="46"/>
      <c r="E1061" s="47"/>
      <c r="F1061" s="47"/>
      <c r="G1061" s="47"/>
      <c r="H1061" s="46"/>
      <c r="I1061" s="47"/>
      <c r="J1061" s="47"/>
      <c r="K1061" s="47"/>
      <c r="L1061" s="47"/>
      <c r="M1061" s="47"/>
      <c r="N1061" s="47"/>
      <c r="O1061" s="47"/>
      <c r="P1061" s="45" t="str">
        <f aca="false">IF($A1061="","",IF(COUNTIF(Accounts!$C$2:$C$201,$A1061)+COUNTIF('Service Principals'!$C$2:$C$201,$A1061)+COUNTIF('Managed Identities'!$C$2:$C$201,$A1061)&gt;0,"Yes","NOT IN INVENTORY"))</f>
        <v/>
      </c>
    </row>
    <row r="1062" customFormat="false" ht="15" hidden="false" customHeight="false" outlineLevel="0" collapsed="false">
      <c r="A1062" s="46"/>
      <c r="B1062" s="47"/>
      <c r="C1062" s="47"/>
      <c r="D1062" s="46"/>
      <c r="E1062" s="47"/>
      <c r="F1062" s="47"/>
      <c r="G1062" s="47"/>
      <c r="H1062" s="46"/>
      <c r="I1062" s="47"/>
      <c r="J1062" s="47"/>
      <c r="K1062" s="47"/>
      <c r="L1062" s="47"/>
      <c r="M1062" s="47"/>
      <c r="N1062" s="47"/>
      <c r="O1062" s="47"/>
      <c r="P1062" s="45" t="str">
        <f aca="false">IF($A1062="","",IF(COUNTIF(Accounts!$C$2:$C$201,$A1062)+COUNTIF('Service Principals'!$C$2:$C$201,$A1062)+COUNTIF('Managed Identities'!$C$2:$C$201,$A1062)&gt;0,"Yes","NOT IN INVENTORY"))</f>
        <v/>
      </c>
    </row>
    <row r="1063" customFormat="false" ht="15" hidden="false" customHeight="false" outlineLevel="0" collapsed="false">
      <c r="A1063" s="46"/>
      <c r="B1063" s="47"/>
      <c r="C1063" s="47"/>
      <c r="D1063" s="46"/>
      <c r="E1063" s="47"/>
      <c r="F1063" s="47"/>
      <c r="G1063" s="47"/>
      <c r="H1063" s="46"/>
      <c r="I1063" s="47"/>
      <c r="J1063" s="47"/>
      <c r="K1063" s="47"/>
      <c r="L1063" s="47"/>
      <c r="M1063" s="47"/>
      <c r="N1063" s="47"/>
      <c r="O1063" s="47"/>
      <c r="P1063" s="45" t="str">
        <f aca="false">IF($A1063="","",IF(COUNTIF(Accounts!$C$2:$C$201,$A1063)+COUNTIF('Service Principals'!$C$2:$C$201,$A1063)+COUNTIF('Managed Identities'!$C$2:$C$201,$A1063)&gt;0,"Yes","NOT IN INVENTORY"))</f>
        <v/>
      </c>
    </row>
    <row r="1064" customFormat="false" ht="15" hidden="false" customHeight="false" outlineLevel="0" collapsed="false">
      <c r="A1064" s="46"/>
      <c r="B1064" s="47"/>
      <c r="C1064" s="47"/>
      <c r="D1064" s="46"/>
      <c r="E1064" s="47"/>
      <c r="F1064" s="47"/>
      <c r="G1064" s="47"/>
      <c r="H1064" s="46"/>
      <c r="I1064" s="47"/>
      <c r="J1064" s="47"/>
      <c r="K1064" s="47"/>
      <c r="L1064" s="47"/>
      <c r="M1064" s="47"/>
      <c r="N1064" s="47"/>
      <c r="O1064" s="47"/>
      <c r="P1064" s="45" t="str">
        <f aca="false">IF($A1064="","",IF(COUNTIF(Accounts!$C$2:$C$201,$A1064)+COUNTIF('Service Principals'!$C$2:$C$201,$A1064)+COUNTIF('Managed Identities'!$C$2:$C$201,$A1064)&gt;0,"Yes","NOT IN INVENTORY"))</f>
        <v/>
      </c>
    </row>
    <row r="1065" customFormat="false" ht="15" hidden="false" customHeight="false" outlineLevel="0" collapsed="false">
      <c r="A1065" s="46"/>
      <c r="B1065" s="47"/>
      <c r="C1065" s="47"/>
      <c r="D1065" s="46"/>
      <c r="E1065" s="47"/>
      <c r="F1065" s="47"/>
      <c r="G1065" s="47"/>
      <c r="H1065" s="46"/>
      <c r="I1065" s="47"/>
      <c r="J1065" s="47"/>
      <c r="K1065" s="47"/>
      <c r="L1065" s="47"/>
      <c r="M1065" s="47"/>
      <c r="N1065" s="47"/>
      <c r="O1065" s="47"/>
      <c r="P1065" s="45" t="str">
        <f aca="false">IF($A1065="","",IF(COUNTIF(Accounts!$C$2:$C$201,$A1065)+COUNTIF('Service Principals'!$C$2:$C$201,$A1065)+COUNTIF('Managed Identities'!$C$2:$C$201,$A1065)&gt;0,"Yes","NOT IN INVENTORY"))</f>
        <v/>
      </c>
    </row>
    <row r="1066" customFormat="false" ht="15" hidden="false" customHeight="false" outlineLevel="0" collapsed="false">
      <c r="A1066" s="46"/>
      <c r="B1066" s="47"/>
      <c r="C1066" s="47"/>
      <c r="D1066" s="46"/>
      <c r="E1066" s="47"/>
      <c r="F1066" s="47"/>
      <c r="G1066" s="47"/>
      <c r="H1066" s="46"/>
      <c r="I1066" s="47"/>
      <c r="J1066" s="47"/>
      <c r="K1066" s="47"/>
      <c r="L1066" s="47"/>
      <c r="M1066" s="47"/>
      <c r="N1066" s="47"/>
      <c r="O1066" s="47"/>
      <c r="P1066" s="45" t="str">
        <f aca="false">IF($A1066="","",IF(COUNTIF(Accounts!$C$2:$C$201,$A1066)+COUNTIF('Service Principals'!$C$2:$C$201,$A1066)+COUNTIF('Managed Identities'!$C$2:$C$201,$A1066)&gt;0,"Yes","NOT IN INVENTORY"))</f>
        <v/>
      </c>
    </row>
    <row r="1067" customFormat="false" ht="15" hidden="false" customHeight="false" outlineLevel="0" collapsed="false">
      <c r="A1067" s="46"/>
      <c r="B1067" s="47"/>
      <c r="C1067" s="47"/>
      <c r="D1067" s="46"/>
      <c r="E1067" s="47"/>
      <c r="F1067" s="47"/>
      <c r="G1067" s="47"/>
      <c r="H1067" s="46"/>
      <c r="I1067" s="47"/>
      <c r="J1067" s="47"/>
      <c r="K1067" s="47"/>
      <c r="L1067" s="47"/>
      <c r="M1067" s="47"/>
      <c r="N1067" s="47"/>
      <c r="O1067" s="47"/>
      <c r="P1067" s="45" t="str">
        <f aca="false">IF($A1067="","",IF(COUNTIF(Accounts!$C$2:$C$201,$A1067)+COUNTIF('Service Principals'!$C$2:$C$201,$A1067)+COUNTIF('Managed Identities'!$C$2:$C$201,$A1067)&gt;0,"Yes","NOT IN INVENTORY"))</f>
        <v/>
      </c>
    </row>
    <row r="1068" customFormat="false" ht="15" hidden="false" customHeight="false" outlineLevel="0" collapsed="false">
      <c r="A1068" s="46"/>
      <c r="B1068" s="47"/>
      <c r="C1068" s="47"/>
      <c r="D1068" s="46"/>
      <c r="E1068" s="47"/>
      <c r="F1068" s="47"/>
      <c r="G1068" s="47"/>
      <c r="H1068" s="46"/>
      <c r="I1068" s="47"/>
      <c r="J1068" s="47"/>
      <c r="K1068" s="47"/>
      <c r="L1068" s="47"/>
      <c r="M1068" s="47"/>
      <c r="N1068" s="47"/>
      <c r="O1068" s="47"/>
      <c r="P1068" s="45" t="str">
        <f aca="false">IF($A1068="","",IF(COUNTIF(Accounts!$C$2:$C$201,$A1068)+COUNTIF('Service Principals'!$C$2:$C$201,$A1068)+COUNTIF('Managed Identities'!$C$2:$C$201,$A1068)&gt;0,"Yes","NOT IN INVENTORY"))</f>
        <v/>
      </c>
    </row>
    <row r="1069" customFormat="false" ht="15" hidden="false" customHeight="false" outlineLevel="0" collapsed="false">
      <c r="A1069" s="46"/>
      <c r="B1069" s="47"/>
      <c r="C1069" s="47"/>
      <c r="D1069" s="46"/>
      <c r="E1069" s="47"/>
      <c r="F1069" s="47"/>
      <c r="G1069" s="47"/>
      <c r="H1069" s="46"/>
      <c r="I1069" s="47"/>
      <c r="J1069" s="47"/>
      <c r="K1069" s="47"/>
      <c r="L1069" s="47"/>
      <c r="M1069" s="47"/>
      <c r="N1069" s="47"/>
      <c r="O1069" s="47"/>
      <c r="P1069" s="45" t="str">
        <f aca="false">IF($A1069="","",IF(COUNTIF(Accounts!$C$2:$C$201,$A1069)+COUNTIF('Service Principals'!$C$2:$C$201,$A1069)+COUNTIF('Managed Identities'!$C$2:$C$201,$A1069)&gt;0,"Yes","NOT IN INVENTORY"))</f>
        <v/>
      </c>
    </row>
    <row r="1070" customFormat="false" ht="15" hidden="false" customHeight="false" outlineLevel="0" collapsed="false">
      <c r="A1070" s="46"/>
      <c r="B1070" s="47"/>
      <c r="C1070" s="47"/>
      <c r="D1070" s="46"/>
      <c r="E1070" s="47"/>
      <c r="F1070" s="47"/>
      <c r="G1070" s="47"/>
      <c r="H1070" s="46"/>
      <c r="I1070" s="47"/>
      <c r="J1070" s="47"/>
      <c r="K1070" s="47"/>
      <c r="L1070" s="47"/>
      <c r="M1070" s="47"/>
      <c r="N1070" s="47"/>
      <c r="O1070" s="47"/>
      <c r="P1070" s="45" t="str">
        <f aca="false">IF($A1070="","",IF(COUNTIF(Accounts!$C$2:$C$201,$A1070)+COUNTIF('Service Principals'!$C$2:$C$201,$A1070)+COUNTIF('Managed Identities'!$C$2:$C$201,$A1070)&gt;0,"Yes","NOT IN INVENTORY"))</f>
        <v/>
      </c>
    </row>
    <row r="1071" customFormat="false" ht="15" hidden="false" customHeight="false" outlineLevel="0" collapsed="false">
      <c r="A1071" s="46"/>
      <c r="B1071" s="47"/>
      <c r="C1071" s="47"/>
      <c r="D1071" s="46"/>
      <c r="E1071" s="47"/>
      <c r="F1071" s="47"/>
      <c r="G1071" s="47"/>
      <c r="H1071" s="46"/>
      <c r="I1071" s="47"/>
      <c r="J1071" s="47"/>
      <c r="K1071" s="47"/>
      <c r="L1071" s="47"/>
      <c r="M1071" s="47"/>
      <c r="N1071" s="47"/>
      <c r="O1071" s="47"/>
      <c r="P1071" s="45" t="str">
        <f aca="false">IF($A1071="","",IF(COUNTIF(Accounts!$C$2:$C$201,$A1071)+COUNTIF('Service Principals'!$C$2:$C$201,$A1071)+COUNTIF('Managed Identities'!$C$2:$C$201,$A1071)&gt;0,"Yes","NOT IN INVENTORY"))</f>
        <v/>
      </c>
    </row>
    <row r="1072" customFormat="false" ht="15" hidden="false" customHeight="false" outlineLevel="0" collapsed="false">
      <c r="A1072" s="46"/>
      <c r="B1072" s="47"/>
      <c r="C1072" s="47"/>
      <c r="D1072" s="46"/>
      <c r="E1072" s="47"/>
      <c r="F1072" s="47"/>
      <c r="G1072" s="47"/>
      <c r="H1072" s="46"/>
      <c r="I1072" s="47"/>
      <c r="J1072" s="47"/>
      <c r="K1072" s="47"/>
      <c r="L1072" s="47"/>
      <c r="M1072" s="47"/>
      <c r="N1072" s="47"/>
      <c r="O1072" s="47"/>
      <c r="P1072" s="45" t="str">
        <f aca="false">IF($A1072="","",IF(COUNTIF(Accounts!$C$2:$C$201,$A1072)+COUNTIF('Service Principals'!$C$2:$C$201,$A1072)+COUNTIF('Managed Identities'!$C$2:$C$201,$A1072)&gt;0,"Yes","NOT IN INVENTORY"))</f>
        <v/>
      </c>
    </row>
    <row r="1073" customFormat="false" ht="15" hidden="false" customHeight="false" outlineLevel="0" collapsed="false">
      <c r="A1073" s="46"/>
      <c r="B1073" s="47"/>
      <c r="C1073" s="47"/>
      <c r="D1073" s="46"/>
      <c r="E1073" s="47"/>
      <c r="F1073" s="47"/>
      <c r="G1073" s="47"/>
      <c r="H1073" s="46"/>
      <c r="I1073" s="47"/>
      <c r="J1073" s="47"/>
      <c r="K1073" s="47"/>
      <c r="L1073" s="47"/>
      <c r="M1073" s="47"/>
      <c r="N1073" s="47"/>
      <c r="O1073" s="47"/>
      <c r="P1073" s="45" t="str">
        <f aca="false">IF($A1073="","",IF(COUNTIF(Accounts!$C$2:$C$201,$A1073)+COUNTIF('Service Principals'!$C$2:$C$201,$A1073)+COUNTIF('Managed Identities'!$C$2:$C$201,$A1073)&gt;0,"Yes","NOT IN INVENTORY"))</f>
        <v/>
      </c>
    </row>
    <row r="1074" customFormat="false" ht="15" hidden="false" customHeight="false" outlineLevel="0" collapsed="false">
      <c r="A1074" s="46"/>
      <c r="B1074" s="47"/>
      <c r="C1074" s="47"/>
      <c r="D1074" s="46"/>
      <c r="E1074" s="47"/>
      <c r="F1074" s="47"/>
      <c r="G1074" s="47"/>
      <c r="H1074" s="46"/>
      <c r="I1074" s="47"/>
      <c r="J1074" s="47"/>
      <c r="K1074" s="47"/>
      <c r="L1074" s="47"/>
      <c r="M1074" s="47"/>
      <c r="N1074" s="47"/>
      <c r="O1074" s="47"/>
      <c r="P1074" s="45" t="str">
        <f aca="false">IF($A1074="","",IF(COUNTIF(Accounts!$C$2:$C$201,$A1074)+COUNTIF('Service Principals'!$C$2:$C$201,$A1074)+COUNTIF('Managed Identities'!$C$2:$C$201,$A1074)&gt;0,"Yes","NOT IN INVENTORY"))</f>
        <v/>
      </c>
    </row>
    <row r="1075" customFormat="false" ht="15" hidden="false" customHeight="false" outlineLevel="0" collapsed="false">
      <c r="A1075" s="46"/>
      <c r="B1075" s="47"/>
      <c r="C1075" s="47"/>
      <c r="D1075" s="46"/>
      <c r="E1075" s="47"/>
      <c r="F1075" s="47"/>
      <c r="G1075" s="47"/>
      <c r="H1075" s="46"/>
      <c r="I1075" s="47"/>
      <c r="J1075" s="47"/>
      <c r="K1075" s="47"/>
      <c r="L1075" s="47"/>
      <c r="M1075" s="47"/>
      <c r="N1075" s="47"/>
      <c r="O1075" s="47"/>
      <c r="P1075" s="45" t="str">
        <f aca="false">IF($A1075="","",IF(COUNTIF(Accounts!$C$2:$C$201,$A1075)+COUNTIF('Service Principals'!$C$2:$C$201,$A1075)+COUNTIF('Managed Identities'!$C$2:$C$201,$A1075)&gt;0,"Yes","NOT IN INVENTORY"))</f>
        <v/>
      </c>
    </row>
    <row r="1076" customFormat="false" ht="15" hidden="false" customHeight="false" outlineLevel="0" collapsed="false">
      <c r="A1076" s="46"/>
      <c r="B1076" s="47"/>
      <c r="C1076" s="47"/>
      <c r="D1076" s="46"/>
      <c r="E1076" s="47"/>
      <c r="F1076" s="47"/>
      <c r="G1076" s="47"/>
      <c r="H1076" s="46"/>
      <c r="I1076" s="47"/>
      <c r="J1076" s="47"/>
      <c r="K1076" s="47"/>
      <c r="L1076" s="47"/>
      <c r="M1076" s="47"/>
      <c r="N1076" s="47"/>
      <c r="O1076" s="47"/>
      <c r="P1076" s="45" t="str">
        <f aca="false">IF($A1076="","",IF(COUNTIF(Accounts!$C$2:$C$201,$A1076)+COUNTIF('Service Principals'!$C$2:$C$201,$A1076)+COUNTIF('Managed Identities'!$C$2:$C$201,$A1076)&gt;0,"Yes","NOT IN INVENTORY"))</f>
        <v/>
      </c>
    </row>
    <row r="1077" customFormat="false" ht="15" hidden="false" customHeight="false" outlineLevel="0" collapsed="false">
      <c r="A1077" s="46"/>
      <c r="B1077" s="47"/>
      <c r="C1077" s="47"/>
      <c r="D1077" s="46"/>
      <c r="E1077" s="47"/>
      <c r="F1077" s="47"/>
      <c r="G1077" s="47"/>
      <c r="H1077" s="46"/>
      <c r="I1077" s="47"/>
      <c r="J1077" s="47"/>
      <c r="K1077" s="47"/>
      <c r="L1077" s="47"/>
      <c r="M1077" s="47"/>
      <c r="N1077" s="47"/>
      <c r="O1077" s="47"/>
      <c r="P1077" s="45" t="str">
        <f aca="false">IF($A1077="","",IF(COUNTIF(Accounts!$C$2:$C$201,$A1077)+COUNTIF('Service Principals'!$C$2:$C$201,$A1077)+COUNTIF('Managed Identities'!$C$2:$C$201,$A1077)&gt;0,"Yes","NOT IN INVENTORY"))</f>
        <v/>
      </c>
    </row>
    <row r="1078" customFormat="false" ht="15" hidden="false" customHeight="false" outlineLevel="0" collapsed="false">
      <c r="A1078" s="46"/>
      <c r="B1078" s="47"/>
      <c r="C1078" s="47"/>
      <c r="D1078" s="46"/>
      <c r="E1078" s="47"/>
      <c r="F1078" s="47"/>
      <c r="G1078" s="47"/>
      <c r="H1078" s="46"/>
      <c r="I1078" s="47"/>
      <c r="J1078" s="47"/>
      <c r="K1078" s="47"/>
      <c r="L1078" s="47"/>
      <c r="M1078" s="47"/>
      <c r="N1078" s="47"/>
      <c r="O1078" s="47"/>
      <c r="P1078" s="45" t="str">
        <f aca="false">IF($A1078="","",IF(COUNTIF(Accounts!$C$2:$C$201,$A1078)+COUNTIF('Service Principals'!$C$2:$C$201,$A1078)+COUNTIF('Managed Identities'!$C$2:$C$201,$A1078)&gt;0,"Yes","NOT IN INVENTORY"))</f>
        <v/>
      </c>
    </row>
    <row r="1079" customFormat="false" ht="15" hidden="false" customHeight="false" outlineLevel="0" collapsed="false">
      <c r="A1079" s="46"/>
      <c r="B1079" s="47"/>
      <c r="C1079" s="47"/>
      <c r="D1079" s="46"/>
      <c r="E1079" s="47"/>
      <c r="F1079" s="47"/>
      <c r="G1079" s="47"/>
      <c r="H1079" s="46"/>
      <c r="I1079" s="47"/>
      <c r="J1079" s="47"/>
      <c r="K1079" s="47"/>
      <c r="L1079" s="47"/>
      <c r="M1079" s="47"/>
      <c r="N1079" s="47"/>
      <c r="O1079" s="47"/>
      <c r="P1079" s="45" t="str">
        <f aca="false">IF($A1079="","",IF(COUNTIF(Accounts!$C$2:$C$201,$A1079)+COUNTIF('Service Principals'!$C$2:$C$201,$A1079)+COUNTIF('Managed Identities'!$C$2:$C$201,$A1079)&gt;0,"Yes","NOT IN INVENTORY"))</f>
        <v/>
      </c>
    </row>
    <row r="1080" customFormat="false" ht="15" hidden="false" customHeight="false" outlineLevel="0" collapsed="false">
      <c r="A1080" s="46"/>
      <c r="B1080" s="47"/>
      <c r="C1080" s="47"/>
      <c r="D1080" s="46"/>
      <c r="E1080" s="47"/>
      <c r="F1080" s="47"/>
      <c r="G1080" s="47"/>
      <c r="H1080" s="46"/>
      <c r="I1080" s="47"/>
      <c r="J1080" s="47"/>
      <c r="K1080" s="47"/>
      <c r="L1080" s="47"/>
      <c r="M1080" s="47"/>
      <c r="N1080" s="47"/>
      <c r="O1080" s="47"/>
      <c r="P1080" s="45" t="str">
        <f aca="false">IF($A1080="","",IF(COUNTIF(Accounts!$C$2:$C$201,$A1080)+COUNTIF('Service Principals'!$C$2:$C$201,$A1080)+COUNTIF('Managed Identities'!$C$2:$C$201,$A1080)&gt;0,"Yes","NOT IN INVENTORY"))</f>
        <v/>
      </c>
    </row>
    <row r="1081" customFormat="false" ht="15" hidden="false" customHeight="false" outlineLevel="0" collapsed="false">
      <c r="A1081" s="46"/>
      <c r="B1081" s="47"/>
      <c r="C1081" s="47"/>
      <c r="D1081" s="46"/>
      <c r="E1081" s="47"/>
      <c r="F1081" s="47"/>
      <c r="G1081" s="47"/>
      <c r="H1081" s="46"/>
      <c r="I1081" s="47"/>
      <c r="J1081" s="47"/>
      <c r="K1081" s="47"/>
      <c r="L1081" s="47"/>
      <c r="M1081" s="47"/>
      <c r="N1081" s="47"/>
      <c r="O1081" s="47"/>
      <c r="P1081" s="45" t="str">
        <f aca="false">IF($A1081="","",IF(COUNTIF(Accounts!$C$2:$C$201,$A1081)+COUNTIF('Service Principals'!$C$2:$C$201,$A1081)+COUNTIF('Managed Identities'!$C$2:$C$201,$A1081)&gt;0,"Yes","NOT IN INVENTORY"))</f>
        <v/>
      </c>
    </row>
    <row r="1082" customFormat="false" ht="15" hidden="false" customHeight="false" outlineLevel="0" collapsed="false">
      <c r="A1082" s="46"/>
      <c r="B1082" s="47"/>
      <c r="C1082" s="47"/>
      <c r="D1082" s="46"/>
      <c r="E1082" s="47"/>
      <c r="F1082" s="47"/>
      <c r="G1082" s="47"/>
      <c r="H1082" s="46"/>
      <c r="I1082" s="47"/>
      <c r="J1082" s="47"/>
      <c r="K1082" s="47"/>
      <c r="L1082" s="47"/>
      <c r="M1082" s="47"/>
      <c r="N1082" s="47"/>
      <c r="O1082" s="47"/>
      <c r="P1082" s="45" t="str">
        <f aca="false">IF($A1082="","",IF(COUNTIF(Accounts!$C$2:$C$201,$A1082)+COUNTIF('Service Principals'!$C$2:$C$201,$A1082)+COUNTIF('Managed Identities'!$C$2:$C$201,$A1082)&gt;0,"Yes","NOT IN INVENTORY"))</f>
        <v/>
      </c>
    </row>
    <row r="1083" customFormat="false" ht="15" hidden="false" customHeight="false" outlineLevel="0" collapsed="false">
      <c r="A1083" s="46"/>
      <c r="B1083" s="47"/>
      <c r="C1083" s="47"/>
      <c r="D1083" s="46"/>
      <c r="E1083" s="47"/>
      <c r="F1083" s="47"/>
      <c r="G1083" s="47"/>
      <c r="H1083" s="46"/>
      <c r="I1083" s="47"/>
      <c r="J1083" s="47"/>
      <c r="K1083" s="47"/>
      <c r="L1083" s="47"/>
      <c r="M1083" s="47"/>
      <c r="N1083" s="47"/>
      <c r="O1083" s="47"/>
      <c r="P1083" s="45" t="str">
        <f aca="false">IF($A1083="","",IF(COUNTIF(Accounts!$C$2:$C$201,$A1083)+COUNTIF('Service Principals'!$C$2:$C$201,$A1083)+COUNTIF('Managed Identities'!$C$2:$C$201,$A1083)&gt;0,"Yes","NOT IN INVENTORY"))</f>
        <v/>
      </c>
    </row>
    <row r="1084" customFormat="false" ht="15" hidden="false" customHeight="false" outlineLevel="0" collapsed="false">
      <c r="A1084" s="46"/>
      <c r="B1084" s="47"/>
      <c r="C1084" s="47"/>
      <c r="D1084" s="46"/>
      <c r="E1084" s="47"/>
      <c r="F1084" s="47"/>
      <c r="G1084" s="47"/>
      <c r="H1084" s="46"/>
      <c r="I1084" s="47"/>
      <c r="J1084" s="47"/>
      <c r="K1084" s="47"/>
      <c r="L1084" s="47"/>
      <c r="M1084" s="47"/>
      <c r="N1084" s="47"/>
      <c r="O1084" s="47"/>
      <c r="P1084" s="45" t="str">
        <f aca="false">IF($A1084="","",IF(COUNTIF(Accounts!$C$2:$C$201,$A1084)+COUNTIF('Service Principals'!$C$2:$C$201,$A1084)+COUNTIF('Managed Identities'!$C$2:$C$201,$A1084)&gt;0,"Yes","NOT IN INVENTORY"))</f>
        <v/>
      </c>
    </row>
    <row r="1085" customFormat="false" ht="15" hidden="false" customHeight="false" outlineLevel="0" collapsed="false">
      <c r="A1085" s="46"/>
      <c r="B1085" s="47"/>
      <c r="C1085" s="47"/>
      <c r="D1085" s="46"/>
      <c r="E1085" s="47"/>
      <c r="F1085" s="47"/>
      <c r="G1085" s="47"/>
      <c r="H1085" s="46"/>
      <c r="I1085" s="47"/>
      <c r="J1085" s="47"/>
      <c r="K1085" s="47"/>
      <c r="L1085" s="47"/>
      <c r="M1085" s="47"/>
      <c r="N1085" s="47"/>
      <c r="O1085" s="47"/>
      <c r="P1085" s="45" t="str">
        <f aca="false">IF($A1085="","",IF(COUNTIF(Accounts!$C$2:$C$201,$A1085)+COUNTIF('Service Principals'!$C$2:$C$201,$A1085)+COUNTIF('Managed Identities'!$C$2:$C$201,$A1085)&gt;0,"Yes","NOT IN INVENTORY"))</f>
        <v/>
      </c>
    </row>
    <row r="1086" customFormat="false" ht="15" hidden="false" customHeight="false" outlineLevel="0" collapsed="false">
      <c r="A1086" s="46"/>
      <c r="B1086" s="47"/>
      <c r="C1086" s="47"/>
      <c r="D1086" s="46"/>
      <c r="E1086" s="47"/>
      <c r="F1086" s="47"/>
      <c r="G1086" s="47"/>
      <c r="H1086" s="46"/>
      <c r="I1086" s="47"/>
      <c r="J1086" s="47"/>
      <c r="K1086" s="47"/>
      <c r="L1086" s="47"/>
      <c r="M1086" s="47"/>
      <c r="N1086" s="47"/>
      <c r="O1086" s="47"/>
      <c r="P1086" s="45" t="str">
        <f aca="false">IF($A1086="","",IF(COUNTIF(Accounts!$C$2:$C$201,$A1086)+COUNTIF('Service Principals'!$C$2:$C$201,$A1086)+COUNTIF('Managed Identities'!$C$2:$C$201,$A1086)&gt;0,"Yes","NOT IN INVENTORY"))</f>
        <v/>
      </c>
    </row>
    <row r="1087" customFormat="false" ht="15" hidden="false" customHeight="false" outlineLevel="0" collapsed="false">
      <c r="A1087" s="46"/>
      <c r="B1087" s="47"/>
      <c r="C1087" s="47"/>
      <c r="D1087" s="46"/>
      <c r="E1087" s="47"/>
      <c r="F1087" s="47"/>
      <c r="G1087" s="47"/>
      <c r="H1087" s="46"/>
      <c r="I1087" s="47"/>
      <c r="J1087" s="47"/>
      <c r="K1087" s="47"/>
      <c r="L1087" s="47"/>
      <c r="M1087" s="47"/>
      <c r="N1087" s="47"/>
      <c r="O1087" s="47"/>
      <c r="P1087" s="45" t="str">
        <f aca="false">IF($A1087="","",IF(COUNTIF(Accounts!$C$2:$C$201,$A1087)+COUNTIF('Service Principals'!$C$2:$C$201,$A1087)+COUNTIF('Managed Identities'!$C$2:$C$201,$A1087)&gt;0,"Yes","NOT IN INVENTORY"))</f>
        <v/>
      </c>
    </row>
    <row r="1088" customFormat="false" ht="15" hidden="false" customHeight="false" outlineLevel="0" collapsed="false">
      <c r="A1088" s="46"/>
      <c r="B1088" s="47"/>
      <c r="C1088" s="47"/>
      <c r="D1088" s="46"/>
      <c r="E1088" s="47"/>
      <c r="F1088" s="47"/>
      <c r="G1088" s="47"/>
      <c r="H1088" s="46"/>
      <c r="I1088" s="47"/>
      <c r="J1088" s="47"/>
      <c r="K1088" s="47"/>
      <c r="L1088" s="47"/>
      <c r="M1088" s="47"/>
      <c r="N1088" s="47"/>
      <c r="O1088" s="47"/>
      <c r="P1088" s="45" t="str">
        <f aca="false">IF($A1088="","",IF(COUNTIF(Accounts!$C$2:$C$201,$A1088)+COUNTIF('Service Principals'!$C$2:$C$201,$A1088)+COUNTIF('Managed Identities'!$C$2:$C$201,$A1088)&gt;0,"Yes","NOT IN INVENTORY"))</f>
        <v/>
      </c>
    </row>
    <row r="1089" customFormat="false" ht="15" hidden="false" customHeight="false" outlineLevel="0" collapsed="false">
      <c r="A1089" s="46"/>
      <c r="B1089" s="47"/>
      <c r="C1089" s="47"/>
      <c r="D1089" s="46"/>
      <c r="E1089" s="47"/>
      <c r="F1089" s="47"/>
      <c r="G1089" s="47"/>
      <c r="H1089" s="46"/>
      <c r="I1089" s="47"/>
      <c r="J1089" s="47"/>
      <c r="K1089" s="47"/>
      <c r="L1089" s="47"/>
      <c r="M1089" s="47"/>
      <c r="N1089" s="47"/>
      <c r="O1089" s="47"/>
      <c r="P1089" s="45" t="str">
        <f aca="false">IF($A1089="","",IF(COUNTIF(Accounts!$C$2:$C$201,$A1089)+COUNTIF('Service Principals'!$C$2:$C$201,$A1089)+COUNTIF('Managed Identities'!$C$2:$C$201,$A1089)&gt;0,"Yes","NOT IN INVENTORY"))</f>
        <v/>
      </c>
    </row>
    <row r="1090" customFormat="false" ht="15" hidden="false" customHeight="false" outlineLevel="0" collapsed="false">
      <c r="A1090" s="46"/>
      <c r="B1090" s="47"/>
      <c r="C1090" s="47"/>
      <c r="D1090" s="46"/>
      <c r="E1090" s="47"/>
      <c r="F1090" s="47"/>
      <c r="G1090" s="47"/>
      <c r="H1090" s="46"/>
      <c r="I1090" s="47"/>
      <c r="J1090" s="47"/>
      <c r="K1090" s="47"/>
      <c r="L1090" s="47"/>
      <c r="M1090" s="47"/>
      <c r="N1090" s="47"/>
      <c r="O1090" s="47"/>
      <c r="P1090" s="45" t="str">
        <f aca="false">IF($A1090="","",IF(COUNTIF(Accounts!$C$2:$C$201,$A1090)+COUNTIF('Service Principals'!$C$2:$C$201,$A1090)+COUNTIF('Managed Identities'!$C$2:$C$201,$A1090)&gt;0,"Yes","NOT IN INVENTORY"))</f>
        <v/>
      </c>
    </row>
    <row r="1091" customFormat="false" ht="15" hidden="false" customHeight="false" outlineLevel="0" collapsed="false">
      <c r="A1091" s="46"/>
      <c r="B1091" s="47"/>
      <c r="C1091" s="47"/>
      <c r="D1091" s="46"/>
      <c r="E1091" s="47"/>
      <c r="F1091" s="47"/>
      <c r="G1091" s="47"/>
      <c r="H1091" s="46"/>
      <c r="I1091" s="47"/>
      <c r="J1091" s="47"/>
      <c r="K1091" s="47"/>
      <c r="L1091" s="47"/>
      <c r="M1091" s="47"/>
      <c r="N1091" s="47"/>
      <c r="O1091" s="47"/>
      <c r="P1091" s="45" t="str">
        <f aca="false">IF($A1091="","",IF(COUNTIF(Accounts!$C$2:$C$201,$A1091)+COUNTIF('Service Principals'!$C$2:$C$201,$A1091)+COUNTIF('Managed Identities'!$C$2:$C$201,$A1091)&gt;0,"Yes","NOT IN INVENTORY"))</f>
        <v/>
      </c>
    </row>
    <row r="1092" customFormat="false" ht="15" hidden="false" customHeight="false" outlineLevel="0" collapsed="false">
      <c r="A1092" s="46"/>
      <c r="B1092" s="47"/>
      <c r="C1092" s="47"/>
      <c r="D1092" s="46"/>
      <c r="E1092" s="47"/>
      <c r="F1092" s="47"/>
      <c r="G1092" s="47"/>
      <c r="H1092" s="46"/>
      <c r="I1092" s="47"/>
      <c r="J1092" s="47"/>
      <c r="K1092" s="47"/>
      <c r="L1092" s="47"/>
      <c r="M1092" s="47"/>
      <c r="N1092" s="47"/>
      <c r="O1092" s="47"/>
      <c r="P1092" s="45" t="str">
        <f aca="false">IF($A1092="","",IF(COUNTIF(Accounts!$C$2:$C$201,$A1092)+COUNTIF('Service Principals'!$C$2:$C$201,$A1092)+COUNTIF('Managed Identities'!$C$2:$C$201,$A1092)&gt;0,"Yes","NOT IN INVENTORY"))</f>
        <v/>
      </c>
    </row>
    <row r="1093" customFormat="false" ht="15" hidden="false" customHeight="false" outlineLevel="0" collapsed="false">
      <c r="A1093" s="46"/>
      <c r="B1093" s="47"/>
      <c r="C1093" s="47"/>
      <c r="D1093" s="46"/>
      <c r="E1093" s="47"/>
      <c r="F1093" s="47"/>
      <c r="G1093" s="47"/>
      <c r="H1093" s="46"/>
      <c r="I1093" s="47"/>
      <c r="J1093" s="47"/>
      <c r="K1093" s="47"/>
      <c r="L1093" s="47"/>
      <c r="M1093" s="47"/>
      <c r="N1093" s="47"/>
      <c r="O1093" s="47"/>
      <c r="P1093" s="45" t="str">
        <f aca="false">IF($A1093="","",IF(COUNTIF(Accounts!$C$2:$C$201,$A1093)+COUNTIF('Service Principals'!$C$2:$C$201,$A1093)+COUNTIF('Managed Identities'!$C$2:$C$201,$A1093)&gt;0,"Yes","NOT IN INVENTORY"))</f>
        <v/>
      </c>
    </row>
    <row r="1094" customFormat="false" ht="15" hidden="false" customHeight="false" outlineLevel="0" collapsed="false">
      <c r="A1094" s="46"/>
      <c r="B1094" s="47"/>
      <c r="C1094" s="47"/>
      <c r="D1094" s="46"/>
      <c r="E1094" s="47"/>
      <c r="F1094" s="47"/>
      <c r="G1094" s="47"/>
      <c r="H1094" s="46"/>
      <c r="I1094" s="47"/>
      <c r="J1094" s="47"/>
      <c r="K1094" s="47"/>
      <c r="L1094" s="47"/>
      <c r="M1094" s="47"/>
      <c r="N1094" s="47"/>
      <c r="O1094" s="47"/>
      <c r="P1094" s="45" t="str">
        <f aca="false">IF($A1094="","",IF(COUNTIF(Accounts!$C$2:$C$201,$A1094)+COUNTIF('Service Principals'!$C$2:$C$201,$A1094)+COUNTIF('Managed Identities'!$C$2:$C$201,$A1094)&gt;0,"Yes","NOT IN INVENTORY"))</f>
        <v/>
      </c>
    </row>
    <row r="1095" customFormat="false" ht="15" hidden="false" customHeight="false" outlineLevel="0" collapsed="false">
      <c r="A1095" s="46"/>
      <c r="B1095" s="47"/>
      <c r="C1095" s="47"/>
      <c r="D1095" s="46"/>
      <c r="E1095" s="47"/>
      <c r="F1095" s="47"/>
      <c r="G1095" s="47"/>
      <c r="H1095" s="46"/>
      <c r="I1095" s="47"/>
      <c r="J1095" s="47"/>
      <c r="K1095" s="47"/>
      <c r="L1095" s="47"/>
      <c r="M1095" s="47"/>
      <c r="N1095" s="47"/>
      <c r="O1095" s="47"/>
      <c r="P1095" s="45" t="str">
        <f aca="false">IF($A1095="","",IF(COUNTIF(Accounts!$C$2:$C$201,$A1095)+COUNTIF('Service Principals'!$C$2:$C$201,$A1095)+COUNTIF('Managed Identities'!$C$2:$C$201,$A1095)&gt;0,"Yes","NOT IN INVENTORY"))</f>
        <v/>
      </c>
    </row>
    <row r="1096" customFormat="false" ht="15" hidden="false" customHeight="false" outlineLevel="0" collapsed="false">
      <c r="A1096" s="46"/>
      <c r="B1096" s="47"/>
      <c r="C1096" s="47"/>
      <c r="D1096" s="46"/>
      <c r="E1096" s="47"/>
      <c r="F1096" s="47"/>
      <c r="G1096" s="47"/>
      <c r="H1096" s="46"/>
      <c r="I1096" s="47"/>
      <c r="J1096" s="47"/>
      <c r="K1096" s="47"/>
      <c r="L1096" s="47"/>
      <c r="M1096" s="47"/>
      <c r="N1096" s="47"/>
      <c r="O1096" s="47"/>
      <c r="P1096" s="45" t="str">
        <f aca="false">IF($A1096="","",IF(COUNTIF(Accounts!$C$2:$C$201,$A1096)+COUNTIF('Service Principals'!$C$2:$C$201,$A1096)+COUNTIF('Managed Identities'!$C$2:$C$201,$A1096)&gt;0,"Yes","NOT IN INVENTORY"))</f>
        <v/>
      </c>
    </row>
    <row r="1097" customFormat="false" ht="15" hidden="false" customHeight="false" outlineLevel="0" collapsed="false">
      <c r="A1097" s="46"/>
      <c r="B1097" s="47"/>
      <c r="C1097" s="47"/>
      <c r="D1097" s="46"/>
      <c r="E1097" s="47"/>
      <c r="F1097" s="47"/>
      <c r="G1097" s="47"/>
      <c r="H1097" s="46"/>
      <c r="I1097" s="47"/>
      <c r="J1097" s="47"/>
      <c r="K1097" s="47"/>
      <c r="L1097" s="47"/>
      <c r="M1097" s="47"/>
      <c r="N1097" s="47"/>
      <c r="O1097" s="47"/>
      <c r="P1097" s="45" t="str">
        <f aca="false">IF($A1097="","",IF(COUNTIF(Accounts!$C$2:$C$201,$A1097)+COUNTIF('Service Principals'!$C$2:$C$201,$A1097)+COUNTIF('Managed Identities'!$C$2:$C$201,$A1097)&gt;0,"Yes","NOT IN INVENTORY"))</f>
        <v/>
      </c>
    </row>
    <row r="1098" customFormat="false" ht="15" hidden="false" customHeight="false" outlineLevel="0" collapsed="false">
      <c r="A1098" s="46"/>
      <c r="B1098" s="47"/>
      <c r="C1098" s="47"/>
      <c r="D1098" s="46"/>
      <c r="E1098" s="47"/>
      <c r="F1098" s="47"/>
      <c r="G1098" s="47"/>
      <c r="H1098" s="46"/>
      <c r="I1098" s="47"/>
      <c r="J1098" s="47"/>
      <c r="K1098" s="47"/>
      <c r="L1098" s="47"/>
      <c r="M1098" s="47"/>
      <c r="N1098" s="47"/>
      <c r="O1098" s="47"/>
      <c r="P1098" s="45" t="str">
        <f aca="false">IF($A1098="","",IF(COUNTIF(Accounts!$C$2:$C$201,$A1098)+COUNTIF('Service Principals'!$C$2:$C$201,$A1098)+COUNTIF('Managed Identities'!$C$2:$C$201,$A1098)&gt;0,"Yes","NOT IN INVENTORY"))</f>
        <v/>
      </c>
    </row>
    <row r="1099" customFormat="false" ht="15" hidden="false" customHeight="false" outlineLevel="0" collapsed="false">
      <c r="A1099" s="46"/>
      <c r="B1099" s="47"/>
      <c r="C1099" s="47"/>
      <c r="D1099" s="46"/>
      <c r="E1099" s="47"/>
      <c r="F1099" s="47"/>
      <c r="G1099" s="47"/>
      <c r="H1099" s="46"/>
      <c r="I1099" s="47"/>
      <c r="J1099" s="47"/>
      <c r="K1099" s="47"/>
      <c r="L1099" s="47"/>
      <c r="M1099" s="47"/>
      <c r="N1099" s="47"/>
      <c r="O1099" s="47"/>
      <c r="P1099" s="45" t="str">
        <f aca="false">IF($A1099="","",IF(COUNTIF(Accounts!$C$2:$C$201,$A1099)+COUNTIF('Service Principals'!$C$2:$C$201,$A1099)+COUNTIF('Managed Identities'!$C$2:$C$201,$A1099)&gt;0,"Yes","NOT IN INVENTORY"))</f>
        <v/>
      </c>
    </row>
    <row r="1100" customFormat="false" ht="15" hidden="false" customHeight="false" outlineLevel="0" collapsed="false">
      <c r="A1100" s="46"/>
      <c r="B1100" s="47"/>
      <c r="C1100" s="47"/>
      <c r="D1100" s="46"/>
      <c r="E1100" s="47"/>
      <c r="F1100" s="47"/>
      <c r="G1100" s="47"/>
      <c r="H1100" s="46"/>
      <c r="I1100" s="47"/>
      <c r="J1100" s="47"/>
      <c r="K1100" s="47"/>
      <c r="L1100" s="47"/>
      <c r="M1100" s="47"/>
      <c r="N1100" s="47"/>
      <c r="O1100" s="47"/>
      <c r="P1100" s="45" t="str">
        <f aca="false">IF($A1100="","",IF(COUNTIF(Accounts!$C$2:$C$201,$A1100)+COUNTIF('Service Principals'!$C$2:$C$201,$A1100)+COUNTIF('Managed Identities'!$C$2:$C$201,$A1100)&gt;0,"Yes","NOT IN INVENTORY"))</f>
        <v/>
      </c>
    </row>
    <row r="1101" customFormat="false" ht="15" hidden="false" customHeight="false" outlineLevel="0" collapsed="false">
      <c r="A1101" s="46"/>
      <c r="B1101" s="47"/>
      <c r="C1101" s="47"/>
      <c r="D1101" s="46"/>
      <c r="E1101" s="47"/>
      <c r="F1101" s="47"/>
      <c r="G1101" s="47"/>
      <c r="H1101" s="46"/>
      <c r="I1101" s="47"/>
      <c r="J1101" s="47"/>
      <c r="K1101" s="47"/>
      <c r="L1101" s="47"/>
      <c r="M1101" s="47"/>
      <c r="N1101" s="47"/>
      <c r="O1101" s="47"/>
      <c r="P1101" s="45" t="str">
        <f aca="false">IF($A1101="","",IF(COUNTIF(Accounts!$C$2:$C$201,$A1101)+COUNTIF('Service Principals'!$C$2:$C$201,$A1101)+COUNTIF('Managed Identities'!$C$2:$C$201,$A1101)&gt;0,"Yes","NOT IN INVENTORY"))</f>
        <v/>
      </c>
    </row>
    <row r="1102" customFormat="false" ht="15" hidden="false" customHeight="false" outlineLevel="0" collapsed="false">
      <c r="A1102" s="46"/>
      <c r="B1102" s="47"/>
      <c r="C1102" s="47"/>
      <c r="D1102" s="46"/>
      <c r="E1102" s="47"/>
      <c r="F1102" s="47"/>
      <c r="G1102" s="47"/>
      <c r="H1102" s="46"/>
      <c r="I1102" s="47"/>
      <c r="J1102" s="47"/>
      <c r="K1102" s="47"/>
      <c r="L1102" s="47"/>
      <c r="M1102" s="47"/>
      <c r="N1102" s="47"/>
      <c r="O1102" s="47"/>
      <c r="P1102" s="45" t="str">
        <f aca="false">IF($A1102="","",IF(COUNTIF(Accounts!$C$2:$C$201,$A1102)+COUNTIF('Service Principals'!$C$2:$C$201,$A1102)+COUNTIF('Managed Identities'!$C$2:$C$201,$A1102)&gt;0,"Yes","NOT IN INVENTORY"))</f>
        <v/>
      </c>
    </row>
    <row r="1103" customFormat="false" ht="15" hidden="false" customHeight="false" outlineLevel="0" collapsed="false">
      <c r="A1103" s="46"/>
      <c r="B1103" s="47"/>
      <c r="C1103" s="47"/>
      <c r="D1103" s="46"/>
      <c r="E1103" s="47"/>
      <c r="F1103" s="47"/>
      <c r="G1103" s="47"/>
      <c r="H1103" s="46"/>
      <c r="I1103" s="47"/>
      <c r="J1103" s="47"/>
      <c r="K1103" s="47"/>
      <c r="L1103" s="47"/>
      <c r="M1103" s="47"/>
      <c r="N1103" s="47"/>
      <c r="O1103" s="47"/>
      <c r="P1103" s="45" t="str">
        <f aca="false">IF($A1103="","",IF(COUNTIF(Accounts!$C$2:$C$201,$A1103)+COUNTIF('Service Principals'!$C$2:$C$201,$A1103)+COUNTIF('Managed Identities'!$C$2:$C$201,$A1103)&gt;0,"Yes","NOT IN INVENTORY"))</f>
        <v/>
      </c>
    </row>
    <row r="1104" customFormat="false" ht="15" hidden="false" customHeight="false" outlineLevel="0" collapsed="false">
      <c r="A1104" s="46"/>
      <c r="B1104" s="47"/>
      <c r="C1104" s="47"/>
      <c r="D1104" s="46"/>
      <c r="E1104" s="47"/>
      <c r="F1104" s="47"/>
      <c r="G1104" s="47"/>
      <c r="H1104" s="46"/>
      <c r="I1104" s="47"/>
      <c r="J1104" s="47"/>
      <c r="K1104" s="47"/>
      <c r="L1104" s="47"/>
      <c r="M1104" s="47"/>
      <c r="N1104" s="47"/>
      <c r="O1104" s="47"/>
      <c r="P1104" s="45" t="str">
        <f aca="false">IF($A1104="","",IF(COUNTIF(Accounts!$C$2:$C$201,$A1104)+COUNTIF('Service Principals'!$C$2:$C$201,$A1104)+COUNTIF('Managed Identities'!$C$2:$C$201,$A1104)&gt;0,"Yes","NOT IN INVENTORY"))</f>
        <v/>
      </c>
    </row>
    <row r="1105" customFormat="false" ht="15" hidden="false" customHeight="false" outlineLevel="0" collapsed="false">
      <c r="A1105" s="46"/>
      <c r="B1105" s="47"/>
      <c r="C1105" s="47"/>
      <c r="D1105" s="46"/>
      <c r="E1105" s="47"/>
      <c r="F1105" s="47"/>
      <c r="G1105" s="47"/>
      <c r="H1105" s="46"/>
      <c r="I1105" s="47"/>
      <c r="J1105" s="47"/>
      <c r="K1105" s="47"/>
      <c r="L1105" s="47"/>
      <c r="M1105" s="47"/>
      <c r="N1105" s="47"/>
      <c r="O1105" s="47"/>
      <c r="P1105" s="45" t="str">
        <f aca="false">IF($A1105="","",IF(COUNTIF(Accounts!$C$2:$C$201,$A1105)+COUNTIF('Service Principals'!$C$2:$C$201,$A1105)+COUNTIF('Managed Identities'!$C$2:$C$201,$A1105)&gt;0,"Yes","NOT IN INVENTORY"))</f>
        <v/>
      </c>
    </row>
    <row r="1106" customFormat="false" ht="15" hidden="false" customHeight="false" outlineLevel="0" collapsed="false">
      <c r="A1106" s="46"/>
      <c r="B1106" s="47"/>
      <c r="C1106" s="47"/>
      <c r="D1106" s="46"/>
      <c r="E1106" s="47"/>
      <c r="F1106" s="47"/>
      <c r="G1106" s="47"/>
      <c r="H1106" s="46"/>
      <c r="I1106" s="47"/>
      <c r="J1106" s="47"/>
      <c r="K1106" s="47"/>
      <c r="L1106" s="47"/>
      <c r="M1106" s="47"/>
      <c r="N1106" s="47"/>
      <c r="O1106" s="47"/>
      <c r="P1106" s="45" t="str">
        <f aca="false">IF($A1106="","",IF(COUNTIF(Accounts!$C$2:$C$201,$A1106)+COUNTIF('Service Principals'!$C$2:$C$201,$A1106)+COUNTIF('Managed Identities'!$C$2:$C$201,$A1106)&gt;0,"Yes","NOT IN INVENTORY"))</f>
        <v/>
      </c>
    </row>
    <row r="1107" customFormat="false" ht="15" hidden="false" customHeight="false" outlineLevel="0" collapsed="false">
      <c r="A1107" s="46"/>
      <c r="B1107" s="47"/>
      <c r="C1107" s="47"/>
      <c r="D1107" s="46"/>
      <c r="E1107" s="47"/>
      <c r="F1107" s="47"/>
      <c r="G1107" s="47"/>
      <c r="H1107" s="46"/>
      <c r="I1107" s="47"/>
      <c r="J1107" s="47"/>
      <c r="K1107" s="47"/>
      <c r="L1107" s="47"/>
      <c r="M1107" s="47"/>
      <c r="N1107" s="47"/>
      <c r="O1107" s="47"/>
      <c r="P1107" s="45" t="str">
        <f aca="false">IF($A1107="","",IF(COUNTIF(Accounts!$C$2:$C$201,$A1107)+COUNTIF('Service Principals'!$C$2:$C$201,$A1107)+COUNTIF('Managed Identities'!$C$2:$C$201,$A1107)&gt;0,"Yes","NOT IN INVENTORY"))</f>
        <v/>
      </c>
    </row>
    <row r="1108" customFormat="false" ht="15" hidden="false" customHeight="false" outlineLevel="0" collapsed="false">
      <c r="A1108" s="46"/>
      <c r="B1108" s="47"/>
      <c r="C1108" s="47"/>
      <c r="D1108" s="46"/>
      <c r="E1108" s="47"/>
      <c r="F1108" s="47"/>
      <c r="G1108" s="47"/>
      <c r="H1108" s="46"/>
      <c r="I1108" s="47"/>
      <c r="J1108" s="47"/>
      <c r="K1108" s="47"/>
      <c r="L1108" s="47"/>
      <c r="M1108" s="47"/>
      <c r="N1108" s="47"/>
      <c r="O1108" s="47"/>
      <c r="P1108" s="45" t="str">
        <f aca="false">IF($A1108="","",IF(COUNTIF(Accounts!$C$2:$C$201,$A1108)+COUNTIF('Service Principals'!$C$2:$C$201,$A1108)+COUNTIF('Managed Identities'!$C$2:$C$201,$A1108)&gt;0,"Yes","NOT IN INVENTORY"))</f>
        <v/>
      </c>
    </row>
    <row r="1109" customFormat="false" ht="15" hidden="false" customHeight="false" outlineLevel="0" collapsed="false">
      <c r="A1109" s="46"/>
      <c r="B1109" s="47"/>
      <c r="C1109" s="47"/>
      <c r="D1109" s="46"/>
      <c r="E1109" s="47"/>
      <c r="F1109" s="47"/>
      <c r="G1109" s="47"/>
      <c r="H1109" s="46"/>
      <c r="I1109" s="47"/>
      <c r="J1109" s="47"/>
      <c r="K1109" s="47"/>
      <c r="L1109" s="47"/>
      <c r="M1109" s="47"/>
      <c r="N1109" s="47"/>
      <c r="O1109" s="47"/>
      <c r="P1109" s="45" t="str">
        <f aca="false">IF($A1109="","",IF(COUNTIF(Accounts!$C$2:$C$201,$A1109)+COUNTIF('Service Principals'!$C$2:$C$201,$A1109)+COUNTIF('Managed Identities'!$C$2:$C$201,$A1109)&gt;0,"Yes","NOT IN INVENTORY"))</f>
        <v/>
      </c>
    </row>
    <row r="1110" customFormat="false" ht="15" hidden="false" customHeight="false" outlineLevel="0" collapsed="false">
      <c r="A1110" s="46"/>
      <c r="B1110" s="47"/>
      <c r="C1110" s="47"/>
      <c r="D1110" s="46"/>
      <c r="E1110" s="47"/>
      <c r="F1110" s="47"/>
      <c r="G1110" s="47"/>
      <c r="H1110" s="46"/>
      <c r="I1110" s="47"/>
      <c r="J1110" s="47"/>
      <c r="K1110" s="47"/>
      <c r="L1110" s="47"/>
      <c r="M1110" s="47"/>
      <c r="N1110" s="47"/>
      <c r="O1110" s="47"/>
      <c r="P1110" s="45" t="str">
        <f aca="false">IF($A1110="","",IF(COUNTIF(Accounts!$C$2:$C$201,$A1110)+COUNTIF('Service Principals'!$C$2:$C$201,$A1110)+COUNTIF('Managed Identities'!$C$2:$C$201,$A1110)&gt;0,"Yes","NOT IN INVENTORY"))</f>
        <v/>
      </c>
    </row>
    <row r="1111" customFormat="false" ht="15" hidden="false" customHeight="false" outlineLevel="0" collapsed="false">
      <c r="A1111" s="46"/>
      <c r="B1111" s="47"/>
      <c r="C1111" s="47"/>
      <c r="D1111" s="46"/>
      <c r="E1111" s="47"/>
      <c r="F1111" s="47"/>
      <c r="G1111" s="47"/>
      <c r="H1111" s="46"/>
      <c r="I1111" s="47"/>
      <c r="J1111" s="47"/>
      <c r="K1111" s="47"/>
      <c r="L1111" s="47"/>
      <c r="M1111" s="47"/>
      <c r="N1111" s="47"/>
      <c r="O1111" s="47"/>
      <c r="P1111" s="45" t="str">
        <f aca="false">IF($A1111="","",IF(COUNTIF(Accounts!$C$2:$C$201,$A1111)+COUNTIF('Service Principals'!$C$2:$C$201,$A1111)+COUNTIF('Managed Identities'!$C$2:$C$201,$A1111)&gt;0,"Yes","NOT IN INVENTORY"))</f>
        <v/>
      </c>
    </row>
    <row r="1112" customFormat="false" ht="15" hidden="false" customHeight="false" outlineLevel="0" collapsed="false">
      <c r="A1112" s="46"/>
      <c r="B1112" s="47"/>
      <c r="C1112" s="47"/>
      <c r="D1112" s="46"/>
      <c r="E1112" s="47"/>
      <c r="F1112" s="47"/>
      <c r="G1112" s="47"/>
      <c r="H1112" s="46"/>
      <c r="I1112" s="47"/>
      <c r="J1112" s="47"/>
      <c r="K1112" s="47"/>
      <c r="L1112" s="47"/>
      <c r="M1112" s="47"/>
      <c r="N1112" s="47"/>
      <c r="O1112" s="47"/>
      <c r="P1112" s="45" t="str">
        <f aca="false">IF($A1112="","",IF(COUNTIF(Accounts!$C$2:$C$201,$A1112)+COUNTIF('Service Principals'!$C$2:$C$201,$A1112)+COUNTIF('Managed Identities'!$C$2:$C$201,$A1112)&gt;0,"Yes","NOT IN INVENTORY"))</f>
        <v/>
      </c>
    </row>
    <row r="1113" customFormat="false" ht="15" hidden="false" customHeight="false" outlineLevel="0" collapsed="false">
      <c r="A1113" s="46"/>
      <c r="B1113" s="47"/>
      <c r="C1113" s="47"/>
      <c r="D1113" s="46"/>
      <c r="E1113" s="47"/>
      <c r="F1113" s="47"/>
      <c r="G1113" s="47"/>
      <c r="H1113" s="46"/>
      <c r="I1113" s="47"/>
      <c r="J1113" s="47"/>
      <c r="K1113" s="47"/>
      <c r="L1113" s="47"/>
      <c r="M1113" s="47"/>
      <c r="N1113" s="47"/>
      <c r="O1113" s="47"/>
      <c r="P1113" s="45" t="str">
        <f aca="false">IF($A1113="","",IF(COUNTIF(Accounts!$C$2:$C$201,$A1113)+COUNTIF('Service Principals'!$C$2:$C$201,$A1113)+COUNTIF('Managed Identities'!$C$2:$C$201,$A1113)&gt;0,"Yes","NOT IN INVENTORY"))</f>
        <v/>
      </c>
    </row>
    <row r="1114" customFormat="false" ht="15" hidden="false" customHeight="false" outlineLevel="0" collapsed="false">
      <c r="A1114" s="46"/>
      <c r="B1114" s="47"/>
      <c r="C1114" s="47"/>
      <c r="D1114" s="46"/>
      <c r="E1114" s="47"/>
      <c r="F1114" s="47"/>
      <c r="G1114" s="47"/>
      <c r="H1114" s="46"/>
      <c r="I1114" s="47"/>
      <c r="J1114" s="47"/>
      <c r="K1114" s="47"/>
      <c r="L1114" s="47"/>
      <c r="M1114" s="47"/>
      <c r="N1114" s="47"/>
      <c r="O1114" s="47"/>
      <c r="P1114" s="45" t="str">
        <f aca="false">IF($A1114="","",IF(COUNTIF(Accounts!$C$2:$C$201,$A1114)+COUNTIF('Service Principals'!$C$2:$C$201,$A1114)+COUNTIF('Managed Identities'!$C$2:$C$201,$A1114)&gt;0,"Yes","NOT IN INVENTORY"))</f>
        <v/>
      </c>
    </row>
    <row r="1115" customFormat="false" ht="15" hidden="false" customHeight="false" outlineLevel="0" collapsed="false">
      <c r="A1115" s="46"/>
      <c r="B1115" s="47"/>
      <c r="C1115" s="47"/>
      <c r="D1115" s="46"/>
      <c r="E1115" s="47"/>
      <c r="F1115" s="47"/>
      <c r="G1115" s="47"/>
      <c r="H1115" s="46"/>
      <c r="I1115" s="47"/>
      <c r="J1115" s="47"/>
      <c r="K1115" s="47"/>
      <c r="L1115" s="47"/>
      <c r="M1115" s="47"/>
      <c r="N1115" s="47"/>
      <c r="O1115" s="47"/>
      <c r="P1115" s="45" t="str">
        <f aca="false">IF($A1115="","",IF(COUNTIF(Accounts!$C$2:$C$201,$A1115)+COUNTIF('Service Principals'!$C$2:$C$201,$A1115)+COUNTIF('Managed Identities'!$C$2:$C$201,$A1115)&gt;0,"Yes","NOT IN INVENTORY"))</f>
        <v/>
      </c>
    </row>
    <row r="1116" customFormat="false" ht="15" hidden="false" customHeight="false" outlineLevel="0" collapsed="false">
      <c r="A1116" s="46"/>
      <c r="B1116" s="47"/>
      <c r="C1116" s="47"/>
      <c r="D1116" s="46"/>
      <c r="E1116" s="47"/>
      <c r="F1116" s="47"/>
      <c r="G1116" s="47"/>
      <c r="H1116" s="46"/>
      <c r="I1116" s="47"/>
      <c r="J1116" s="47"/>
      <c r="K1116" s="47"/>
      <c r="L1116" s="47"/>
      <c r="M1116" s="47"/>
      <c r="N1116" s="47"/>
      <c r="O1116" s="47"/>
      <c r="P1116" s="45" t="str">
        <f aca="false">IF($A1116="","",IF(COUNTIF(Accounts!$C$2:$C$201,$A1116)+COUNTIF('Service Principals'!$C$2:$C$201,$A1116)+COUNTIF('Managed Identities'!$C$2:$C$201,$A1116)&gt;0,"Yes","NOT IN INVENTORY"))</f>
        <v/>
      </c>
    </row>
    <row r="1117" customFormat="false" ht="15" hidden="false" customHeight="false" outlineLevel="0" collapsed="false">
      <c r="A1117" s="46"/>
      <c r="B1117" s="47"/>
      <c r="C1117" s="47"/>
      <c r="D1117" s="46"/>
      <c r="E1117" s="47"/>
      <c r="F1117" s="47"/>
      <c r="G1117" s="47"/>
      <c r="H1117" s="46"/>
      <c r="I1117" s="47"/>
      <c r="J1117" s="47"/>
      <c r="K1117" s="47"/>
      <c r="L1117" s="47"/>
      <c r="M1117" s="47"/>
      <c r="N1117" s="47"/>
      <c r="O1117" s="47"/>
      <c r="P1117" s="45" t="str">
        <f aca="false">IF($A1117="","",IF(COUNTIF(Accounts!$C$2:$C$201,$A1117)+COUNTIF('Service Principals'!$C$2:$C$201,$A1117)+COUNTIF('Managed Identities'!$C$2:$C$201,$A1117)&gt;0,"Yes","NOT IN INVENTORY"))</f>
        <v/>
      </c>
    </row>
    <row r="1118" customFormat="false" ht="15" hidden="false" customHeight="false" outlineLevel="0" collapsed="false">
      <c r="A1118" s="46"/>
      <c r="B1118" s="47"/>
      <c r="C1118" s="47"/>
      <c r="D1118" s="46"/>
      <c r="E1118" s="47"/>
      <c r="F1118" s="47"/>
      <c r="G1118" s="47"/>
      <c r="H1118" s="46"/>
      <c r="I1118" s="47"/>
      <c r="J1118" s="47"/>
      <c r="K1118" s="47"/>
      <c r="L1118" s="47"/>
      <c r="M1118" s="47"/>
      <c r="N1118" s="47"/>
      <c r="O1118" s="47"/>
      <c r="P1118" s="45" t="str">
        <f aca="false">IF($A1118="","",IF(COUNTIF(Accounts!$C$2:$C$201,$A1118)+COUNTIF('Service Principals'!$C$2:$C$201,$A1118)+COUNTIF('Managed Identities'!$C$2:$C$201,$A1118)&gt;0,"Yes","NOT IN INVENTORY"))</f>
        <v/>
      </c>
    </row>
    <row r="1119" customFormat="false" ht="15" hidden="false" customHeight="false" outlineLevel="0" collapsed="false">
      <c r="A1119" s="46"/>
      <c r="B1119" s="47"/>
      <c r="C1119" s="47"/>
      <c r="D1119" s="46"/>
      <c r="E1119" s="47"/>
      <c r="F1119" s="47"/>
      <c r="G1119" s="47"/>
      <c r="H1119" s="46"/>
      <c r="I1119" s="47"/>
      <c r="J1119" s="47"/>
      <c r="K1119" s="47"/>
      <c r="L1119" s="47"/>
      <c r="M1119" s="47"/>
      <c r="N1119" s="47"/>
      <c r="O1119" s="47"/>
      <c r="P1119" s="45" t="str">
        <f aca="false">IF($A1119="","",IF(COUNTIF(Accounts!$C$2:$C$201,$A1119)+COUNTIF('Service Principals'!$C$2:$C$201,$A1119)+COUNTIF('Managed Identities'!$C$2:$C$201,$A1119)&gt;0,"Yes","NOT IN INVENTORY"))</f>
        <v/>
      </c>
    </row>
    <row r="1120" customFormat="false" ht="15" hidden="false" customHeight="false" outlineLevel="0" collapsed="false">
      <c r="A1120" s="46"/>
      <c r="B1120" s="47"/>
      <c r="C1120" s="47"/>
      <c r="D1120" s="46"/>
      <c r="E1120" s="47"/>
      <c r="F1120" s="47"/>
      <c r="G1120" s="47"/>
      <c r="H1120" s="46"/>
      <c r="I1120" s="47"/>
      <c r="J1120" s="47"/>
      <c r="K1120" s="47"/>
      <c r="L1120" s="47"/>
      <c r="M1120" s="47"/>
      <c r="N1120" s="47"/>
      <c r="O1120" s="47"/>
      <c r="P1120" s="45" t="str">
        <f aca="false">IF($A1120="","",IF(COUNTIF(Accounts!$C$2:$C$201,$A1120)+COUNTIF('Service Principals'!$C$2:$C$201,$A1120)+COUNTIF('Managed Identities'!$C$2:$C$201,$A1120)&gt;0,"Yes","NOT IN INVENTORY"))</f>
        <v/>
      </c>
    </row>
    <row r="1121" customFormat="false" ht="15" hidden="false" customHeight="false" outlineLevel="0" collapsed="false">
      <c r="A1121" s="46"/>
      <c r="B1121" s="47"/>
      <c r="C1121" s="47"/>
      <c r="D1121" s="46"/>
      <c r="E1121" s="47"/>
      <c r="F1121" s="47"/>
      <c r="G1121" s="47"/>
      <c r="H1121" s="46"/>
      <c r="I1121" s="47"/>
      <c r="J1121" s="47"/>
      <c r="K1121" s="47"/>
      <c r="L1121" s="47"/>
      <c r="M1121" s="47"/>
      <c r="N1121" s="47"/>
      <c r="O1121" s="47"/>
      <c r="P1121" s="45" t="str">
        <f aca="false">IF($A1121="","",IF(COUNTIF(Accounts!$C$2:$C$201,$A1121)+COUNTIF('Service Principals'!$C$2:$C$201,$A1121)+COUNTIF('Managed Identities'!$C$2:$C$201,$A1121)&gt;0,"Yes","NOT IN INVENTORY"))</f>
        <v/>
      </c>
    </row>
    <row r="1122" customFormat="false" ht="15" hidden="false" customHeight="false" outlineLevel="0" collapsed="false">
      <c r="A1122" s="46"/>
      <c r="B1122" s="47"/>
      <c r="C1122" s="47"/>
      <c r="D1122" s="46"/>
      <c r="E1122" s="47"/>
      <c r="F1122" s="47"/>
      <c r="G1122" s="47"/>
      <c r="H1122" s="46"/>
      <c r="I1122" s="47"/>
      <c r="J1122" s="47"/>
      <c r="K1122" s="47"/>
      <c r="L1122" s="47"/>
      <c r="M1122" s="47"/>
      <c r="N1122" s="47"/>
      <c r="O1122" s="47"/>
      <c r="P1122" s="45" t="str">
        <f aca="false">IF($A1122="","",IF(COUNTIF(Accounts!$C$2:$C$201,$A1122)+COUNTIF('Service Principals'!$C$2:$C$201,$A1122)+COUNTIF('Managed Identities'!$C$2:$C$201,$A1122)&gt;0,"Yes","NOT IN INVENTORY"))</f>
        <v/>
      </c>
    </row>
    <row r="1123" customFormat="false" ht="15" hidden="false" customHeight="false" outlineLevel="0" collapsed="false">
      <c r="A1123" s="46"/>
      <c r="B1123" s="47"/>
      <c r="C1123" s="47"/>
      <c r="D1123" s="46"/>
      <c r="E1123" s="47"/>
      <c r="F1123" s="47"/>
      <c r="G1123" s="47"/>
      <c r="H1123" s="46"/>
      <c r="I1123" s="47"/>
      <c r="J1123" s="47"/>
      <c r="K1123" s="47"/>
      <c r="L1123" s="47"/>
      <c r="M1123" s="47"/>
      <c r="N1123" s="47"/>
      <c r="O1123" s="47"/>
      <c r="P1123" s="45" t="str">
        <f aca="false">IF($A1123="","",IF(COUNTIF(Accounts!$C$2:$C$201,$A1123)+COUNTIF('Service Principals'!$C$2:$C$201,$A1123)+COUNTIF('Managed Identities'!$C$2:$C$201,$A1123)&gt;0,"Yes","NOT IN INVENTORY"))</f>
        <v/>
      </c>
    </row>
    <row r="1124" customFormat="false" ht="15" hidden="false" customHeight="false" outlineLevel="0" collapsed="false">
      <c r="A1124" s="46"/>
      <c r="B1124" s="47"/>
      <c r="C1124" s="47"/>
      <c r="D1124" s="46"/>
      <c r="E1124" s="47"/>
      <c r="F1124" s="47"/>
      <c r="G1124" s="47"/>
      <c r="H1124" s="46"/>
      <c r="I1124" s="47"/>
      <c r="J1124" s="47"/>
      <c r="K1124" s="47"/>
      <c r="L1124" s="47"/>
      <c r="M1124" s="47"/>
      <c r="N1124" s="47"/>
      <c r="O1124" s="47"/>
      <c r="P1124" s="45" t="str">
        <f aca="false">IF($A1124="","",IF(COUNTIF(Accounts!$C$2:$C$201,$A1124)+COUNTIF('Service Principals'!$C$2:$C$201,$A1124)+COUNTIF('Managed Identities'!$C$2:$C$201,$A1124)&gt;0,"Yes","NOT IN INVENTORY"))</f>
        <v/>
      </c>
    </row>
    <row r="1125" customFormat="false" ht="15" hidden="false" customHeight="false" outlineLevel="0" collapsed="false">
      <c r="A1125" s="46"/>
      <c r="B1125" s="47"/>
      <c r="C1125" s="47"/>
      <c r="D1125" s="46"/>
      <c r="E1125" s="47"/>
      <c r="F1125" s="47"/>
      <c r="G1125" s="47"/>
      <c r="H1125" s="46"/>
      <c r="I1125" s="47"/>
      <c r="J1125" s="47"/>
      <c r="K1125" s="47"/>
      <c r="L1125" s="47"/>
      <c r="M1125" s="47"/>
      <c r="N1125" s="47"/>
      <c r="O1125" s="47"/>
      <c r="P1125" s="45" t="str">
        <f aca="false">IF($A1125="","",IF(COUNTIF(Accounts!$C$2:$C$201,$A1125)+COUNTIF('Service Principals'!$C$2:$C$201,$A1125)+COUNTIF('Managed Identities'!$C$2:$C$201,$A1125)&gt;0,"Yes","NOT IN INVENTORY"))</f>
        <v/>
      </c>
    </row>
    <row r="1126" customFormat="false" ht="15" hidden="false" customHeight="false" outlineLevel="0" collapsed="false">
      <c r="A1126" s="46"/>
      <c r="B1126" s="47"/>
      <c r="C1126" s="47"/>
      <c r="D1126" s="46"/>
      <c r="E1126" s="47"/>
      <c r="F1126" s="47"/>
      <c r="G1126" s="47"/>
      <c r="H1126" s="46"/>
      <c r="I1126" s="47"/>
      <c r="J1126" s="47"/>
      <c r="K1126" s="47"/>
      <c r="L1126" s="47"/>
      <c r="M1126" s="47"/>
      <c r="N1126" s="47"/>
      <c r="O1126" s="47"/>
      <c r="P1126" s="45" t="str">
        <f aca="false">IF($A1126="","",IF(COUNTIF(Accounts!$C$2:$C$201,$A1126)+COUNTIF('Service Principals'!$C$2:$C$201,$A1126)+COUNTIF('Managed Identities'!$C$2:$C$201,$A1126)&gt;0,"Yes","NOT IN INVENTORY"))</f>
        <v/>
      </c>
    </row>
    <row r="1127" customFormat="false" ht="15" hidden="false" customHeight="false" outlineLevel="0" collapsed="false">
      <c r="A1127" s="46"/>
      <c r="B1127" s="47"/>
      <c r="C1127" s="47"/>
      <c r="D1127" s="46"/>
      <c r="E1127" s="47"/>
      <c r="F1127" s="47"/>
      <c r="G1127" s="47"/>
      <c r="H1127" s="46"/>
      <c r="I1127" s="47"/>
      <c r="J1127" s="47"/>
      <c r="K1127" s="47"/>
      <c r="L1127" s="47"/>
      <c r="M1127" s="47"/>
      <c r="N1127" s="47"/>
      <c r="O1127" s="47"/>
      <c r="P1127" s="45" t="str">
        <f aca="false">IF($A1127="","",IF(COUNTIF(Accounts!$C$2:$C$201,$A1127)+COUNTIF('Service Principals'!$C$2:$C$201,$A1127)+COUNTIF('Managed Identities'!$C$2:$C$201,$A1127)&gt;0,"Yes","NOT IN INVENTORY"))</f>
        <v/>
      </c>
    </row>
    <row r="1128" customFormat="false" ht="15" hidden="false" customHeight="false" outlineLevel="0" collapsed="false">
      <c r="A1128" s="46"/>
      <c r="B1128" s="47"/>
      <c r="C1128" s="47"/>
      <c r="D1128" s="46"/>
      <c r="E1128" s="47"/>
      <c r="F1128" s="47"/>
      <c r="G1128" s="47"/>
      <c r="H1128" s="46"/>
      <c r="I1128" s="47"/>
      <c r="J1128" s="47"/>
      <c r="K1128" s="47"/>
      <c r="L1128" s="47"/>
      <c r="M1128" s="47"/>
      <c r="N1128" s="47"/>
      <c r="O1128" s="47"/>
      <c r="P1128" s="45" t="str">
        <f aca="false">IF($A1128="","",IF(COUNTIF(Accounts!$C$2:$C$201,$A1128)+COUNTIF('Service Principals'!$C$2:$C$201,$A1128)+COUNTIF('Managed Identities'!$C$2:$C$201,$A1128)&gt;0,"Yes","NOT IN INVENTORY"))</f>
        <v/>
      </c>
    </row>
    <row r="1129" customFormat="false" ht="15" hidden="false" customHeight="false" outlineLevel="0" collapsed="false">
      <c r="A1129" s="46"/>
      <c r="B1129" s="47"/>
      <c r="C1129" s="47"/>
      <c r="D1129" s="46"/>
      <c r="E1129" s="47"/>
      <c r="F1129" s="47"/>
      <c r="G1129" s="47"/>
      <c r="H1129" s="46"/>
      <c r="I1129" s="47"/>
      <c r="J1129" s="47"/>
      <c r="K1129" s="47"/>
      <c r="L1129" s="47"/>
      <c r="M1129" s="47"/>
      <c r="N1129" s="47"/>
      <c r="O1129" s="47"/>
      <c r="P1129" s="45" t="str">
        <f aca="false">IF($A1129="","",IF(COUNTIF(Accounts!$C$2:$C$201,$A1129)+COUNTIF('Service Principals'!$C$2:$C$201,$A1129)+COUNTIF('Managed Identities'!$C$2:$C$201,$A1129)&gt;0,"Yes","NOT IN INVENTORY"))</f>
        <v/>
      </c>
    </row>
    <row r="1130" customFormat="false" ht="15" hidden="false" customHeight="false" outlineLevel="0" collapsed="false">
      <c r="A1130" s="46"/>
      <c r="B1130" s="47"/>
      <c r="C1130" s="47"/>
      <c r="D1130" s="46"/>
      <c r="E1130" s="47"/>
      <c r="F1130" s="47"/>
      <c r="G1130" s="47"/>
      <c r="H1130" s="46"/>
      <c r="I1130" s="47"/>
      <c r="J1130" s="47"/>
      <c r="K1130" s="47"/>
      <c r="L1130" s="47"/>
      <c r="M1130" s="47"/>
      <c r="N1130" s="47"/>
      <c r="O1130" s="47"/>
      <c r="P1130" s="45" t="str">
        <f aca="false">IF($A1130="","",IF(COUNTIF(Accounts!$C$2:$C$201,$A1130)+COUNTIF('Service Principals'!$C$2:$C$201,$A1130)+COUNTIF('Managed Identities'!$C$2:$C$201,$A1130)&gt;0,"Yes","NOT IN INVENTORY"))</f>
        <v/>
      </c>
    </row>
    <row r="1131" customFormat="false" ht="15" hidden="false" customHeight="false" outlineLevel="0" collapsed="false">
      <c r="A1131" s="46"/>
      <c r="B1131" s="47"/>
      <c r="C1131" s="47"/>
      <c r="D1131" s="46"/>
      <c r="E1131" s="47"/>
      <c r="F1131" s="47"/>
      <c r="G1131" s="47"/>
      <c r="H1131" s="46"/>
      <c r="I1131" s="47"/>
      <c r="J1131" s="47"/>
      <c r="K1131" s="47"/>
      <c r="L1131" s="47"/>
      <c r="M1131" s="47"/>
      <c r="N1131" s="47"/>
      <c r="O1131" s="47"/>
      <c r="P1131" s="45" t="str">
        <f aca="false">IF($A1131="","",IF(COUNTIF(Accounts!$C$2:$C$201,$A1131)+COUNTIF('Service Principals'!$C$2:$C$201,$A1131)+COUNTIF('Managed Identities'!$C$2:$C$201,$A1131)&gt;0,"Yes","NOT IN INVENTORY"))</f>
        <v/>
      </c>
    </row>
    <row r="1132" customFormat="false" ht="15" hidden="false" customHeight="false" outlineLevel="0" collapsed="false">
      <c r="A1132" s="46"/>
      <c r="B1132" s="47"/>
      <c r="C1132" s="47"/>
      <c r="D1132" s="46"/>
      <c r="E1132" s="47"/>
      <c r="F1132" s="47"/>
      <c r="G1132" s="47"/>
      <c r="H1132" s="46"/>
      <c r="I1132" s="47"/>
      <c r="J1132" s="47"/>
      <c r="K1132" s="47"/>
      <c r="L1132" s="47"/>
      <c r="M1132" s="47"/>
      <c r="N1132" s="47"/>
      <c r="O1132" s="47"/>
      <c r="P1132" s="45" t="str">
        <f aca="false">IF($A1132="","",IF(COUNTIF(Accounts!$C$2:$C$201,$A1132)+COUNTIF('Service Principals'!$C$2:$C$201,$A1132)+COUNTIF('Managed Identities'!$C$2:$C$201,$A1132)&gt;0,"Yes","NOT IN INVENTORY"))</f>
        <v/>
      </c>
    </row>
    <row r="1133" customFormat="false" ht="15" hidden="false" customHeight="false" outlineLevel="0" collapsed="false">
      <c r="A1133" s="46"/>
      <c r="B1133" s="47"/>
      <c r="C1133" s="47"/>
      <c r="D1133" s="46"/>
      <c r="E1133" s="47"/>
      <c r="F1133" s="47"/>
      <c r="G1133" s="47"/>
      <c r="H1133" s="46"/>
      <c r="I1133" s="47"/>
      <c r="J1133" s="47"/>
      <c r="K1133" s="47"/>
      <c r="L1133" s="47"/>
      <c r="M1133" s="47"/>
      <c r="N1133" s="47"/>
      <c r="O1133" s="47"/>
      <c r="P1133" s="45" t="str">
        <f aca="false">IF($A1133="","",IF(COUNTIF(Accounts!$C$2:$C$201,$A1133)+COUNTIF('Service Principals'!$C$2:$C$201,$A1133)+COUNTIF('Managed Identities'!$C$2:$C$201,$A1133)&gt;0,"Yes","NOT IN INVENTORY"))</f>
        <v/>
      </c>
    </row>
    <row r="1134" customFormat="false" ht="15" hidden="false" customHeight="false" outlineLevel="0" collapsed="false">
      <c r="A1134" s="46"/>
      <c r="B1134" s="47"/>
      <c r="C1134" s="47"/>
      <c r="D1134" s="46"/>
      <c r="E1134" s="47"/>
      <c r="F1134" s="47"/>
      <c r="G1134" s="47"/>
      <c r="H1134" s="46"/>
      <c r="I1134" s="47"/>
      <c r="J1134" s="47"/>
      <c r="K1134" s="47"/>
      <c r="L1134" s="47"/>
      <c r="M1134" s="47"/>
      <c r="N1134" s="47"/>
      <c r="O1134" s="47"/>
      <c r="P1134" s="45" t="str">
        <f aca="false">IF($A1134="","",IF(COUNTIF(Accounts!$C$2:$C$201,$A1134)+COUNTIF('Service Principals'!$C$2:$C$201,$A1134)+COUNTIF('Managed Identities'!$C$2:$C$201,$A1134)&gt;0,"Yes","NOT IN INVENTORY"))</f>
        <v/>
      </c>
    </row>
    <row r="1135" customFormat="false" ht="15" hidden="false" customHeight="false" outlineLevel="0" collapsed="false">
      <c r="A1135" s="46"/>
      <c r="B1135" s="47"/>
      <c r="C1135" s="47"/>
      <c r="D1135" s="46"/>
      <c r="E1135" s="47"/>
      <c r="F1135" s="47"/>
      <c r="G1135" s="47"/>
      <c r="H1135" s="46"/>
      <c r="I1135" s="47"/>
      <c r="J1135" s="47"/>
      <c r="K1135" s="47"/>
      <c r="L1135" s="47"/>
      <c r="M1135" s="47"/>
      <c r="N1135" s="47"/>
      <c r="O1135" s="47"/>
      <c r="P1135" s="45" t="str">
        <f aca="false">IF($A1135="","",IF(COUNTIF(Accounts!$C$2:$C$201,$A1135)+COUNTIF('Service Principals'!$C$2:$C$201,$A1135)+COUNTIF('Managed Identities'!$C$2:$C$201,$A1135)&gt;0,"Yes","NOT IN INVENTORY"))</f>
        <v/>
      </c>
    </row>
    <row r="1136" customFormat="false" ht="15" hidden="false" customHeight="false" outlineLevel="0" collapsed="false">
      <c r="A1136" s="46"/>
      <c r="B1136" s="47"/>
      <c r="C1136" s="47"/>
      <c r="D1136" s="46"/>
      <c r="E1136" s="47"/>
      <c r="F1136" s="47"/>
      <c r="G1136" s="47"/>
      <c r="H1136" s="46"/>
      <c r="I1136" s="47"/>
      <c r="J1136" s="47"/>
      <c r="K1136" s="47"/>
      <c r="L1136" s="47"/>
      <c r="M1136" s="47"/>
      <c r="N1136" s="47"/>
      <c r="O1136" s="47"/>
      <c r="P1136" s="45" t="str">
        <f aca="false">IF($A1136="","",IF(COUNTIF(Accounts!$C$2:$C$201,$A1136)+COUNTIF('Service Principals'!$C$2:$C$201,$A1136)+COUNTIF('Managed Identities'!$C$2:$C$201,$A1136)&gt;0,"Yes","NOT IN INVENTORY"))</f>
        <v/>
      </c>
    </row>
    <row r="1137" customFormat="false" ht="15" hidden="false" customHeight="false" outlineLevel="0" collapsed="false">
      <c r="A1137" s="46"/>
      <c r="B1137" s="47"/>
      <c r="C1137" s="47"/>
      <c r="D1137" s="46"/>
      <c r="E1137" s="47"/>
      <c r="F1137" s="47"/>
      <c r="G1137" s="47"/>
      <c r="H1137" s="46"/>
      <c r="I1137" s="47"/>
      <c r="J1137" s="47"/>
      <c r="K1137" s="47"/>
      <c r="L1137" s="47"/>
      <c r="M1137" s="47"/>
      <c r="N1137" s="47"/>
      <c r="O1137" s="47"/>
      <c r="P1137" s="45" t="str">
        <f aca="false">IF($A1137="","",IF(COUNTIF(Accounts!$C$2:$C$201,$A1137)+COUNTIF('Service Principals'!$C$2:$C$201,$A1137)+COUNTIF('Managed Identities'!$C$2:$C$201,$A1137)&gt;0,"Yes","NOT IN INVENTORY"))</f>
        <v/>
      </c>
    </row>
    <row r="1138" customFormat="false" ht="15" hidden="false" customHeight="false" outlineLevel="0" collapsed="false">
      <c r="A1138" s="46"/>
      <c r="B1138" s="47"/>
      <c r="C1138" s="47"/>
      <c r="D1138" s="46"/>
      <c r="E1138" s="47"/>
      <c r="F1138" s="47"/>
      <c r="G1138" s="47"/>
      <c r="H1138" s="46"/>
      <c r="I1138" s="47"/>
      <c r="J1138" s="47"/>
      <c r="K1138" s="47"/>
      <c r="L1138" s="47"/>
      <c r="M1138" s="47"/>
      <c r="N1138" s="47"/>
      <c r="O1138" s="47"/>
      <c r="P1138" s="45" t="str">
        <f aca="false">IF($A1138="","",IF(COUNTIF(Accounts!$C$2:$C$201,$A1138)+COUNTIF('Service Principals'!$C$2:$C$201,$A1138)+COUNTIF('Managed Identities'!$C$2:$C$201,$A1138)&gt;0,"Yes","NOT IN INVENTORY"))</f>
        <v/>
      </c>
    </row>
    <row r="1139" customFormat="false" ht="15" hidden="false" customHeight="false" outlineLevel="0" collapsed="false">
      <c r="A1139" s="46"/>
      <c r="B1139" s="47"/>
      <c r="C1139" s="47"/>
      <c r="D1139" s="46"/>
      <c r="E1139" s="47"/>
      <c r="F1139" s="47"/>
      <c r="G1139" s="47"/>
      <c r="H1139" s="46"/>
      <c r="I1139" s="47"/>
      <c r="J1139" s="47"/>
      <c r="K1139" s="47"/>
      <c r="L1139" s="47"/>
      <c r="M1139" s="47"/>
      <c r="N1139" s="47"/>
      <c r="O1139" s="47"/>
      <c r="P1139" s="45" t="str">
        <f aca="false">IF($A1139="","",IF(COUNTIF(Accounts!$C$2:$C$201,$A1139)+COUNTIF('Service Principals'!$C$2:$C$201,$A1139)+COUNTIF('Managed Identities'!$C$2:$C$201,$A1139)&gt;0,"Yes","NOT IN INVENTORY"))</f>
        <v/>
      </c>
    </row>
    <row r="1140" customFormat="false" ht="15" hidden="false" customHeight="false" outlineLevel="0" collapsed="false">
      <c r="A1140" s="46"/>
      <c r="B1140" s="47"/>
      <c r="C1140" s="47"/>
      <c r="D1140" s="46"/>
      <c r="E1140" s="47"/>
      <c r="F1140" s="47"/>
      <c r="G1140" s="47"/>
      <c r="H1140" s="46"/>
      <c r="I1140" s="47"/>
      <c r="J1140" s="47"/>
      <c r="K1140" s="47"/>
      <c r="L1140" s="47"/>
      <c r="M1140" s="47"/>
      <c r="N1140" s="47"/>
      <c r="O1140" s="47"/>
      <c r="P1140" s="45" t="str">
        <f aca="false">IF($A1140="","",IF(COUNTIF(Accounts!$C$2:$C$201,$A1140)+COUNTIF('Service Principals'!$C$2:$C$201,$A1140)+COUNTIF('Managed Identities'!$C$2:$C$201,$A1140)&gt;0,"Yes","NOT IN INVENTORY"))</f>
        <v/>
      </c>
    </row>
    <row r="1141" customFormat="false" ht="15" hidden="false" customHeight="false" outlineLevel="0" collapsed="false">
      <c r="A1141" s="46"/>
      <c r="B1141" s="47"/>
      <c r="C1141" s="47"/>
      <c r="D1141" s="46"/>
      <c r="E1141" s="47"/>
      <c r="F1141" s="47"/>
      <c r="G1141" s="47"/>
      <c r="H1141" s="46"/>
      <c r="I1141" s="47"/>
      <c r="J1141" s="47"/>
      <c r="K1141" s="47"/>
      <c r="L1141" s="47"/>
      <c r="M1141" s="47"/>
      <c r="N1141" s="47"/>
      <c r="O1141" s="47"/>
      <c r="P1141" s="45" t="str">
        <f aca="false">IF($A1141="","",IF(COUNTIF(Accounts!$C$2:$C$201,$A1141)+COUNTIF('Service Principals'!$C$2:$C$201,$A1141)+COUNTIF('Managed Identities'!$C$2:$C$201,$A1141)&gt;0,"Yes","NOT IN INVENTORY"))</f>
        <v/>
      </c>
    </row>
    <row r="1142" customFormat="false" ht="15" hidden="false" customHeight="false" outlineLevel="0" collapsed="false">
      <c r="A1142" s="46"/>
      <c r="B1142" s="47"/>
      <c r="C1142" s="47"/>
      <c r="D1142" s="46"/>
      <c r="E1142" s="47"/>
      <c r="F1142" s="47"/>
      <c r="G1142" s="47"/>
      <c r="H1142" s="46"/>
      <c r="I1142" s="47"/>
      <c r="J1142" s="47"/>
      <c r="K1142" s="47"/>
      <c r="L1142" s="47"/>
      <c r="M1142" s="47"/>
      <c r="N1142" s="47"/>
      <c r="O1142" s="47"/>
      <c r="P1142" s="45" t="str">
        <f aca="false">IF($A1142="","",IF(COUNTIF(Accounts!$C$2:$C$201,$A1142)+COUNTIF('Service Principals'!$C$2:$C$201,$A1142)+COUNTIF('Managed Identities'!$C$2:$C$201,$A1142)&gt;0,"Yes","NOT IN INVENTORY"))</f>
        <v/>
      </c>
    </row>
    <row r="1143" customFormat="false" ht="15" hidden="false" customHeight="false" outlineLevel="0" collapsed="false">
      <c r="A1143" s="46"/>
      <c r="B1143" s="47"/>
      <c r="C1143" s="47"/>
      <c r="D1143" s="46"/>
      <c r="E1143" s="47"/>
      <c r="F1143" s="47"/>
      <c r="G1143" s="47"/>
      <c r="H1143" s="46"/>
      <c r="I1143" s="47"/>
      <c r="J1143" s="47"/>
      <c r="K1143" s="47"/>
      <c r="L1143" s="47"/>
      <c r="M1143" s="47"/>
      <c r="N1143" s="47"/>
      <c r="O1143" s="47"/>
      <c r="P1143" s="45" t="str">
        <f aca="false">IF($A1143="","",IF(COUNTIF(Accounts!$C$2:$C$201,$A1143)+COUNTIF('Service Principals'!$C$2:$C$201,$A1143)+COUNTIF('Managed Identities'!$C$2:$C$201,$A1143)&gt;0,"Yes","NOT IN INVENTORY"))</f>
        <v/>
      </c>
    </row>
    <row r="1144" customFormat="false" ht="15" hidden="false" customHeight="false" outlineLevel="0" collapsed="false">
      <c r="A1144" s="46"/>
      <c r="B1144" s="47"/>
      <c r="C1144" s="47"/>
      <c r="D1144" s="46"/>
      <c r="E1144" s="47"/>
      <c r="F1144" s="47"/>
      <c r="G1144" s="47"/>
      <c r="H1144" s="46"/>
      <c r="I1144" s="47"/>
      <c r="J1144" s="47"/>
      <c r="K1144" s="47"/>
      <c r="L1144" s="47"/>
      <c r="M1144" s="47"/>
      <c r="N1144" s="47"/>
      <c r="O1144" s="47"/>
      <c r="P1144" s="45" t="str">
        <f aca="false">IF($A1144="","",IF(COUNTIF(Accounts!$C$2:$C$201,$A1144)+COUNTIF('Service Principals'!$C$2:$C$201,$A1144)+COUNTIF('Managed Identities'!$C$2:$C$201,$A1144)&gt;0,"Yes","NOT IN INVENTORY"))</f>
        <v/>
      </c>
    </row>
    <row r="1145" customFormat="false" ht="15" hidden="false" customHeight="false" outlineLevel="0" collapsed="false">
      <c r="A1145" s="46"/>
      <c r="B1145" s="47"/>
      <c r="C1145" s="47"/>
      <c r="D1145" s="46"/>
      <c r="E1145" s="47"/>
      <c r="F1145" s="47"/>
      <c r="G1145" s="47"/>
      <c r="H1145" s="46"/>
      <c r="I1145" s="47"/>
      <c r="J1145" s="47"/>
      <c r="K1145" s="47"/>
      <c r="L1145" s="47"/>
      <c r="M1145" s="47"/>
      <c r="N1145" s="47"/>
      <c r="O1145" s="47"/>
      <c r="P1145" s="45" t="str">
        <f aca="false">IF($A1145="","",IF(COUNTIF(Accounts!$C$2:$C$201,$A1145)+COUNTIF('Service Principals'!$C$2:$C$201,$A1145)+COUNTIF('Managed Identities'!$C$2:$C$201,$A1145)&gt;0,"Yes","NOT IN INVENTORY"))</f>
        <v/>
      </c>
    </row>
    <row r="1146" customFormat="false" ht="15" hidden="false" customHeight="false" outlineLevel="0" collapsed="false">
      <c r="A1146" s="46"/>
      <c r="B1146" s="47"/>
      <c r="C1146" s="47"/>
      <c r="D1146" s="46"/>
      <c r="E1146" s="47"/>
      <c r="F1146" s="47"/>
      <c r="G1146" s="47"/>
      <c r="H1146" s="46"/>
      <c r="I1146" s="47"/>
      <c r="J1146" s="47"/>
      <c r="K1146" s="47"/>
      <c r="L1146" s="47"/>
      <c r="M1146" s="47"/>
      <c r="N1146" s="47"/>
      <c r="O1146" s="47"/>
      <c r="P1146" s="45" t="str">
        <f aca="false">IF($A1146="","",IF(COUNTIF(Accounts!$C$2:$C$201,$A1146)+COUNTIF('Service Principals'!$C$2:$C$201,$A1146)+COUNTIF('Managed Identities'!$C$2:$C$201,$A1146)&gt;0,"Yes","NOT IN INVENTORY"))</f>
        <v/>
      </c>
    </row>
    <row r="1147" customFormat="false" ht="15" hidden="false" customHeight="false" outlineLevel="0" collapsed="false">
      <c r="A1147" s="46"/>
      <c r="B1147" s="47"/>
      <c r="C1147" s="47"/>
      <c r="D1147" s="46"/>
      <c r="E1147" s="47"/>
      <c r="F1147" s="47"/>
      <c r="G1147" s="47"/>
      <c r="H1147" s="46"/>
      <c r="I1147" s="47"/>
      <c r="J1147" s="47"/>
      <c r="K1147" s="47"/>
      <c r="L1147" s="47"/>
      <c r="M1147" s="47"/>
      <c r="N1147" s="47"/>
      <c r="O1147" s="47"/>
      <c r="P1147" s="45" t="str">
        <f aca="false">IF($A1147="","",IF(COUNTIF(Accounts!$C$2:$C$201,$A1147)+COUNTIF('Service Principals'!$C$2:$C$201,$A1147)+COUNTIF('Managed Identities'!$C$2:$C$201,$A1147)&gt;0,"Yes","NOT IN INVENTORY"))</f>
        <v/>
      </c>
    </row>
    <row r="1148" customFormat="false" ht="15" hidden="false" customHeight="false" outlineLevel="0" collapsed="false">
      <c r="A1148" s="46"/>
      <c r="B1148" s="47"/>
      <c r="C1148" s="47"/>
      <c r="D1148" s="46"/>
      <c r="E1148" s="47"/>
      <c r="F1148" s="47"/>
      <c r="G1148" s="47"/>
      <c r="H1148" s="46"/>
      <c r="I1148" s="47"/>
      <c r="J1148" s="47"/>
      <c r="K1148" s="47"/>
      <c r="L1148" s="47"/>
      <c r="M1148" s="47"/>
      <c r="N1148" s="47"/>
      <c r="O1148" s="47"/>
      <c r="P1148" s="45" t="str">
        <f aca="false">IF($A1148="","",IF(COUNTIF(Accounts!$C$2:$C$201,$A1148)+COUNTIF('Service Principals'!$C$2:$C$201,$A1148)+COUNTIF('Managed Identities'!$C$2:$C$201,$A1148)&gt;0,"Yes","NOT IN INVENTORY"))</f>
        <v/>
      </c>
    </row>
    <row r="1149" customFormat="false" ht="15" hidden="false" customHeight="false" outlineLevel="0" collapsed="false">
      <c r="A1149" s="46"/>
      <c r="B1149" s="47"/>
      <c r="C1149" s="47"/>
      <c r="D1149" s="46"/>
      <c r="E1149" s="47"/>
      <c r="F1149" s="47"/>
      <c r="G1149" s="47"/>
      <c r="H1149" s="46"/>
      <c r="I1149" s="47"/>
      <c r="J1149" s="47"/>
      <c r="K1149" s="47"/>
      <c r="L1149" s="47"/>
      <c r="M1149" s="47"/>
      <c r="N1149" s="47"/>
      <c r="O1149" s="47"/>
      <c r="P1149" s="45" t="str">
        <f aca="false">IF($A1149="","",IF(COUNTIF(Accounts!$C$2:$C$201,$A1149)+COUNTIF('Service Principals'!$C$2:$C$201,$A1149)+COUNTIF('Managed Identities'!$C$2:$C$201,$A1149)&gt;0,"Yes","NOT IN INVENTORY"))</f>
        <v/>
      </c>
    </row>
    <row r="1150" customFormat="false" ht="15" hidden="false" customHeight="false" outlineLevel="0" collapsed="false">
      <c r="A1150" s="46"/>
      <c r="B1150" s="47"/>
      <c r="C1150" s="47"/>
      <c r="D1150" s="46"/>
      <c r="E1150" s="47"/>
      <c r="F1150" s="47"/>
      <c r="G1150" s="47"/>
      <c r="H1150" s="46"/>
      <c r="I1150" s="47"/>
      <c r="J1150" s="47"/>
      <c r="K1150" s="47"/>
      <c r="L1150" s="47"/>
      <c r="M1150" s="47"/>
      <c r="N1150" s="47"/>
      <c r="O1150" s="47"/>
      <c r="P1150" s="45" t="str">
        <f aca="false">IF($A1150="","",IF(COUNTIF(Accounts!$C$2:$C$201,$A1150)+COUNTIF('Service Principals'!$C$2:$C$201,$A1150)+COUNTIF('Managed Identities'!$C$2:$C$201,$A1150)&gt;0,"Yes","NOT IN INVENTORY"))</f>
        <v/>
      </c>
    </row>
    <row r="1151" customFormat="false" ht="15" hidden="false" customHeight="false" outlineLevel="0" collapsed="false">
      <c r="A1151" s="46"/>
      <c r="B1151" s="47"/>
      <c r="C1151" s="47"/>
      <c r="D1151" s="46"/>
      <c r="E1151" s="47"/>
      <c r="F1151" s="47"/>
      <c r="G1151" s="47"/>
      <c r="H1151" s="46"/>
      <c r="I1151" s="47"/>
      <c r="J1151" s="47"/>
      <c r="K1151" s="47"/>
      <c r="L1151" s="47"/>
      <c r="M1151" s="47"/>
      <c r="N1151" s="47"/>
      <c r="O1151" s="47"/>
      <c r="P1151" s="45" t="str">
        <f aca="false">IF($A1151="","",IF(COUNTIF(Accounts!$C$2:$C$201,$A1151)+COUNTIF('Service Principals'!$C$2:$C$201,$A1151)+COUNTIF('Managed Identities'!$C$2:$C$201,$A1151)&gt;0,"Yes","NOT IN INVENTORY"))</f>
        <v/>
      </c>
    </row>
    <row r="1152" customFormat="false" ht="15" hidden="false" customHeight="false" outlineLevel="0" collapsed="false">
      <c r="A1152" s="46"/>
      <c r="B1152" s="47"/>
      <c r="C1152" s="47"/>
      <c r="D1152" s="46"/>
      <c r="E1152" s="47"/>
      <c r="F1152" s="47"/>
      <c r="G1152" s="47"/>
      <c r="H1152" s="46"/>
      <c r="I1152" s="47"/>
      <c r="J1152" s="47"/>
      <c r="K1152" s="47"/>
      <c r="L1152" s="47"/>
      <c r="M1152" s="47"/>
      <c r="N1152" s="47"/>
      <c r="O1152" s="47"/>
      <c r="P1152" s="45" t="str">
        <f aca="false">IF($A1152="","",IF(COUNTIF(Accounts!$C$2:$C$201,$A1152)+COUNTIF('Service Principals'!$C$2:$C$201,$A1152)+COUNTIF('Managed Identities'!$C$2:$C$201,$A1152)&gt;0,"Yes","NOT IN INVENTORY"))</f>
        <v/>
      </c>
    </row>
    <row r="1153" customFormat="false" ht="15" hidden="false" customHeight="false" outlineLevel="0" collapsed="false">
      <c r="A1153" s="46"/>
      <c r="B1153" s="47"/>
      <c r="C1153" s="47"/>
      <c r="D1153" s="46"/>
      <c r="E1153" s="47"/>
      <c r="F1153" s="47"/>
      <c r="G1153" s="47"/>
      <c r="H1153" s="46"/>
      <c r="I1153" s="47"/>
      <c r="J1153" s="47"/>
      <c r="K1153" s="47"/>
      <c r="L1153" s="47"/>
      <c r="M1153" s="47"/>
      <c r="N1153" s="47"/>
      <c r="O1153" s="47"/>
      <c r="P1153" s="45" t="str">
        <f aca="false">IF($A1153="","",IF(COUNTIF(Accounts!$C$2:$C$201,$A1153)+COUNTIF('Service Principals'!$C$2:$C$201,$A1153)+COUNTIF('Managed Identities'!$C$2:$C$201,$A1153)&gt;0,"Yes","NOT IN INVENTORY"))</f>
        <v/>
      </c>
    </row>
    <row r="1154" customFormat="false" ht="15" hidden="false" customHeight="false" outlineLevel="0" collapsed="false">
      <c r="A1154" s="46"/>
      <c r="B1154" s="47"/>
      <c r="C1154" s="47"/>
      <c r="D1154" s="46"/>
      <c r="E1154" s="47"/>
      <c r="F1154" s="47"/>
      <c r="G1154" s="47"/>
      <c r="H1154" s="46"/>
      <c r="I1154" s="47"/>
      <c r="J1154" s="47"/>
      <c r="K1154" s="47"/>
      <c r="L1154" s="47"/>
      <c r="M1154" s="47"/>
      <c r="N1154" s="47"/>
      <c r="O1154" s="47"/>
      <c r="P1154" s="45" t="str">
        <f aca="false">IF($A1154="","",IF(COUNTIF(Accounts!$C$2:$C$201,$A1154)+COUNTIF('Service Principals'!$C$2:$C$201,$A1154)+COUNTIF('Managed Identities'!$C$2:$C$201,$A1154)&gt;0,"Yes","NOT IN INVENTORY"))</f>
        <v/>
      </c>
    </row>
    <row r="1155" customFormat="false" ht="15" hidden="false" customHeight="false" outlineLevel="0" collapsed="false">
      <c r="A1155" s="46"/>
      <c r="B1155" s="47"/>
      <c r="C1155" s="47"/>
      <c r="D1155" s="46"/>
      <c r="E1155" s="47"/>
      <c r="F1155" s="47"/>
      <c r="G1155" s="47"/>
      <c r="H1155" s="46"/>
      <c r="I1155" s="47"/>
      <c r="J1155" s="47"/>
      <c r="K1155" s="47"/>
      <c r="L1155" s="47"/>
      <c r="M1155" s="47"/>
      <c r="N1155" s="47"/>
      <c r="O1155" s="47"/>
      <c r="P1155" s="45" t="str">
        <f aca="false">IF($A1155="","",IF(COUNTIF(Accounts!$C$2:$C$201,$A1155)+COUNTIF('Service Principals'!$C$2:$C$201,$A1155)+COUNTIF('Managed Identities'!$C$2:$C$201,$A1155)&gt;0,"Yes","NOT IN INVENTORY"))</f>
        <v/>
      </c>
    </row>
    <row r="1156" customFormat="false" ht="15" hidden="false" customHeight="false" outlineLevel="0" collapsed="false">
      <c r="A1156" s="46"/>
      <c r="B1156" s="47"/>
      <c r="C1156" s="47"/>
      <c r="D1156" s="46"/>
      <c r="E1156" s="47"/>
      <c r="F1156" s="47"/>
      <c r="G1156" s="47"/>
      <c r="H1156" s="46"/>
      <c r="I1156" s="47"/>
      <c r="J1156" s="47"/>
      <c r="K1156" s="47"/>
      <c r="L1156" s="47"/>
      <c r="M1156" s="47"/>
      <c r="N1156" s="47"/>
      <c r="O1156" s="47"/>
      <c r="P1156" s="45" t="str">
        <f aca="false">IF($A1156="","",IF(COUNTIF(Accounts!$C$2:$C$201,$A1156)+COUNTIF('Service Principals'!$C$2:$C$201,$A1156)+COUNTIF('Managed Identities'!$C$2:$C$201,$A1156)&gt;0,"Yes","NOT IN INVENTORY"))</f>
        <v/>
      </c>
    </row>
    <row r="1157" customFormat="false" ht="15" hidden="false" customHeight="false" outlineLevel="0" collapsed="false">
      <c r="A1157" s="46"/>
      <c r="B1157" s="47"/>
      <c r="C1157" s="47"/>
      <c r="D1157" s="46"/>
      <c r="E1157" s="47"/>
      <c r="F1157" s="47"/>
      <c r="G1157" s="47"/>
      <c r="H1157" s="46"/>
      <c r="I1157" s="47"/>
      <c r="J1157" s="47"/>
      <c r="K1157" s="47"/>
      <c r="L1157" s="47"/>
      <c r="M1157" s="47"/>
      <c r="N1157" s="47"/>
      <c r="O1157" s="47"/>
      <c r="P1157" s="45" t="str">
        <f aca="false">IF($A1157="","",IF(COUNTIF(Accounts!$C$2:$C$201,$A1157)+COUNTIF('Service Principals'!$C$2:$C$201,$A1157)+COUNTIF('Managed Identities'!$C$2:$C$201,$A1157)&gt;0,"Yes","NOT IN INVENTORY"))</f>
        <v/>
      </c>
    </row>
    <row r="1158" customFormat="false" ht="15" hidden="false" customHeight="false" outlineLevel="0" collapsed="false">
      <c r="A1158" s="46"/>
      <c r="B1158" s="47"/>
      <c r="C1158" s="47"/>
      <c r="D1158" s="46"/>
      <c r="E1158" s="47"/>
      <c r="F1158" s="47"/>
      <c r="G1158" s="47"/>
      <c r="H1158" s="46"/>
      <c r="I1158" s="47"/>
      <c r="J1158" s="47"/>
      <c r="K1158" s="47"/>
      <c r="L1158" s="47"/>
      <c r="M1158" s="47"/>
      <c r="N1158" s="47"/>
      <c r="O1158" s="47"/>
      <c r="P1158" s="45" t="str">
        <f aca="false">IF($A1158="","",IF(COUNTIF(Accounts!$C$2:$C$201,$A1158)+COUNTIF('Service Principals'!$C$2:$C$201,$A1158)+COUNTIF('Managed Identities'!$C$2:$C$201,$A1158)&gt;0,"Yes","NOT IN INVENTORY"))</f>
        <v/>
      </c>
    </row>
    <row r="1159" customFormat="false" ht="15" hidden="false" customHeight="false" outlineLevel="0" collapsed="false">
      <c r="A1159" s="46"/>
      <c r="B1159" s="47"/>
      <c r="C1159" s="47"/>
      <c r="D1159" s="46"/>
      <c r="E1159" s="47"/>
      <c r="F1159" s="47"/>
      <c r="G1159" s="47"/>
      <c r="H1159" s="46"/>
      <c r="I1159" s="47"/>
      <c r="J1159" s="47"/>
      <c r="K1159" s="47"/>
      <c r="L1159" s="47"/>
      <c r="M1159" s="47"/>
      <c r="N1159" s="47"/>
      <c r="O1159" s="47"/>
      <c r="P1159" s="45" t="str">
        <f aca="false">IF($A1159="","",IF(COUNTIF(Accounts!$C$2:$C$201,$A1159)+COUNTIF('Service Principals'!$C$2:$C$201,$A1159)+COUNTIF('Managed Identities'!$C$2:$C$201,$A1159)&gt;0,"Yes","NOT IN INVENTORY"))</f>
        <v/>
      </c>
    </row>
    <row r="1160" customFormat="false" ht="15" hidden="false" customHeight="false" outlineLevel="0" collapsed="false">
      <c r="A1160" s="46"/>
      <c r="B1160" s="47"/>
      <c r="C1160" s="47"/>
      <c r="D1160" s="46"/>
      <c r="E1160" s="47"/>
      <c r="F1160" s="47"/>
      <c r="G1160" s="47"/>
      <c r="H1160" s="46"/>
      <c r="I1160" s="47"/>
      <c r="J1160" s="47"/>
      <c r="K1160" s="47"/>
      <c r="L1160" s="47"/>
      <c r="M1160" s="47"/>
      <c r="N1160" s="47"/>
      <c r="O1160" s="47"/>
      <c r="P1160" s="45" t="str">
        <f aca="false">IF($A1160="","",IF(COUNTIF(Accounts!$C$2:$C$201,$A1160)+COUNTIF('Service Principals'!$C$2:$C$201,$A1160)+COUNTIF('Managed Identities'!$C$2:$C$201,$A1160)&gt;0,"Yes","NOT IN INVENTORY"))</f>
        <v/>
      </c>
    </row>
    <row r="1161" customFormat="false" ht="15" hidden="false" customHeight="false" outlineLevel="0" collapsed="false">
      <c r="A1161" s="46"/>
      <c r="B1161" s="47"/>
      <c r="C1161" s="47"/>
      <c r="D1161" s="46"/>
      <c r="E1161" s="47"/>
      <c r="F1161" s="47"/>
      <c r="G1161" s="47"/>
      <c r="H1161" s="46"/>
      <c r="I1161" s="47"/>
      <c r="J1161" s="47"/>
      <c r="K1161" s="47"/>
      <c r="L1161" s="47"/>
      <c r="M1161" s="47"/>
      <c r="N1161" s="47"/>
      <c r="O1161" s="47"/>
      <c r="P1161" s="45" t="str">
        <f aca="false">IF($A1161="","",IF(COUNTIF(Accounts!$C$2:$C$201,$A1161)+COUNTIF('Service Principals'!$C$2:$C$201,$A1161)+COUNTIF('Managed Identities'!$C$2:$C$201,$A1161)&gt;0,"Yes","NOT IN INVENTORY"))</f>
        <v/>
      </c>
    </row>
    <row r="1162" customFormat="false" ht="15" hidden="false" customHeight="false" outlineLevel="0" collapsed="false">
      <c r="A1162" s="46"/>
      <c r="B1162" s="47"/>
      <c r="C1162" s="47"/>
      <c r="D1162" s="46"/>
      <c r="E1162" s="47"/>
      <c r="F1162" s="47"/>
      <c r="G1162" s="47"/>
      <c r="H1162" s="46"/>
      <c r="I1162" s="47"/>
      <c r="J1162" s="47"/>
      <c r="K1162" s="47"/>
      <c r="L1162" s="47"/>
      <c r="M1162" s="47"/>
      <c r="N1162" s="47"/>
      <c r="O1162" s="47"/>
      <c r="P1162" s="45" t="str">
        <f aca="false">IF($A1162="","",IF(COUNTIF(Accounts!$C$2:$C$201,$A1162)+COUNTIF('Service Principals'!$C$2:$C$201,$A1162)+COUNTIF('Managed Identities'!$C$2:$C$201,$A1162)&gt;0,"Yes","NOT IN INVENTORY"))</f>
        <v/>
      </c>
    </row>
    <row r="1163" customFormat="false" ht="15" hidden="false" customHeight="false" outlineLevel="0" collapsed="false">
      <c r="A1163" s="46"/>
      <c r="B1163" s="47"/>
      <c r="C1163" s="47"/>
      <c r="D1163" s="46"/>
      <c r="E1163" s="47"/>
      <c r="F1163" s="47"/>
      <c r="G1163" s="47"/>
      <c r="H1163" s="46"/>
      <c r="I1163" s="47"/>
      <c r="J1163" s="47"/>
      <c r="K1163" s="47"/>
      <c r="L1163" s="47"/>
      <c r="M1163" s="47"/>
      <c r="N1163" s="47"/>
      <c r="O1163" s="47"/>
      <c r="P1163" s="45" t="str">
        <f aca="false">IF($A1163="","",IF(COUNTIF(Accounts!$C$2:$C$201,$A1163)+COUNTIF('Service Principals'!$C$2:$C$201,$A1163)+COUNTIF('Managed Identities'!$C$2:$C$201,$A1163)&gt;0,"Yes","NOT IN INVENTORY"))</f>
        <v/>
      </c>
    </row>
    <row r="1164" customFormat="false" ht="15" hidden="false" customHeight="false" outlineLevel="0" collapsed="false">
      <c r="A1164" s="46"/>
      <c r="B1164" s="47"/>
      <c r="C1164" s="47"/>
      <c r="D1164" s="46"/>
      <c r="E1164" s="47"/>
      <c r="F1164" s="47"/>
      <c r="G1164" s="47"/>
      <c r="H1164" s="46"/>
      <c r="I1164" s="47"/>
      <c r="J1164" s="47"/>
      <c r="K1164" s="47"/>
      <c r="L1164" s="47"/>
      <c r="M1164" s="47"/>
      <c r="N1164" s="47"/>
      <c r="O1164" s="47"/>
      <c r="P1164" s="45" t="str">
        <f aca="false">IF($A1164="","",IF(COUNTIF(Accounts!$C$2:$C$201,$A1164)+COUNTIF('Service Principals'!$C$2:$C$201,$A1164)+COUNTIF('Managed Identities'!$C$2:$C$201,$A1164)&gt;0,"Yes","NOT IN INVENTORY"))</f>
        <v/>
      </c>
    </row>
    <row r="1165" customFormat="false" ht="15" hidden="false" customHeight="false" outlineLevel="0" collapsed="false">
      <c r="A1165" s="46"/>
      <c r="B1165" s="47"/>
      <c r="C1165" s="47"/>
      <c r="D1165" s="46"/>
      <c r="E1165" s="47"/>
      <c r="F1165" s="47"/>
      <c r="G1165" s="47"/>
      <c r="H1165" s="46"/>
      <c r="I1165" s="47"/>
      <c r="J1165" s="47"/>
      <c r="K1165" s="47"/>
      <c r="L1165" s="47"/>
      <c r="M1165" s="47"/>
      <c r="N1165" s="47"/>
      <c r="O1165" s="47"/>
      <c r="P1165" s="45" t="str">
        <f aca="false">IF($A1165="","",IF(COUNTIF(Accounts!$C$2:$C$201,$A1165)+COUNTIF('Service Principals'!$C$2:$C$201,$A1165)+COUNTIF('Managed Identities'!$C$2:$C$201,$A1165)&gt;0,"Yes","NOT IN INVENTORY"))</f>
        <v/>
      </c>
    </row>
    <row r="1166" customFormat="false" ht="15" hidden="false" customHeight="false" outlineLevel="0" collapsed="false">
      <c r="A1166" s="46"/>
      <c r="B1166" s="47"/>
      <c r="C1166" s="47"/>
      <c r="D1166" s="46"/>
      <c r="E1166" s="47"/>
      <c r="F1166" s="47"/>
      <c r="G1166" s="47"/>
      <c r="H1166" s="46"/>
      <c r="I1166" s="47"/>
      <c r="J1166" s="47"/>
      <c r="K1166" s="47"/>
      <c r="L1166" s="47"/>
      <c r="M1166" s="47"/>
      <c r="N1166" s="47"/>
      <c r="O1166" s="47"/>
      <c r="P1166" s="45" t="str">
        <f aca="false">IF($A1166="","",IF(COUNTIF(Accounts!$C$2:$C$201,$A1166)+COUNTIF('Service Principals'!$C$2:$C$201,$A1166)+COUNTIF('Managed Identities'!$C$2:$C$201,$A1166)&gt;0,"Yes","NOT IN INVENTORY"))</f>
        <v/>
      </c>
    </row>
    <row r="1167" customFormat="false" ht="15" hidden="false" customHeight="false" outlineLevel="0" collapsed="false">
      <c r="A1167" s="46"/>
      <c r="B1167" s="47"/>
      <c r="C1167" s="47"/>
      <c r="D1167" s="46"/>
      <c r="E1167" s="47"/>
      <c r="F1167" s="47"/>
      <c r="G1167" s="47"/>
      <c r="H1167" s="46"/>
      <c r="I1167" s="47"/>
      <c r="J1167" s="47"/>
      <c r="K1167" s="47"/>
      <c r="L1167" s="47"/>
      <c r="M1167" s="47"/>
      <c r="N1167" s="47"/>
      <c r="O1167" s="47"/>
      <c r="P1167" s="45" t="str">
        <f aca="false">IF($A1167="","",IF(COUNTIF(Accounts!$C$2:$C$201,$A1167)+COUNTIF('Service Principals'!$C$2:$C$201,$A1167)+COUNTIF('Managed Identities'!$C$2:$C$201,$A1167)&gt;0,"Yes","NOT IN INVENTORY"))</f>
        <v/>
      </c>
    </row>
    <row r="1168" customFormat="false" ht="15" hidden="false" customHeight="false" outlineLevel="0" collapsed="false">
      <c r="A1168" s="46"/>
      <c r="B1168" s="47"/>
      <c r="C1168" s="47"/>
      <c r="D1168" s="46"/>
      <c r="E1168" s="47"/>
      <c r="F1168" s="47"/>
      <c r="G1168" s="47"/>
      <c r="H1168" s="46"/>
      <c r="I1168" s="47"/>
      <c r="J1168" s="47"/>
      <c r="K1168" s="47"/>
      <c r="L1168" s="47"/>
      <c r="M1168" s="47"/>
      <c r="N1168" s="47"/>
      <c r="O1168" s="47"/>
      <c r="P1168" s="45" t="str">
        <f aca="false">IF($A1168="","",IF(COUNTIF(Accounts!$C$2:$C$201,$A1168)+COUNTIF('Service Principals'!$C$2:$C$201,$A1168)+COUNTIF('Managed Identities'!$C$2:$C$201,$A1168)&gt;0,"Yes","NOT IN INVENTORY"))</f>
        <v/>
      </c>
    </row>
    <row r="1169" customFormat="false" ht="15" hidden="false" customHeight="false" outlineLevel="0" collapsed="false">
      <c r="A1169" s="46"/>
      <c r="B1169" s="47"/>
      <c r="C1169" s="47"/>
      <c r="D1169" s="46"/>
      <c r="E1169" s="47"/>
      <c r="F1169" s="47"/>
      <c r="G1169" s="47"/>
      <c r="H1169" s="46"/>
      <c r="I1169" s="47"/>
      <c r="J1169" s="47"/>
      <c r="K1169" s="47"/>
      <c r="L1169" s="47"/>
      <c r="M1169" s="47"/>
      <c r="N1169" s="47"/>
      <c r="O1169" s="47"/>
      <c r="P1169" s="45" t="str">
        <f aca="false">IF($A1169="","",IF(COUNTIF(Accounts!$C$2:$C$201,$A1169)+COUNTIF('Service Principals'!$C$2:$C$201,$A1169)+COUNTIF('Managed Identities'!$C$2:$C$201,$A1169)&gt;0,"Yes","NOT IN INVENTORY"))</f>
        <v/>
      </c>
    </row>
    <row r="1170" customFormat="false" ht="15" hidden="false" customHeight="false" outlineLevel="0" collapsed="false">
      <c r="A1170" s="46"/>
      <c r="B1170" s="47"/>
      <c r="C1170" s="47"/>
      <c r="D1170" s="46"/>
      <c r="E1170" s="47"/>
      <c r="F1170" s="47"/>
      <c r="G1170" s="47"/>
      <c r="H1170" s="46"/>
      <c r="I1170" s="47"/>
      <c r="J1170" s="47"/>
      <c r="K1170" s="47"/>
      <c r="L1170" s="47"/>
      <c r="M1170" s="47"/>
      <c r="N1170" s="47"/>
      <c r="O1170" s="47"/>
      <c r="P1170" s="45" t="str">
        <f aca="false">IF($A1170="","",IF(COUNTIF(Accounts!$C$2:$C$201,$A1170)+COUNTIF('Service Principals'!$C$2:$C$201,$A1170)+COUNTIF('Managed Identities'!$C$2:$C$201,$A1170)&gt;0,"Yes","NOT IN INVENTORY"))</f>
        <v/>
      </c>
    </row>
    <row r="1171" customFormat="false" ht="15" hidden="false" customHeight="false" outlineLevel="0" collapsed="false">
      <c r="A1171" s="46"/>
      <c r="B1171" s="47"/>
      <c r="C1171" s="47"/>
      <c r="D1171" s="46"/>
      <c r="E1171" s="47"/>
      <c r="F1171" s="47"/>
      <c r="G1171" s="47"/>
      <c r="H1171" s="46"/>
      <c r="I1171" s="47"/>
      <c r="J1171" s="47"/>
      <c r="K1171" s="47"/>
      <c r="L1171" s="47"/>
      <c r="M1171" s="47"/>
      <c r="N1171" s="47"/>
      <c r="O1171" s="47"/>
      <c r="P1171" s="45" t="str">
        <f aca="false">IF($A1171="","",IF(COUNTIF(Accounts!$C$2:$C$201,$A1171)+COUNTIF('Service Principals'!$C$2:$C$201,$A1171)+COUNTIF('Managed Identities'!$C$2:$C$201,$A1171)&gt;0,"Yes","NOT IN INVENTORY"))</f>
        <v/>
      </c>
    </row>
    <row r="1172" customFormat="false" ht="15" hidden="false" customHeight="false" outlineLevel="0" collapsed="false">
      <c r="A1172" s="46"/>
      <c r="B1172" s="47"/>
      <c r="C1172" s="47"/>
      <c r="D1172" s="46"/>
      <c r="E1172" s="47"/>
      <c r="F1172" s="47"/>
      <c r="G1172" s="47"/>
      <c r="H1172" s="46"/>
      <c r="I1172" s="47"/>
      <c r="J1172" s="47"/>
      <c r="K1172" s="47"/>
      <c r="L1172" s="47"/>
      <c r="M1172" s="47"/>
      <c r="N1172" s="47"/>
      <c r="O1172" s="47"/>
      <c r="P1172" s="45" t="str">
        <f aca="false">IF($A1172="","",IF(COUNTIF(Accounts!$C$2:$C$201,$A1172)+COUNTIF('Service Principals'!$C$2:$C$201,$A1172)+COUNTIF('Managed Identities'!$C$2:$C$201,$A1172)&gt;0,"Yes","NOT IN INVENTORY"))</f>
        <v/>
      </c>
    </row>
    <row r="1173" customFormat="false" ht="15" hidden="false" customHeight="false" outlineLevel="0" collapsed="false">
      <c r="A1173" s="46"/>
      <c r="B1173" s="47"/>
      <c r="C1173" s="47"/>
      <c r="D1173" s="46"/>
      <c r="E1173" s="47"/>
      <c r="F1173" s="47"/>
      <c r="G1173" s="47"/>
      <c r="H1173" s="46"/>
      <c r="I1173" s="47"/>
      <c r="J1173" s="47"/>
      <c r="K1173" s="47"/>
      <c r="L1173" s="47"/>
      <c r="M1173" s="47"/>
      <c r="N1173" s="47"/>
      <c r="O1173" s="47"/>
      <c r="P1173" s="45" t="str">
        <f aca="false">IF($A1173="","",IF(COUNTIF(Accounts!$C$2:$C$201,$A1173)+COUNTIF('Service Principals'!$C$2:$C$201,$A1173)+COUNTIF('Managed Identities'!$C$2:$C$201,$A1173)&gt;0,"Yes","NOT IN INVENTORY"))</f>
        <v/>
      </c>
    </row>
    <row r="1174" customFormat="false" ht="15" hidden="false" customHeight="false" outlineLevel="0" collapsed="false">
      <c r="A1174" s="46"/>
      <c r="B1174" s="47"/>
      <c r="C1174" s="47"/>
      <c r="D1174" s="46"/>
      <c r="E1174" s="47"/>
      <c r="F1174" s="47"/>
      <c r="G1174" s="47"/>
      <c r="H1174" s="46"/>
      <c r="I1174" s="47"/>
      <c r="J1174" s="47"/>
      <c r="K1174" s="47"/>
      <c r="L1174" s="47"/>
      <c r="M1174" s="47"/>
      <c r="N1174" s="47"/>
      <c r="O1174" s="47"/>
      <c r="P1174" s="45" t="str">
        <f aca="false">IF($A1174="","",IF(COUNTIF(Accounts!$C$2:$C$201,$A1174)+COUNTIF('Service Principals'!$C$2:$C$201,$A1174)+COUNTIF('Managed Identities'!$C$2:$C$201,$A1174)&gt;0,"Yes","NOT IN INVENTORY"))</f>
        <v/>
      </c>
    </row>
    <row r="1175" customFormat="false" ht="15" hidden="false" customHeight="false" outlineLevel="0" collapsed="false">
      <c r="A1175" s="46"/>
      <c r="B1175" s="47"/>
      <c r="C1175" s="47"/>
      <c r="D1175" s="46"/>
      <c r="E1175" s="47"/>
      <c r="F1175" s="47"/>
      <c r="G1175" s="47"/>
      <c r="H1175" s="46"/>
      <c r="I1175" s="47"/>
      <c r="J1175" s="47"/>
      <c r="K1175" s="47"/>
      <c r="L1175" s="47"/>
      <c r="M1175" s="47"/>
      <c r="N1175" s="47"/>
      <c r="O1175" s="47"/>
      <c r="P1175" s="45" t="str">
        <f aca="false">IF($A1175="","",IF(COUNTIF(Accounts!$C$2:$C$201,$A1175)+COUNTIF('Service Principals'!$C$2:$C$201,$A1175)+COUNTIF('Managed Identities'!$C$2:$C$201,$A1175)&gt;0,"Yes","NOT IN INVENTORY"))</f>
        <v/>
      </c>
    </row>
    <row r="1176" customFormat="false" ht="15" hidden="false" customHeight="false" outlineLevel="0" collapsed="false">
      <c r="A1176" s="46"/>
      <c r="B1176" s="47"/>
      <c r="C1176" s="47"/>
      <c r="D1176" s="46"/>
      <c r="E1176" s="47"/>
      <c r="F1176" s="47"/>
      <c r="G1176" s="47"/>
      <c r="H1176" s="46"/>
      <c r="I1176" s="47"/>
      <c r="J1176" s="47"/>
      <c r="K1176" s="47"/>
      <c r="L1176" s="47"/>
      <c r="M1176" s="47"/>
      <c r="N1176" s="47"/>
      <c r="O1176" s="47"/>
      <c r="P1176" s="45" t="str">
        <f aca="false">IF($A1176="","",IF(COUNTIF(Accounts!$C$2:$C$201,$A1176)+COUNTIF('Service Principals'!$C$2:$C$201,$A1176)+COUNTIF('Managed Identities'!$C$2:$C$201,$A1176)&gt;0,"Yes","NOT IN INVENTORY"))</f>
        <v/>
      </c>
    </row>
    <row r="1177" customFormat="false" ht="15" hidden="false" customHeight="false" outlineLevel="0" collapsed="false">
      <c r="A1177" s="46"/>
      <c r="B1177" s="47"/>
      <c r="C1177" s="47"/>
      <c r="D1177" s="46"/>
      <c r="E1177" s="47"/>
      <c r="F1177" s="47"/>
      <c r="G1177" s="47"/>
      <c r="H1177" s="46"/>
      <c r="I1177" s="47"/>
      <c r="J1177" s="47"/>
      <c r="K1177" s="47"/>
      <c r="L1177" s="47"/>
      <c r="M1177" s="47"/>
      <c r="N1177" s="47"/>
      <c r="O1177" s="47"/>
      <c r="P1177" s="45" t="str">
        <f aca="false">IF($A1177="","",IF(COUNTIF(Accounts!$C$2:$C$201,$A1177)+COUNTIF('Service Principals'!$C$2:$C$201,$A1177)+COUNTIF('Managed Identities'!$C$2:$C$201,$A1177)&gt;0,"Yes","NOT IN INVENTORY"))</f>
        <v/>
      </c>
    </row>
    <row r="1178" customFormat="false" ht="15" hidden="false" customHeight="false" outlineLevel="0" collapsed="false">
      <c r="A1178" s="46"/>
      <c r="B1178" s="47"/>
      <c r="C1178" s="47"/>
      <c r="D1178" s="46"/>
      <c r="E1178" s="47"/>
      <c r="F1178" s="47"/>
      <c r="G1178" s="47"/>
      <c r="H1178" s="46"/>
      <c r="I1178" s="47"/>
      <c r="J1178" s="47"/>
      <c r="K1178" s="47"/>
      <c r="L1178" s="47"/>
      <c r="M1178" s="47"/>
      <c r="N1178" s="47"/>
      <c r="O1178" s="47"/>
      <c r="P1178" s="45" t="str">
        <f aca="false">IF($A1178="","",IF(COUNTIF(Accounts!$C$2:$C$201,$A1178)+COUNTIF('Service Principals'!$C$2:$C$201,$A1178)+COUNTIF('Managed Identities'!$C$2:$C$201,$A1178)&gt;0,"Yes","NOT IN INVENTORY"))</f>
        <v/>
      </c>
    </row>
    <row r="1179" customFormat="false" ht="15" hidden="false" customHeight="false" outlineLevel="0" collapsed="false">
      <c r="A1179" s="46"/>
      <c r="B1179" s="47"/>
      <c r="C1179" s="47"/>
      <c r="D1179" s="46"/>
      <c r="E1179" s="47"/>
      <c r="F1179" s="47"/>
      <c r="G1179" s="47"/>
      <c r="H1179" s="46"/>
      <c r="I1179" s="47"/>
      <c r="J1179" s="47"/>
      <c r="K1179" s="47"/>
      <c r="L1179" s="47"/>
      <c r="M1179" s="47"/>
      <c r="N1179" s="47"/>
      <c r="O1179" s="47"/>
      <c r="P1179" s="45" t="str">
        <f aca="false">IF($A1179="","",IF(COUNTIF(Accounts!$C$2:$C$201,$A1179)+COUNTIF('Service Principals'!$C$2:$C$201,$A1179)+COUNTIF('Managed Identities'!$C$2:$C$201,$A1179)&gt;0,"Yes","NOT IN INVENTORY"))</f>
        <v/>
      </c>
    </row>
    <row r="1180" customFormat="false" ht="15" hidden="false" customHeight="false" outlineLevel="0" collapsed="false">
      <c r="A1180" s="46"/>
      <c r="B1180" s="47"/>
      <c r="C1180" s="47"/>
      <c r="D1180" s="46"/>
      <c r="E1180" s="47"/>
      <c r="F1180" s="47"/>
      <c r="G1180" s="47"/>
      <c r="H1180" s="46"/>
      <c r="I1180" s="47"/>
      <c r="J1180" s="47"/>
      <c r="K1180" s="47"/>
      <c r="L1180" s="47"/>
      <c r="M1180" s="47"/>
      <c r="N1180" s="47"/>
      <c r="O1180" s="47"/>
      <c r="P1180" s="45" t="str">
        <f aca="false">IF($A1180="","",IF(COUNTIF(Accounts!$C$2:$C$201,$A1180)+COUNTIF('Service Principals'!$C$2:$C$201,$A1180)+COUNTIF('Managed Identities'!$C$2:$C$201,$A1180)&gt;0,"Yes","NOT IN INVENTORY"))</f>
        <v/>
      </c>
    </row>
    <row r="1181" customFormat="false" ht="15" hidden="false" customHeight="false" outlineLevel="0" collapsed="false">
      <c r="A1181" s="46"/>
      <c r="B1181" s="47"/>
      <c r="C1181" s="47"/>
      <c r="D1181" s="46"/>
      <c r="E1181" s="47"/>
      <c r="F1181" s="47"/>
      <c r="G1181" s="47"/>
      <c r="H1181" s="46"/>
      <c r="I1181" s="47"/>
      <c r="J1181" s="47"/>
      <c r="K1181" s="47"/>
      <c r="L1181" s="47"/>
      <c r="M1181" s="47"/>
      <c r="N1181" s="47"/>
      <c r="O1181" s="47"/>
      <c r="P1181" s="45" t="str">
        <f aca="false">IF($A1181="","",IF(COUNTIF(Accounts!$C$2:$C$201,$A1181)+COUNTIF('Service Principals'!$C$2:$C$201,$A1181)+COUNTIF('Managed Identities'!$C$2:$C$201,$A1181)&gt;0,"Yes","NOT IN INVENTORY"))</f>
        <v/>
      </c>
    </row>
    <row r="1182" customFormat="false" ht="15" hidden="false" customHeight="false" outlineLevel="0" collapsed="false">
      <c r="A1182" s="46"/>
      <c r="B1182" s="47"/>
      <c r="C1182" s="47"/>
      <c r="D1182" s="46"/>
      <c r="E1182" s="47"/>
      <c r="F1182" s="47"/>
      <c r="G1182" s="47"/>
      <c r="H1182" s="46"/>
      <c r="I1182" s="47"/>
      <c r="J1182" s="47"/>
      <c r="K1182" s="47"/>
      <c r="L1182" s="47"/>
      <c r="M1182" s="47"/>
      <c r="N1182" s="47"/>
      <c r="O1182" s="47"/>
      <c r="P1182" s="45" t="str">
        <f aca="false">IF($A1182="","",IF(COUNTIF(Accounts!$C$2:$C$201,$A1182)+COUNTIF('Service Principals'!$C$2:$C$201,$A1182)+COUNTIF('Managed Identities'!$C$2:$C$201,$A1182)&gt;0,"Yes","NOT IN INVENTORY"))</f>
        <v/>
      </c>
    </row>
    <row r="1183" customFormat="false" ht="15" hidden="false" customHeight="false" outlineLevel="0" collapsed="false">
      <c r="A1183" s="46"/>
      <c r="B1183" s="47"/>
      <c r="C1183" s="47"/>
      <c r="D1183" s="46"/>
      <c r="E1183" s="47"/>
      <c r="F1183" s="47"/>
      <c r="G1183" s="47"/>
      <c r="H1183" s="46"/>
      <c r="I1183" s="47"/>
      <c r="J1183" s="47"/>
      <c r="K1183" s="47"/>
      <c r="L1183" s="47"/>
      <c r="M1183" s="47"/>
      <c r="N1183" s="47"/>
      <c r="O1183" s="47"/>
      <c r="P1183" s="45" t="str">
        <f aca="false">IF($A1183="","",IF(COUNTIF(Accounts!$C$2:$C$201,$A1183)+COUNTIF('Service Principals'!$C$2:$C$201,$A1183)+COUNTIF('Managed Identities'!$C$2:$C$201,$A1183)&gt;0,"Yes","NOT IN INVENTORY"))</f>
        <v/>
      </c>
    </row>
    <row r="1184" customFormat="false" ht="15" hidden="false" customHeight="false" outlineLevel="0" collapsed="false">
      <c r="A1184" s="46"/>
      <c r="B1184" s="47"/>
      <c r="C1184" s="47"/>
      <c r="D1184" s="46"/>
      <c r="E1184" s="47"/>
      <c r="F1184" s="47"/>
      <c r="G1184" s="47"/>
      <c r="H1184" s="46"/>
      <c r="I1184" s="47"/>
      <c r="J1184" s="47"/>
      <c r="K1184" s="47"/>
      <c r="L1184" s="47"/>
      <c r="M1184" s="47"/>
      <c r="N1184" s="47"/>
      <c r="O1184" s="47"/>
      <c r="P1184" s="45" t="str">
        <f aca="false">IF($A1184="","",IF(COUNTIF(Accounts!$C$2:$C$201,$A1184)+COUNTIF('Service Principals'!$C$2:$C$201,$A1184)+COUNTIF('Managed Identities'!$C$2:$C$201,$A1184)&gt;0,"Yes","NOT IN INVENTORY"))</f>
        <v/>
      </c>
    </row>
    <row r="1185" customFormat="false" ht="15" hidden="false" customHeight="false" outlineLevel="0" collapsed="false">
      <c r="A1185" s="46"/>
      <c r="B1185" s="47"/>
      <c r="C1185" s="47"/>
      <c r="D1185" s="46"/>
      <c r="E1185" s="47"/>
      <c r="F1185" s="47"/>
      <c r="G1185" s="47"/>
      <c r="H1185" s="46"/>
      <c r="I1185" s="47"/>
      <c r="J1185" s="47"/>
      <c r="K1185" s="47"/>
      <c r="L1185" s="47"/>
      <c r="M1185" s="47"/>
      <c r="N1185" s="47"/>
      <c r="O1185" s="47"/>
      <c r="P1185" s="45" t="str">
        <f aca="false">IF($A1185="","",IF(COUNTIF(Accounts!$C$2:$C$201,$A1185)+COUNTIF('Service Principals'!$C$2:$C$201,$A1185)+COUNTIF('Managed Identities'!$C$2:$C$201,$A1185)&gt;0,"Yes","NOT IN INVENTORY"))</f>
        <v/>
      </c>
    </row>
    <row r="1186" customFormat="false" ht="15" hidden="false" customHeight="false" outlineLevel="0" collapsed="false">
      <c r="A1186" s="46"/>
      <c r="B1186" s="47"/>
      <c r="C1186" s="47"/>
      <c r="D1186" s="46"/>
      <c r="E1186" s="47"/>
      <c r="F1186" s="47"/>
      <c r="G1186" s="47"/>
      <c r="H1186" s="46"/>
      <c r="I1186" s="47"/>
      <c r="J1186" s="47"/>
      <c r="K1186" s="47"/>
      <c r="L1186" s="47"/>
      <c r="M1186" s="47"/>
      <c r="N1186" s="47"/>
      <c r="O1186" s="47"/>
      <c r="P1186" s="45" t="str">
        <f aca="false">IF($A1186="","",IF(COUNTIF(Accounts!$C$2:$C$201,$A1186)+COUNTIF('Service Principals'!$C$2:$C$201,$A1186)+COUNTIF('Managed Identities'!$C$2:$C$201,$A1186)&gt;0,"Yes","NOT IN INVENTORY"))</f>
        <v/>
      </c>
    </row>
    <row r="1187" customFormat="false" ht="15" hidden="false" customHeight="false" outlineLevel="0" collapsed="false">
      <c r="A1187" s="46"/>
      <c r="B1187" s="47"/>
      <c r="C1187" s="47"/>
      <c r="D1187" s="46"/>
      <c r="E1187" s="47"/>
      <c r="F1187" s="47"/>
      <c r="G1187" s="47"/>
      <c r="H1187" s="46"/>
      <c r="I1187" s="47"/>
      <c r="J1187" s="47"/>
      <c r="K1187" s="47"/>
      <c r="L1187" s="47"/>
      <c r="M1187" s="47"/>
      <c r="N1187" s="47"/>
      <c r="O1187" s="47"/>
      <c r="P1187" s="45" t="str">
        <f aca="false">IF($A1187="","",IF(COUNTIF(Accounts!$C$2:$C$201,$A1187)+COUNTIF('Service Principals'!$C$2:$C$201,$A1187)+COUNTIF('Managed Identities'!$C$2:$C$201,$A1187)&gt;0,"Yes","NOT IN INVENTORY"))</f>
        <v/>
      </c>
    </row>
    <row r="1188" customFormat="false" ht="15" hidden="false" customHeight="false" outlineLevel="0" collapsed="false">
      <c r="A1188" s="46"/>
      <c r="B1188" s="47"/>
      <c r="C1188" s="47"/>
      <c r="D1188" s="46"/>
      <c r="E1188" s="47"/>
      <c r="F1188" s="47"/>
      <c r="G1188" s="47"/>
      <c r="H1188" s="46"/>
      <c r="I1188" s="47"/>
      <c r="J1188" s="47"/>
      <c r="K1188" s="47"/>
      <c r="L1188" s="47"/>
      <c r="M1188" s="47"/>
      <c r="N1188" s="47"/>
      <c r="O1188" s="47"/>
      <c r="P1188" s="45" t="str">
        <f aca="false">IF($A1188="","",IF(COUNTIF(Accounts!$C$2:$C$201,$A1188)+COUNTIF('Service Principals'!$C$2:$C$201,$A1188)+COUNTIF('Managed Identities'!$C$2:$C$201,$A1188)&gt;0,"Yes","NOT IN INVENTORY"))</f>
        <v/>
      </c>
    </row>
    <row r="1189" customFormat="false" ht="15" hidden="false" customHeight="false" outlineLevel="0" collapsed="false">
      <c r="A1189" s="46"/>
      <c r="B1189" s="47"/>
      <c r="C1189" s="47"/>
      <c r="D1189" s="46"/>
      <c r="E1189" s="47"/>
      <c r="F1189" s="47"/>
      <c r="G1189" s="47"/>
      <c r="H1189" s="46"/>
      <c r="I1189" s="47"/>
      <c r="J1189" s="47"/>
      <c r="K1189" s="47"/>
      <c r="L1189" s="47"/>
      <c r="M1189" s="47"/>
      <c r="N1189" s="47"/>
      <c r="O1189" s="47"/>
      <c r="P1189" s="45" t="str">
        <f aca="false">IF($A1189="","",IF(COUNTIF(Accounts!$C$2:$C$201,$A1189)+COUNTIF('Service Principals'!$C$2:$C$201,$A1189)+COUNTIF('Managed Identities'!$C$2:$C$201,$A1189)&gt;0,"Yes","NOT IN INVENTORY"))</f>
        <v/>
      </c>
    </row>
    <row r="1190" customFormat="false" ht="15" hidden="false" customHeight="false" outlineLevel="0" collapsed="false">
      <c r="A1190" s="46"/>
      <c r="B1190" s="47"/>
      <c r="C1190" s="47"/>
      <c r="D1190" s="46"/>
      <c r="E1190" s="47"/>
      <c r="F1190" s="47"/>
      <c r="G1190" s="47"/>
      <c r="H1190" s="46"/>
      <c r="I1190" s="47"/>
      <c r="J1190" s="47"/>
      <c r="K1190" s="47"/>
      <c r="L1190" s="47"/>
      <c r="M1190" s="47"/>
      <c r="N1190" s="47"/>
      <c r="O1190" s="47"/>
      <c r="P1190" s="45" t="str">
        <f aca="false">IF($A1190="","",IF(COUNTIF(Accounts!$C$2:$C$201,$A1190)+COUNTIF('Service Principals'!$C$2:$C$201,$A1190)+COUNTIF('Managed Identities'!$C$2:$C$201,$A1190)&gt;0,"Yes","NOT IN INVENTORY"))</f>
        <v/>
      </c>
    </row>
    <row r="1191" customFormat="false" ht="15" hidden="false" customHeight="false" outlineLevel="0" collapsed="false">
      <c r="A1191" s="46"/>
      <c r="B1191" s="47"/>
      <c r="C1191" s="47"/>
      <c r="D1191" s="46"/>
      <c r="E1191" s="47"/>
      <c r="F1191" s="47"/>
      <c r="G1191" s="47"/>
      <c r="H1191" s="46"/>
      <c r="I1191" s="47"/>
      <c r="J1191" s="47"/>
      <c r="K1191" s="47"/>
      <c r="L1191" s="47"/>
      <c r="M1191" s="47"/>
      <c r="N1191" s="47"/>
      <c r="O1191" s="47"/>
      <c r="P1191" s="45" t="str">
        <f aca="false">IF($A1191="","",IF(COUNTIF(Accounts!$C$2:$C$201,$A1191)+COUNTIF('Service Principals'!$C$2:$C$201,$A1191)+COUNTIF('Managed Identities'!$C$2:$C$201,$A1191)&gt;0,"Yes","NOT IN INVENTORY"))</f>
        <v/>
      </c>
    </row>
    <row r="1192" customFormat="false" ht="15" hidden="false" customHeight="false" outlineLevel="0" collapsed="false">
      <c r="A1192" s="46"/>
      <c r="B1192" s="47"/>
      <c r="C1192" s="47"/>
      <c r="D1192" s="46"/>
      <c r="E1192" s="47"/>
      <c r="F1192" s="47"/>
      <c r="G1192" s="47"/>
      <c r="H1192" s="46"/>
      <c r="I1192" s="47"/>
      <c r="J1192" s="47"/>
      <c r="K1192" s="47"/>
      <c r="L1192" s="47"/>
      <c r="M1192" s="47"/>
      <c r="N1192" s="47"/>
      <c r="O1192" s="47"/>
      <c r="P1192" s="45" t="str">
        <f aca="false">IF($A1192="","",IF(COUNTIF(Accounts!$C$2:$C$201,$A1192)+COUNTIF('Service Principals'!$C$2:$C$201,$A1192)+COUNTIF('Managed Identities'!$C$2:$C$201,$A1192)&gt;0,"Yes","NOT IN INVENTORY"))</f>
        <v/>
      </c>
    </row>
    <row r="1193" customFormat="false" ht="15" hidden="false" customHeight="false" outlineLevel="0" collapsed="false">
      <c r="A1193" s="46"/>
      <c r="B1193" s="47"/>
      <c r="C1193" s="47"/>
      <c r="D1193" s="46"/>
      <c r="E1193" s="47"/>
      <c r="F1193" s="47"/>
      <c r="G1193" s="47"/>
      <c r="H1193" s="46"/>
      <c r="I1193" s="47"/>
      <c r="J1193" s="47"/>
      <c r="K1193" s="47"/>
      <c r="L1193" s="47"/>
      <c r="M1193" s="47"/>
      <c r="N1193" s="47"/>
      <c r="O1193" s="47"/>
      <c r="P1193" s="45" t="str">
        <f aca="false">IF($A1193="","",IF(COUNTIF(Accounts!$C$2:$C$201,$A1193)+COUNTIF('Service Principals'!$C$2:$C$201,$A1193)+COUNTIF('Managed Identities'!$C$2:$C$201,$A1193)&gt;0,"Yes","NOT IN INVENTORY"))</f>
        <v/>
      </c>
    </row>
    <row r="1194" customFormat="false" ht="15" hidden="false" customHeight="false" outlineLevel="0" collapsed="false">
      <c r="A1194" s="46"/>
      <c r="B1194" s="47"/>
      <c r="C1194" s="47"/>
      <c r="D1194" s="46"/>
      <c r="E1194" s="47"/>
      <c r="F1194" s="47"/>
      <c r="G1194" s="47"/>
      <c r="H1194" s="46"/>
      <c r="I1194" s="47"/>
      <c r="J1194" s="47"/>
      <c r="K1194" s="47"/>
      <c r="L1194" s="47"/>
      <c r="M1194" s="47"/>
      <c r="N1194" s="47"/>
      <c r="O1194" s="47"/>
      <c r="P1194" s="45" t="str">
        <f aca="false">IF($A1194="","",IF(COUNTIF(Accounts!$C$2:$C$201,$A1194)+COUNTIF('Service Principals'!$C$2:$C$201,$A1194)+COUNTIF('Managed Identities'!$C$2:$C$201,$A1194)&gt;0,"Yes","NOT IN INVENTORY"))</f>
        <v/>
      </c>
    </row>
    <row r="1195" customFormat="false" ht="15" hidden="false" customHeight="false" outlineLevel="0" collapsed="false">
      <c r="A1195" s="46"/>
      <c r="B1195" s="47"/>
      <c r="C1195" s="47"/>
      <c r="D1195" s="46"/>
      <c r="E1195" s="47"/>
      <c r="F1195" s="47"/>
      <c r="G1195" s="47"/>
      <c r="H1195" s="46"/>
      <c r="I1195" s="47"/>
      <c r="J1195" s="47"/>
      <c r="K1195" s="47"/>
      <c r="L1195" s="47"/>
      <c r="M1195" s="47"/>
      <c r="N1195" s="47"/>
      <c r="O1195" s="47"/>
      <c r="P1195" s="45" t="str">
        <f aca="false">IF($A1195="","",IF(COUNTIF(Accounts!$C$2:$C$201,$A1195)+COUNTIF('Service Principals'!$C$2:$C$201,$A1195)+COUNTIF('Managed Identities'!$C$2:$C$201,$A1195)&gt;0,"Yes","NOT IN INVENTORY"))</f>
        <v/>
      </c>
    </row>
    <row r="1196" customFormat="false" ht="15" hidden="false" customHeight="false" outlineLevel="0" collapsed="false">
      <c r="A1196" s="46"/>
      <c r="B1196" s="47"/>
      <c r="C1196" s="47"/>
      <c r="D1196" s="46"/>
      <c r="E1196" s="47"/>
      <c r="F1196" s="47"/>
      <c r="G1196" s="47"/>
      <c r="H1196" s="46"/>
      <c r="I1196" s="47"/>
      <c r="J1196" s="47"/>
      <c r="K1196" s="47"/>
      <c r="L1196" s="47"/>
      <c r="M1196" s="47"/>
      <c r="N1196" s="47"/>
      <c r="O1196" s="47"/>
      <c r="P1196" s="45" t="str">
        <f aca="false">IF($A1196="","",IF(COUNTIF(Accounts!$C$2:$C$201,$A1196)+COUNTIF('Service Principals'!$C$2:$C$201,$A1196)+COUNTIF('Managed Identities'!$C$2:$C$201,$A1196)&gt;0,"Yes","NOT IN INVENTORY"))</f>
        <v/>
      </c>
    </row>
    <row r="1197" customFormat="false" ht="15" hidden="false" customHeight="false" outlineLevel="0" collapsed="false">
      <c r="A1197" s="46"/>
      <c r="B1197" s="47"/>
      <c r="C1197" s="47"/>
      <c r="D1197" s="46"/>
      <c r="E1197" s="47"/>
      <c r="F1197" s="47"/>
      <c r="G1197" s="47"/>
      <c r="H1197" s="46"/>
      <c r="I1197" s="47"/>
      <c r="J1197" s="47"/>
      <c r="K1197" s="47"/>
      <c r="L1197" s="47"/>
      <c r="M1197" s="47"/>
      <c r="N1197" s="47"/>
      <c r="O1197" s="47"/>
      <c r="P1197" s="45" t="str">
        <f aca="false">IF($A1197="","",IF(COUNTIF(Accounts!$C$2:$C$201,$A1197)+COUNTIF('Service Principals'!$C$2:$C$201,$A1197)+COUNTIF('Managed Identities'!$C$2:$C$201,$A1197)&gt;0,"Yes","NOT IN INVENTORY"))</f>
        <v/>
      </c>
    </row>
    <row r="1198" customFormat="false" ht="15" hidden="false" customHeight="false" outlineLevel="0" collapsed="false">
      <c r="A1198" s="46"/>
      <c r="B1198" s="47"/>
      <c r="C1198" s="47"/>
      <c r="D1198" s="46"/>
      <c r="E1198" s="47"/>
      <c r="F1198" s="47"/>
      <c r="G1198" s="47"/>
      <c r="H1198" s="46"/>
      <c r="I1198" s="47"/>
      <c r="J1198" s="47"/>
      <c r="K1198" s="47"/>
      <c r="L1198" s="47"/>
      <c r="M1198" s="47"/>
      <c r="N1198" s="47"/>
      <c r="O1198" s="47"/>
      <c r="P1198" s="45" t="str">
        <f aca="false">IF($A1198="","",IF(COUNTIF(Accounts!$C$2:$C$201,$A1198)+COUNTIF('Service Principals'!$C$2:$C$201,$A1198)+COUNTIF('Managed Identities'!$C$2:$C$201,$A1198)&gt;0,"Yes","NOT IN INVENTORY"))</f>
        <v/>
      </c>
    </row>
    <row r="1199" customFormat="false" ht="15" hidden="false" customHeight="false" outlineLevel="0" collapsed="false">
      <c r="A1199" s="46"/>
      <c r="B1199" s="47"/>
      <c r="C1199" s="47"/>
      <c r="D1199" s="46"/>
      <c r="E1199" s="47"/>
      <c r="F1199" s="47"/>
      <c r="G1199" s="47"/>
      <c r="H1199" s="46"/>
      <c r="I1199" s="47"/>
      <c r="J1199" s="47"/>
      <c r="K1199" s="47"/>
      <c r="L1199" s="47"/>
      <c r="M1199" s="47"/>
      <c r="N1199" s="47"/>
      <c r="O1199" s="47"/>
      <c r="P1199" s="45" t="str">
        <f aca="false">IF($A1199="","",IF(COUNTIF(Accounts!$C$2:$C$201,$A1199)+COUNTIF('Service Principals'!$C$2:$C$201,$A1199)+COUNTIF('Managed Identities'!$C$2:$C$201,$A1199)&gt;0,"Yes","NOT IN INVENTORY"))</f>
        <v/>
      </c>
    </row>
    <row r="1200" customFormat="false" ht="15" hidden="false" customHeight="false" outlineLevel="0" collapsed="false">
      <c r="A1200" s="46"/>
      <c r="B1200" s="47"/>
      <c r="C1200" s="47"/>
      <c r="D1200" s="46"/>
      <c r="E1200" s="47"/>
      <c r="F1200" s="47"/>
      <c r="G1200" s="47"/>
      <c r="H1200" s="46"/>
      <c r="I1200" s="47"/>
      <c r="J1200" s="47"/>
      <c r="K1200" s="47"/>
      <c r="L1200" s="47"/>
      <c r="M1200" s="47"/>
      <c r="N1200" s="47"/>
      <c r="O1200" s="47"/>
      <c r="P1200" s="45" t="str">
        <f aca="false">IF($A1200="","",IF(COUNTIF(Accounts!$C$2:$C$201,$A1200)+COUNTIF('Service Principals'!$C$2:$C$201,$A1200)+COUNTIF('Managed Identities'!$C$2:$C$201,$A1200)&gt;0,"Yes","NOT IN INVENTORY"))</f>
        <v/>
      </c>
    </row>
    <row r="1201" customFormat="false" ht="15" hidden="false" customHeight="false" outlineLevel="0" collapsed="false">
      <c r="A1201" s="46"/>
      <c r="B1201" s="47"/>
      <c r="C1201" s="47"/>
      <c r="D1201" s="46"/>
      <c r="E1201" s="47"/>
      <c r="F1201" s="47"/>
      <c r="G1201" s="47"/>
      <c r="H1201" s="46"/>
      <c r="I1201" s="47"/>
      <c r="J1201" s="47"/>
      <c r="K1201" s="47"/>
      <c r="L1201" s="47"/>
      <c r="M1201" s="47"/>
      <c r="N1201" s="47"/>
      <c r="O1201" s="47"/>
      <c r="P1201" s="45" t="str">
        <f aca="false">IF($A1201="","",IF(COUNTIF(Accounts!$C$2:$C$201,$A1201)+COUNTIF('Service Principals'!$C$2:$C$201,$A1201)+COUNTIF('Managed Identities'!$C$2:$C$201,$A1201)&gt;0,"Yes","NOT IN INVENTORY"))</f>
        <v/>
      </c>
    </row>
    <row r="1202" customFormat="false" ht="15" hidden="false" customHeight="false" outlineLevel="0" collapsed="false">
      <c r="A1202" s="46"/>
      <c r="B1202" s="47"/>
      <c r="C1202" s="47"/>
      <c r="D1202" s="46"/>
      <c r="E1202" s="47"/>
      <c r="F1202" s="47"/>
      <c r="G1202" s="47"/>
      <c r="H1202" s="46"/>
      <c r="I1202" s="47"/>
      <c r="J1202" s="47"/>
      <c r="K1202" s="47"/>
      <c r="L1202" s="47"/>
      <c r="M1202" s="47"/>
      <c r="N1202" s="47"/>
      <c r="O1202" s="47"/>
      <c r="P1202" s="45" t="str">
        <f aca="false">IF($A1202="","",IF(COUNTIF(Accounts!$C$2:$C$201,$A1202)+COUNTIF('Service Principals'!$C$2:$C$201,$A1202)+COUNTIF('Managed Identities'!$C$2:$C$201,$A1202)&gt;0,"Yes","NOT IN INVENTORY"))</f>
        <v/>
      </c>
    </row>
    <row r="1203" customFormat="false" ht="15" hidden="false" customHeight="false" outlineLevel="0" collapsed="false">
      <c r="A1203" s="46"/>
      <c r="B1203" s="47"/>
      <c r="C1203" s="47"/>
      <c r="D1203" s="46"/>
      <c r="E1203" s="47"/>
      <c r="F1203" s="47"/>
      <c r="G1203" s="47"/>
      <c r="H1203" s="46"/>
      <c r="I1203" s="47"/>
      <c r="J1203" s="47"/>
      <c r="K1203" s="47"/>
      <c r="L1203" s="47"/>
      <c r="M1203" s="47"/>
      <c r="N1203" s="47"/>
      <c r="O1203" s="47"/>
      <c r="P1203" s="45" t="str">
        <f aca="false">IF($A1203="","",IF(COUNTIF(Accounts!$C$2:$C$201,$A1203)+COUNTIF('Service Principals'!$C$2:$C$201,$A1203)+COUNTIF('Managed Identities'!$C$2:$C$201,$A1203)&gt;0,"Yes","NOT IN INVENTORY"))</f>
        <v/>
      </c>
    </row>
    <row r="1204" customFormat="false" ht="15" hidden="false" customHeight="false" outlineLevel="0" collapsed="false">
      <c r="A1204" s="46"/>
      <c r="B1204" s="47"/>
      <c r="C1204" s="47"/>
      <c r="D1204" s="46"/>
      <c r="E1204" s="47"/>
      <c r="F1204" s="47"/>
      <c r="G1204" s="47"/>
      <c r="H1204" s="46"/>
      <c r="I1204" s="47"/>
      <c r="J1204" s="47"/>
      <c r="K1204" s="47"/>
      <c r="L1204" s="47"/>
      <c r="M1204" s="47"/>
      <c r="N1204" s="47"/>
      <c r="O1204" s="47"/>
      <c r="P1204" s="45" t="str">
        <f aca="false">IF($A1204="","",IF(COUNTIF(Accounts!$C$2:$C$201,$A1204)+COUNTIF('Service Principals'!$C$2:$C$201,$A1204)+COUNTIF('Managed Identities'!$C$2:$C$201,$A1204)&gt;0,"Yes","NOT IN INVENTORY"))</f>
        <v/>
      </c>
    </row>
    <row r="1205" customFormat="false" ht="15" hidden="false" customHeight="false" outlineLevel="0" collapsed="false">
      <c r="A1205" s="46"/>
      <c r="B1205" s="47"/>
      <c r="C1205" s="47"/>
      <c r="D1205" s="46"/>
      <c r="E1205" s="47"/>
      <c r="F1205" s="47"/>
      <c r="G1205" s="47"/>
      <c r="H1205" s="46"/>
      <c r="I1205" s="47"/>
      <c r="J1205" s="47"/>
      <c r="K1205" s="47"/>
      <c r="L1205" s="47"/>
      <c r="M1205" s="47"/>
      <c r="N1205" s="47"/>
      <c r="O1205" s="47"/>
      <c r="P1205" s="45" t="str">
        <f aca="false">IF($A1205="","",IF(COUNTIF(Accounts!$C$2:$C$201,$A1205)+COUNTIF('Service Principals'!$C$2:$C$201,$A1205)+COUNTIF('Managed Identities'!$C$2:$C$201,$A1205)&gt;0,"Yes","NOT IN INVENTORY"))</f>
        <v/>
      </c>
    </row>
    <row r="1206" customFormat="false" ht="15" hidden="false" customHeight="false" outlineLevel="0" collapsed="false">
      <c r="A1206" s="46"/>
      <c r="B1206" s="47"/>
      <c r="C1206" s="47"/>
      <c r="D1206" s="46"/>
      <c r="E1206" s="47"/>
      <c r="F1206" s="47"/>
      <c r="G1206" s="47"/>
      <c r="H1206" s="46"/>
      <c r="I1206" s="47"/>
      <c r="J1206" s="47"/>
      <c r="K1206" s="47"/>
      <c r="L1206" s="47"/>
      <c r="M1206" s="47"/>
      <c r="N1206" s="47"/>
      <c r="O1206" s="47"/>
      <c r="P1206" s="45" t="str">
        <f aca="false">IF($A1206="","",IF(COUNTIF(Accounts!$C$2:$C$201,$A1206)+COUNTIF('Service Principals'!$C$2:$C$201,$A1206)+COUNTIF('Managed Identities'!$C$2:$C$201,$A1206)&gt;0,"Yes","NOT IN INVENTORY"))</f>
        <v/>
      </c>
    </row>
    <row r="1207" customFormat="false" ht="15" hidden="false" customHeight="false" outlineLevel="0" collapsed="false">
      <c r="A1207" s="46"/>
      <c r="B1207" s="47"/>
      <c r="C1207" s="47"/>
      <c r="D1207" s="46"/>
      <c r="E1207" s="47"/>
      <c r="F1207" s="47"/>
      <c r="G1207" s="47"/>
      <c r="H1207" s="46"/>
      <c r="I1207" s="47"/>
      <c r="J1207" s="47"/>
      <c r="K1207" s="47"/>
      <c r="L1207" s="47"/>
      <c r="M1207" s="47"/>
      <c r="N1207" s="47"/>
      <c r="O1207" s="47"/>
      <c r="P1207" s="45" t="str">
        <f aca="false">IF($A1207="","",IF(COUNTIF(Accounts!$C$2:$C$201,$A1207)+COUNTIF('Service Principals'!$C$2:$C$201,$A1207)+COUNTIF('Managed Identities'!$C$2:$C$201,$A1207)&gt;0,"Yes","NOT IN INVENTORY"))</f>
        <v/>
      </c>
    </row>
    <row r="1208" customFormat="false" ht="15" hidden="false" customHeight="false" outlineLevel="0" collapsed="false">
      <c r="A1208" s="46"/>
      <c r="B1208" s="47"/>
      <c r="C1208" s="47"/>
      <c r="D1208" s="46"/>
      <c r="E1208" s="47"/>
      <c r="F1208" s="47"/>
      <c r="G1208" s="47"/>
      <c r="H1208" s="46"/>
      <c r="I1208" s="47"/>
      <c r="J1208" s="47"/>
      <c r="K1208" s="47"/>
      <c r="L1208" s="47"/>
      <c r="M1208" s="47"/>
      <c r="N1208" s="47"/>
      <c r="O1208" s="47"/>
      <c r="P1208" s="45" t="str">
        <f aca="false">IF($A1208="","",IF(COUNTIF(Accounts!$C$2:$C$201,$A1208)+COUNTIF('Service Principals'!$C$2:$C$201,$A1208)+COUNTIF('Managed Identities'!$C$2:$C$201,$A1208)&gt;0,"Yes","NOT IN INVENTORY"))</f>
        <v/>
      </c>
    </row>
    <row r="1209" customFormat="false" ht="15" hidden="false" customHeight="false" outlineLevel="0" collapsed="false">
      <c r="A1209" s="46"/>
      <c r="B1209" s="47"/>
      <c r="C1209" s="47"/>
      <c r="D1209" s="46"/>
      <c r="E1209" s="47"/>
      <c r="F1209" s="47"/>
      <c r="G1209" s="47"/>
      <c r="H1209" s="46"/>
      <c r="I1209" s="47"/>
      <c r="J1209" s="47"/>
      <c r="K1209" s="47"/>
      <c r="L1209" s="47"/>
      <c r="M1209" s="47"/>
      <c r="N1209" s="47"/>
      <c r="O1209" s="47"/>
      <c r="P1209" s="45" t="str">
        <f aca="false">IF($A1209="","",IF(COUNTIF(Accounts!$C$2:$C$201,$A1209)+COUNTIF('Service Principals'!$C$2:$C$201,$A1209)+COUNTIF('Managed Identities'!$C$2:$C$201,$A1209)&gt;0,"Yes","NOT IN INVENTORY"))</f>
        <v/>
      </c>
    </row>
    <row r="1210" customFormat="false" ht="15" hidden="false" customHeight="false" outlineLevel="0" collapsed="false">
      <c r="A1210" s="46"/>
      <c r="B1210" s="47"/>
      <c r="C1210" s="47"/>
      <c r="D1210" s="46"/>
      <c r="E1210" s="47"/>
      <c r="F1210" s="47"/>
      <c r="G1210" s="47"/>
      <c r="H1210" s="46"/>
      <c r="I1210" s="47"/>
      <c r="J1210" s="47"/>
      <c r="K1210" s="47"/>
      <c r="L1210" s="47"/>
      <c r="M1210" s="47"/>
      <c r="N1210" s="47"/>
      <c r="O1210" s="47"/>
      <c r="P1210" s="45" t="str">
        <f aca="false">IF($A1210="","",IF(COUNTIF(Accounts!$C$2:$C$201,$A1210)+COUNTIF('Service Principals'!$C$2:$C$201,$A1210)+COUNTIF('Managed Identities'!$C$2:$C$201,$A1210)&gt;0,"Yes","NOT IN INVENTORY"))</f>
        <v/>
      </c>
    </row>
    <row r="1211" customFormat="false" ht="15" hidden="false" customHeight="false" outlineLevel="0" collapsed="false">
      <c r="A1211" s="46"/>
      <c r="B1211" s="47"/>
      <c r="C1211" s="47"/>
      <c r="D1211" s="46"/>
      <c r="E1211" s="47"/>
      <c r="F1211" s="47"/>
      <c r="G1211" s="47"/>
      <c r="H1211" s="46"/>
      <c r="I1211" s="47"/>
      <c r="J1211" s="47"/>
      <c r="K1211" s="47"/>
      <c r="L1211" s="47"/>
      <c r="M1211" s="47"/>
      <c r="N1211" s="47"/>
      <c r="O1211" s="47"/>
      <c r="P1211" s="45" t="str">
        <f aca="false">IF($A1211="","",IF(COUNTIF(Accounts!$C$2:$C$201,$A1211)+COUNTIF('Service Principals'!$C$2:$C$201,$A1211)+COUNTIF('Managed Identities'!$C$2:$C$201,$A1211)&gt;0,"Yes","NOT IN INVENTORY"))</f>
        <v/>
      </c>
    </row>
    <row r="1212" customFormat="false" ht="15" hidden="false" customHeight="false" outlineLevel="0" collapsed="false">
      <c r="A1212" s="46"/>
      <c r="B1212" s="47"/>
      <c r="C1212" s="47"/>
      <c r="D1212" s="46"/>
      <c r="E1212" s="47"/>
      <c r="F1212" s="47"/>
      <c r="G1212" s="47"/>
      <c r="H1212" s="46"/>
      <c r="I1212" s="47"/>
      <c r="J1212" s="47"/>
      <c r="K1212" s="47"/>
      <c r="L1212" s="47"/>
      <c r="M1212" s="47"/>
      <c r="N1212" s="47"/>
      <c r="O1212" s="47"/>
      <c r="P1212" s="45" t="str">
        <f aca="false">IF($A1212="","",IF(COUNTIF(Accounts!$C$2:$C$201,$A1212)+COUNTIF('Service Principals'!$C$2:$C$201,$A1212)+COUNTIF('Managed Identities'!$C$2:$C$201,$A1212)&gt;0,"Yes","NOT IN INVENTORY"))</f>
        <v/>
      </c>
    </row>
    <row r="1213" customFormat="false" ht="15" hidden="false" customHeight="false" outlineLevel="0" collapsed="false">
      <c r="A1213" s="46"/>
      <c r="B1213" s="47"/>
      <c r="C1213" s="47"/>
      <c r="D1213" s="46"/>
      <c r="E1213" s="47"/>
      <c r="F1213" s="47"/>
      <c r="G1213" s="47"/>
      <c r="H1213" s="46"/>
      <c r="I1213" s="47"/>
      <c r="J1213" s="47"/>
      <c r="K1213" s="47"/>
      <c r="L1213" s="47"/>
      <c r="M1213" s="47"/>
      <c r="N1213" s="47"/>
      <c r="O1213" s="47"/>
      <c r="P1213" s="45" t="str">
        <f aca="false">IF($A1213="","",IF(COUNTIF(Accounts!$C$2:$C$201,$A1213)+COUNTIF('Service Principals'!$C$2:$C$201,$A1213)+COUNTIF('Managed Identities'!$C$2:$C$201,$A1213)&gt;0,"Yes","NOT IN INVENTORY"))</f>
        <v/>
      </c>
    </row>
    <row r="1214" customFormat="false" ht="15" hidden="false" customHeight="false" outlineLevel="0" collapsed="false">
      <c r="A1214" s="46"/>
      <c r="B1214" s="47"/>
      <c r="C1214" s="47"/>
      <c r="D1214" s="46"/>
      <c r="E1214" s="47"/>
      <c r="F1214" s="47"/>
      <c r="G1214" s="47"/>
      <c r="H1214" s="46"/>
      <c r="I1214" s="47"/>
      <c r="J1214" s="47"/>
      <c r="K1214" s="47"/>
      <c r="L1214" s="47"/>
      <c r="M1214" s="47"/>
      <c r="N1214" s="47"/>
      <c r="O1214" s="47"/>
      <c r="P1214" s="45" t="str">
        <f aca="false">IF($A1214="","",IF(COUNTIF(Accounts!$C$2:$C$201,$A1214)+COUNTIF('Service Principals'!$C$2:$C$201,$A1214)+COUNTIF('Managed Identities'!$C$2:$C$201,$A1214)&gt;0,"Yes","NOT IN INVENTORY"))</f>
        <v/>
      </c>
    </row>
    <row r="1215" customFormat="false" ht="15" hidden="false" customHeight="false" outlineLevel="0" collapsed="false">
      <c r="A1215" s="46"/>
      <c r="B1215" s="47"/>
      <c r="C1215" s="47"/>
      <c r="D1215" s="46"/>
      <c r="E1215" s="47"/>
      <c r="F1215" s="47"/>
      <c r="G1215" s="47"/>
      <c r="H1215" s="46"/>
      <c r="I1215" s="47"/>
      <c r="J1215" s="47"/>
      <c r="K1215" s="47"/>
      <c r="L1215" s="47"/>
      <c r="M1215" s="47"/>
      <c r="N1215" s="47"/>
      <c r="O1215" s="47"/>
      <c r="P1215" s="45" t="str">
        <f aca="false">IF($A1215="","",IF(COUNTIF(Accounts!$C$2:$C$201,$A1215)+COUNTIF('Service Principals'!$C$2:$C$201,$A1215)+COUNTIF('Managed Identities'!$C$2:$C$201,$A1215)&gt;0,"Yes","NOT IN INVENTORY"))</f>
        <v/>
      </c>
    </row>
    <row r="1216" customFormat="false" ht="15" hidden="false" customHeight="false" outlineLevel="0" collapsed="false">
      <c r="A1216" s="46"/>
      <c r="B1216" s="47"/>
      <c r="C1216" s="47"/>
      <c r="D1216" s="46"/>
      <c r="E1216" s="47"/>
      <c r="F1216" s="47"/>
      <c r="G1216" s="47"/>
      <c r="H1216" s="46"/>
      <c r="I1216" s="47"/>
      <c r="J1216" s="47"/>
      <c r="K1216" s="47"/>
      <c r="L1216" s="47"/>
      <c r="M1216" s="47"/>
      <c r="N1216" s="47"/>
      <c r="O1216" s="47"/>
      <c r="P1216" s="45" t="str">
        <f aca="false">IF($A1216="","",IF(COUNTIF(Accounts!$C$2:$C$201,$A1216)+COUNTIF('Service Principals'!$C$2:$C$201,$A1216)+COUNTIF('Managed Identities'!$C$2:$C$201,$A1216)&gt;0,"Yes","NOT IN INVENTORY"))</f>
        <v/>
      </c>
    </row>
    <row r="1217" customFormat="false" ht="15" hidden="false" customHeight="false" outlineLevel="0" collapsed="false">
      <c r="A1217" s="46"/>
      <c r="B1217" s="47"/>
      <c r="C1217" s="47"/>
      <c r="D1217" s="46"/>
      <c r="E1217" s="47"/>
      <c r="F1217" s="47"/>
      <c r="G1217" s="47"/>
      <c r="H1217" s="46"/>
      <c r="I1217" s="47"/>
      <c r="J1217" s="47"/>
      <c r="K1217" s="47"/>
      <c r="L1217" s="47"/>
      <c r="M1217" s="47"/>
      <c r="N1217" s="47"/>
      <c r="O1217" s="47"/>
      <c r="P1217" s="45" t="str">
        <f aca="false">IF($A1217="","",IF(COUNTIF(Accounts!$C$2:$C$201,$A1217)+COUNTIF('Service Principals'!$C$2:$C$201,$A1217)+COUNTIF('Managed Identities'!$C$2:$C$201,$A1217)&gt;0,"Yes","NOT IN INVENTORY"))</f>
        <v/>
      </c>
    </row>
    <row r="1218" customFormat="false" ht="15" hidden="false" customHeight="false" outlineLevel="0" collapsed="false">
      <c r="A1218" s="46"/>
      <c r="B1218" s="47"/>
      <c r="C1218" s="47"/>
      <c r="D1218" s="46"/>
      <c r="E1218" s="47"/>
      <c r="F1218" s="47"/>
      <c r="G1218" s="47"/>
      <c r="H1218" s="46"/>
      <c r="I1218" s="47"/>
      <c r="J1218" s="47"/>
      <c r="K1218" s="47"/>
      <c r="L1218" s="47"/>
      <c r="M1218" s="47"/>
      <c r="N1218" s="47"/>
      <c r="O1218" s="47"/>
      <c r="P1218" s="45" t="str">
        <f aca="false">IF($A1218="","",IF(COUNTIF(Accounts!$C$2:$C$201,$A1218)+COUNTIF('Service Principals'!$C$2:$C$201,$A1218)+COUNTIF('Managed Identities'!$C$2:$C$201,$A1218)&gt;0,"Yes","NOT IN INVENTORY"))</f>
        <v/>
      </c>
    </row>
    <row r="1219" customFormat="false" ht="15" hidden="false" customHeight="false" outlineLevel="0" collapsed="false">
      <c r="A1219" s="46"/>
      <c r="B1219" s="47"/>
      <c r="C1219" s="47"/>
      <c r="D1219" s="46"/>
      <c r="E1219" s="47"/>
      <c r="F1219" s="47"/>
      <c r="G1219" s="47"/>
      <c r="H1219" s="46"/>
      <c r="I1219" s="47"/>
      <c r="J1219" s="47"/>
      <c r="K1219" s="47"/>
      <c r="L1219" s="47"/>
      <c r="M1219" s="47"/>
      <c r="N1219" s="47"/>
      <c r="O1219" s="47"/>
      <c r="P1219" s="45" t="str">
        <f aca="false">IF($A1219="","",IF(COUNTIF(Accounts!$C$2:$C$201,$A1219)+COUNTIF('Service Principals'!$C$2:$C$201,$A1219)+COUNTIF('Managed Identities'!$C$2:$C$201,$A1219)&gt;0,"Yes","NOT IN INVENTORY"))</f>
        <v/>
      </c>
    </row>
    <row r="1220" customFormat="false" ht="15" hidden="false" customHeight="false" outlineLevel="0" collapsed="false">
      <c r="A1220" s="46"/>
      <c r="B1220" s="47"/>
      <c r="C1220" s="47"/>
      <c r="D1220" s="46"/>
      <c r="E1220" s="47"/>
      <c r="F1220" s="47"/>
      <c r="G1220" s="47"/>
      <c r="H1220" s="46"/>
      <c r="I1220" s="47"/>
      <c r="J1220" s="47"/>
      <c r="K1220" s="47"/>
      <c r="L1220" s="47"/>
      <c r="M1220" s="47"/>
      <c r="N1220" s="47"/>
      <c r="O1220" s="47"/>
      <c r="P1220" s="45" t="str">
        <f aca="false">IF($A1220="","",IF(COUNTIF(Accounts!$C$2:$C$201,$A1220)+COUNTIF('Service Principals'!$C$2:$C$201,$A1220)+COUNTIF('Managed Identities'!$C$2:$C$201,$A1220)&gt;0,"Yes","NOT IN INVENTORY"))</f>
        <v/>
      </c>
    </row>
    <row r="1221" customFormat="false" ht="15" hidden="false" customHeight="false" outlineLevel="0" collapsed="false">
      <c r="A1221" s="46"/>
      <c r="B1221" s="47"/>
      <c r="C1221" s="47"/>
      <c r="D1221" s="46"/>
      <c r="E1221" s="47"/>
      <c r="F1221" s="47"/>
      <c r="G1221" s="47"/>
      <c r="H1221" s="46"/>
      <c r="I1221" s="47"/>
      <c r="J1221" s="47"/>
      <c r="K1221" s="47"/>
      <c r="L1221" s="47"/>
      <c r="M1221" s="47"/>
      <c r="N1221" s="47"/>
      <c r="O1221" s="47"/>
      <c r="P1221" s="45" t="str">
        <f aca="false">IF($A1221="","",IF(COUNTIF(Accounts!$C$2:$C$201,$A1221)+COUNTIF('Service Principals'!$C$2:$C$201,$A1221)+COUNTIF('Managed Identities'!$C$2:$C$201,$A1221)&gt;0,"Yes","NOT IN INVENTORY"))</f>
        <v/>
      </c>
    </row>
    <row r="1222" customFormat="false" ht="15" hidden="false" customHeight="false" outlineLevel="0" collapsed="false">
      <c r="A1222" s="46"/>
      <c r="B1222" s="47"/>
      <c r="C1222" s="47"/>
      <c r="D1222" s="46"/>
      <c r="E1222" s="47"/>
      <c r="F1222" s="47"/>
      <c r="G1222" s="47"/>
      <c r="H1222" s="46"/>
      <c r="I1222" s="47"/>
      <c r="J1222" s="47"/>
      <c r="K1222" s="47"/>
      <c r="L1222" s="47"/>
      <c r="M1222" s="47"/>
      <c r="N1222" s="47"/>
      <c r="O1222" s="47"/>
      <c r="P1222" s="45" t="str">
        <f aca="false">IF($A1222="","",IF(COUNTIF(Accounts!$C$2:$C$201,$A1222)+COUNTIF('Service Principals'!$C$2:$C$201,$A1222)+COUNTIF('Managed Identities'!$C$2:$C$201,$A1222)&gt;0,"Yes","NOT IN INVENTORY"))</f>
        <v/>
      </c>
    </row>
    <row r="1223" customFormat="false" ht="15" hidden="false" customHeight="false" outlineLevel="0" collapsed="false">
      <c r="A1223" s="46"/>
      <c r="B1223" s="47"/>
      <c r="C1223" s="47"/>
      <c r="D1223" s="46"/>
      <c r="E1223" s="47"/>
      <c r="F1223" s="47"/>
      <c r="G1223" s="47"/>
      <c r="H1223" s="46"/>
      <c r="I1223" s="47"/>
      <c r="J1223" s="47"/>
      <c r="K1223" s="47"/>
      <c r="L1223" s="47"/>
      <c r="M1223" s="47"/>
      <c r="N1223" s="47"/>
      <c r="O1223" s="47"/>
      <c r="P1223" s="45" t="str">
        <f aca="false">IF($A1223="","",IF(COUNTIF(Accounts!$C$2:$C$201,$A1223)+COUNTIF('Service Principals'!$C$2:$C$201,$A1223)+COUNTIF('Managed Identities'!$C$2:$C$201,$A1223)&gt;0,"Yes","NOT IN INVENTORY"))</f>
        <v/>
      </c>
    </row>
    <row r="1224" customFormat="false" ht="15" hidden="false" customHeight="false" outlineLevel="0" collapsed="false">
      <c r="A1224" s="46"/>
      <c r="B1224" s="47"/>
      <c r="C1224" s="47"/>
      <c r="D1224" s="46"/>
      <c r="E1224" s="47"/>
      <c r="F1224" s="47"/>
      <c r="G1224" s="47"/>
      <c r="H1224" s="46"/>
      <c r="I1224" s="47"/>
      <c r="J1224" s="47"/>
      <c r="K1224" s="47"/>
      <c r="L1224" s="47"/>
      <c r="M1224" s="47"/>
      <c r="N1224" s="47"/>
      <c r="O1224" s="47"/>
      <c r="P1224" s="45" t="str">
        <f aca="false">IF($A1224="","",IF(COUNTIF(Accounts!$C$2:$C$201,$A1224)+COUNTIF('Service Principals'!$C$2:$C$201,$A1224)+COUNTIF('Managed Identities'!$C$2:$C$201,$A1224)&gt;0,"Yes","NOT IN INVENTORY"))</f>
        <v/>
      </c>
    </row>
    <row r="1225" customFormat="false" ht="15" hidden="false" customHeight="false" outlineLevel="0" collapsed="false">
      <c r="A1225" s="46"/>
      <c r="B1225" s="47"/>
      <c r="C1225" s="47"/>
      <c r="D1225" s="46"/>
      <c r="E1225" s="47"/>
      <c r="F1225" s="47"/>
      <c r="G1225" s="47"/>
      <c r="H1225" s="46"/>
      <c r="I1225" s="47"/>
      <c r="J1225" s="47"/>
      <c r="K1225" s="47"/>
      <c r="L1225" s="47"/>
      <c r="M1225" s="47"/>
      <c r="N1225" s="47"/>
      <c r="O1225" s="47"/>
      <c r="P1225" s="45" t="str">
        <f aca="false">IF($A1225="","",IF(COUNTIF(Accounts!$C$2:$C$201,$A1225)+COUNTIF('Service Principals'!$C$2:$C$201,$A1225)+COUNTIF('Managed Identities'!$C$2:$C$201,$A1225)&gt;0,"Yes","NOT IN INVENTORY"))</f>
        <v/>
      </c>
    </row>
    <row r="1226" customFormat="false" ht="15" hidden="false" customHeight="false" outlineLevel="0" collapsed="false">
      <c r="A1226" s="46"/>
      <c r="B1226" s="47"/>
      <c r="C1226" s="47"/>
      <c r="D1226" s="46"/>
      <c r="E1226" s="47"/>
      <c r="F1226" s="47"/>
      <c r="G1226" s="47"/>
      <c r="H1226" s="46"/>
      <c r="I1226" s="47"/>
      <c r="J1226" s="47"/>
      <c r="K1226" s="47"/>
      <c r="L1226" s="47"/>
      <c r="M1226" s="47"/>
      <c r="N1226" s="47"/>
      <c r="O1226" s="47"/>
      <c r="P1226" s="45" t="str">
        <f aca="false">IF($A1226="","",IF(COUNTIF(Accounts!$C$2:$C$201,$A1226)+COUNTIF('Service Principals'!$C$2:$C$201,$A1226)+COUNTIF('Managed Identities'!$C$2:$C$201,$A1226)&gt;0,"Yes","NOT IN INVENTORY"))</f>
        <v/>
      </c>
    </row>
    <row r="1227" customFormat="false" ht="15" hidden="false" customHeight="false" outlineLevel="0" collapsed="false">
      <c r="A1227" s="46"/>
      <c r="B1227" s="47"/>
      <c r="C1227" s="47"/>
      <c r="D1227" s="46"/>
      <c r="E1227" s="47"/>
      <c r="F1227" s="47"/>
      <c r="G1227" s="47"/>
      <c r="H1227" s="46"/>
      <c r="I1227" s="47"/>
      <c r="J1227" s="47"/>
      <c r="K1227" s="47"/>
      <c r="L1227" s="47"/>
      <c r="M1227" s="47"/>
      <c r="N1227" s="47"/>
      <c r="O1227" s="47"/>
      <c r="P1227" s="45" t="str">
        <f aca="false">IF($A1227="","",IF(COUNTIF(Accounts!$C$2:$C$201,$A1227)+COUNTIF('Service Principals'!$C$2:$C$201,$A1227)+COUNTIF('Managed Identities'!$C$2:$C$201,$A1227)&gt;0,"Yes","NOT IN INVENTORY"))</f>
        <v/>
      </c>
    </row>
    <row r="1228" customFormat="false" ht="15" hidden="false" customHeight="false" outlineLevel="0" collapsed="false">
      <c r="A1228" s="46"/>
      <c r="B1228" s="47"/>
      <c r="C1228" s="47"/>
      <c r="D1228" s="46"/>
      <c r="E1228" s="47"/>
      <c r="F1228" s="47"/>
      <c r="G1228" s="47"/>
      <c r="H1228" s="46"/>
      <c r="I1228" s="47"/>
      <c r="J1228" s="47"/>
      <c r="K1228" s="47"/>
      <c r="L1228" s="47"/>
      <c r="M1228" s="47"/>
      <c r="N1228" s="47"/>
      <c r="O1228" s="47"/>
      <c r="P1228" s="45" t="str">
        <f aca="false">IF($A1228="","",IF(COUNTIF(Accounts!$C$2:$C$201,$A1228)+COUNTIF('Service Principals'!$C$2:$C$201,$A1228)+COUNTIF('Managed Identities'!$C$2:$C$201,$A1228)&gt;0,"Yes","NOT IN INVENTORY"))</f>
        <v/>
      </c>
    </row>
    <row r="1229" customFormat="false" ht="15" hidden="false" customHeight="false" outlineLevel="0" collapsed="false">
      <c r="A1229" s="46"/>
      <c r="B1229" s="47"/>
      <c r="C1229" s="47"/>
      <c r="D1229" s="46"/>
      <c r="E1229" s="47"/>
      <c r="F1229" s="47"/>
      <c r="G1229" s="47"/>
      <c r="H1229" s="46"/>
      <c r="I1229" s="47"/>
      <c r="J1229" s="47"/>
      <c r="K1229" s="47"/>
      <c r="L1229" s="47"/>
      <c r="M1229" s="47"/>
      <c r="N1229" s="47"/>
      <c r="O1229" s="47"/>
      <c r="P1229" s="45" t="str">
        <f aca="false">IF($A1229="","",IF(COUNTIF(Accounts!$C$2:$C$201,$A1229)+COUNTIF('Service Principals'!$C$2:$C$201,$A1229)+COUNTIF('Managed Identities'!$C$2:$C$201,$A1229)&gt;0,"Yes","NOT IN INVENTORY"))</f>
        <v/>
      </c>
    </row>
    <row r="1230" customFormat="false" ht="15" hidden="false" customHeight="false" outlineLevel="0" collapsed="false">
      <c r="A1230" s="46"/>
      <c r="B1230" s="47"/>
      <c r="C1230" s="47"/>
      <c r="D1230" s="46"/>
      <c r="E1230" s="47"/>
      <c r="F1230" s="47"/>
      <c r="G1230" s="47"/>
      <c r="H1230" s="46"/>
      <c r="I1230" s="47"/>
      <c r="J1230" s="47"/>
      <c r="K1230" s="47"/>
      <c r="L1230" s="47"/>
      <c r="M1230" s="47"/>
      <c r="N1230" s="47"/>
      <c r="O1230" s="47"/>
      <c r="P1230" s="45" t="str">
        <f aca="false">IF($A1230="","",IF(COUNTIF(Accounts!$C$2:$C$201,$A1230)+COUNTIF('Service Principals'!$C$2:$C$201,$A1230)+COUNTIF('Managed Identities'!$C$2:$C$201,$A1230)&gt;0,"Yes","NOT IN INVENTORY"))</f>
        <v/>
      </c>
    </row>
    <row r="1231" customFormat="false" ht="15" hidden="false" customHeight="false" outlineLevel="0" collapsed="false">
      <c r="A1231" s="46"/>
      <c r="B1231" s="47"/>
      <c r="C1231" s="47"/>
      <c r="D1231" s="46"/>
      <c r="E1231" s="47"/>
      <c r="F1231" s="47"/>
      <c r="G1231" s="47"/>
      <c r="H1231" s="46"/>
      <c r="I1231" s="47"/>
      <c r="J1231" s="47"/>
      <c r="K1231" s="47"/>
      <c r="L1231" s="47"/>
      <c r="M1231" s="47"/>
      <c r="N1231" s="47"/>
      <c r="O1231" s="47"/>
      <c r="P1231" s="45" t="str">
        <f aca="false">IF($A1231="","",IF(COUNTIF(Accounts!$C$2:$C$201,$A1231)+COUNTIF('Service Principals'!$C$2:$C$201,$A1231)+COUNTIF('Managed Identities'!$C$2:$C$201,$A1231)&gt;0,"Yes","NOT IN INVENTORY"))</f>
        <v/>
      </c>
    </row>
    <row r="1232" customFormat="false" ht="15" hidden="false" customHeight="false" outlineLevel="0" collapsed="false">
      <c r="A1232" s="46"/>
      <c r="B1232" s="47"/>
      <c r="C1232" s="47"/>
      <c r="D1232" s="46"/>
      <c r="E1232" s="47"/>
      <c r="F1232" s="47"/>
      <c r="G1232" s="47"/>
      <c r="H1232" s="46"/>
      <c r="I1232" s="47"/>
      <c r="J1232" s="47"/>
      <c r="K1232" s="47"/>
      <c r="L1232" s="47"/>
      <c r="M1232" s="47"/>
      <c r="N1232" s="47"/>
      <c r="O1232" s="47"/>
      <c r="P1232" s="45" t="str">
        <f aca="false">IF($A1232="","",IF(COUNTIF(Accounts!$C$2:$C$201,$A1232)+COUNTIF('Service Principals'!$C$2:$C$201,$A1232)+COUNTIF('Managed Identities'!$C$2:$C$201,$A1232)&gt;0,"Yes","NOT IN INVENTORY"))</f>
        <v/>
      </c>
    </row>
    <row r="1233" customFormat="false" ht="15" hidden="false" customHeight="false" outlineLevel="0" collapsed="false">
      <c r="A1233" s="46"/>
      <c r="B1233" s="47"/>
      <c r="C1233" s="47"/>
      <c r="D1233" s="46"/>
      <c r="E1233" s="47"/>
      <c r="F1233" s="47"/>
      <c r="G1233" s="47"/>
      <c r="H1233" s="46"/>
      <c r="I1233" s="47"/>
      <c r="J1233" s="47"/>
      <c r="K1233" s="47"/>
      <c r="L1233" s="47"/>
      <c r="M1233" s="47"/>
      <c r="N1233" s="47"/>
      <c r="O1233" s="47"/>
      <c r="P1233" s="45" t="str">
        <f aca="false">IF($A1233="","",IF(COUNTIF(Accounts!$C$2:$C$201,$A1233)+COUNTIF('Service Principals'!$C$2:$C$201,$A1233)+COUNTIF('Managed Identities'!$C$2:$C$201,$A1233)&gt;0,"Yes","NOT IN INVENTORY"))</f>
        <v/>
      </c>
    </row>
    <row r="1234" customFormat="false" ht="15" hidden="false" customHeight="false" outlineLevel="0" collapsed="false">
      <c r="A1234" s="46"/>
      <c r="B1234" s="47"/>
      <c r="C1234" s="47"/>
      <c r="D1234" s="46"/>
      <c r="E1234" s="47"/>
      <c r="F1234" s="47"/>
      <c r="G1234" s="47"/>
      <c r="H1234" s="46"/>
      <c r="I1234" s="47"/>
      <c r="J1234" s="47"/>
      <c r="K1234" s="47"/>
      <c r="L1234" s="47"/>
      <c r="M1234" s="47"/>
      <c r="N1234" s="47"/>
      <c r="O1234" s="47"/>
      <c r="P1234" s="45" t="str">
        <f aca="false">IF($A1234="","",IF(COUNTIF(Accounts!$C$2:$C$201,$A1234)+COUNTIF('Service Principals'!$C$2:$C$201,$A1234)+COUNTIF('Managed Identities'!$C$2:$C$201,$A1234)&gt;0,"Yes","NOT IN INVENTORY"))</f>
        <v/>
      </c>
    </row>
    <row r="1235" customFormat="false" ht="15" hidden="false" customHeight="false" outlineLevel="0" collapsed="false">
      <c r="A1235" s="46"/>
      <c r="B1235" s="47"/>
      <c r="C1235" s="47"/>
      <c r="D1235" s="46"/>
      <c r="E1235" s="47"/>
      <c r="F1235" s="47"/>
      <c r="G1235" s="47"/>
      <c r="H1235" s="46"/>
      <c r="I1235" s="47"/>
      <c r="J1235" s="47"/>
      <c r="K1235" s="47"/>
      <c r="L1235" s="47"/>
      <c r="M1235" s="47"/>
      <c r="N1235" s="47"/>
      <c r="O1235" s="47"/>
      <c r="P1235" s="45" t="str">
        <f aca="false">IF($A1235="","",IF(COUNTIF(Accounts!$C$2:$C$201,$A1235)+COUNTIF('Service Principals'!$C$2:$C$201,$A1235)+COUNTIF('Managed Identities'!$C$2:$C$201,$A1235)&gt;0,"Yes","NOT IN INVENTORY"))</f>
        <v/>
      </c>
    </row>
    <row r="1236" customFormat="false" ht="15" hidden="false" customHeight="false" outlineLevel="0" collapsed="false">
      <c r="A1236" s="46"/>
      <c r="B1236" s="47"/>
      <c r="C1236" s="47"/>
      <c r="D1236" s="46"/>
      <c r="E1236" s="47"/>
      <c r="F1236" s="47"/>
      <c r="G1236" s="47"/>
      <c r="H1236" s="46"/>
      <c r="I1236" s="47"/>
      <c r="J1236" s="47"/>
      <c r="K1236" s="47"/>
      <c r="L1236" s="47"/>
      <c r="M1236" s="47"/>
      <c r="N1236" s="47"/>
      <c r="O1236" s="47"/>
      <c r="P1236" s="45" t="str">
        <f aca="false">IF($A1236="","",IF(COUNTIF(Accounts!$C$2:$C$201,$A1236)+COUNTIF('Service Principals'!$C$2:$C$201,$A1236)+COUNTIF('Managed Identities'!$C$2:$C$201,$A1236)&gt;0,"Yes","NOT IN INVENTORY"))</f>
        <v/>
      </c>
    </row>
    <row r="1237" customFormat="false" ht="15" hidden="false" customHeight="false" outlineLevel="0" collapsed="false">
      <c r="A1237" s="46"/>
      <c r="B1237" s="47"/>
      <c r="C1237" s="47"/>
      <c r="D1237" s="46"/>
      <c r="E1237" s="47"/>
      <c r="F1237" s="47"/>
      <c r="G1237" s="47"/>
      <c r="H1237" s="46"/>
      <c r="I1237" s="47"/>
      <c r="J1237" s="47"/>
      <c r="K1237" s="47"/>
      <c r="L1237" s="47"/>
      <c r="M1237" s="47"/>
      <c r="N1237" s="47"/>
      <c r="O1237" s="47"/>
      <c r="P1237" s="45" t="str">
        <f aca="false">IF($A1237="","",IF(COUNTIF(Accounts!$C$2:$C$201,$A1237)+COUNTIF('Service Principals'!$C$2:$C$201,$A1237)+COUNTIF('Managed Identities'!$C$2:$C$201,$A1237)&gt;0,"Yes","NOT IN INVENTORY"))</f>
        <v/>
      </c>
    </row>
    <row r="1238" customFormat="false" ht="15" hidden="false" customHeight="false" outlineLevel="0" collapsed="false">
      <c r="A1238" s="46"/>
      <c r="B1238" s="47"/>
      <c r="C1238" s="47"/>
      <c r="D1238" s="46"/>
      <c r="E1238" s="47"/>
      <c r="F1238" s="47"/>
      <c r="G1238" s="47"/>
      <c r="H1238" s="46"/>
      <c r="I1238" s="47"/>
      <c r="J1238" s="47"/>
      <c r="K1238" s="47"/>
      <c r="L1238" s="47"/>
      <c r="M1238" s="47"/>
      <c r="N1238" s="47"/>
      <c r="O1238" s="47"/>
      <c r="P1238" s="45" t="str">
        <f aca="false">IF($A1238="","",IF(COUNTIF(Accounts!$C$2:$C$201,$A1238)+COUNTIF('Service Principals'!$C$2:$C$201,$A1238)+COUNTIF('Managed Identities'!$C$2:$C$201,$A1238)&gt;0,"Yes","NOT IN INVENTORY"))</f>
        <v/>
      </c>
    </row>
    <row r="1239" customFormat="false" ht="15" hidden="false" customHeight="false" outlineLevel="0" collapsed="false">
      <c r="A1239" s="46"/>
      <c r="B1239" s="47"/>
      <c r="C1239" s="47"/>
      <c r="D1239" s="46"/>
      <c r="E1239" s="47"/>
      <c r="F1239" s="47"/>
      <c r="G1239" s="47"/>
      <c r="H1239" s="46"/>
      <c r="I1239" s="47"/>
      <c r="J1239" s="47"/>
      <c r="K1239" s="47"/>
      <c r="L1239" s="47"/>
      <c r="M1239" s="47"/>
      <c r="N1239" s="47"/>
      <c r="O1239" s="47"/>
      <c r="P1239" s="45" t="str">
        <f aca="false">IF($A1239="","",IF(COUNTIF(Accounts!$C$2:$C$201,$A1239)+COUNTIF('Service Principals'!$C$2:$C$201,$A1239)+COUNTIF('Managed Identities'!$C$2:$C$201,$A1239)&gt;0,"Yes","NOT IN INVENTORY"))</f>
        <v/>
      </c>
    </row>
    <row r="1240" customFormat="false" ht="15" hidden="false" customHeight="false" outlineLevel="0" collapsed="false">
      <c r="A1240" s="46"/>
      <c r="B1240" s="47"/>
      <c r="C1240" s="47"/>
      <c r="D1240" s="46"/>
      <c r="E1240" s="47"/>
      <c r="F1240" s="47"/>
      <c r="G1240" s="47"/>
      <c r="H1240" s="46"/>
      <c r="I1240" s="47"/>
      <c r="J1240" s="47"/>
      <c r="K1240" s="47"/>
      <c r="L1240" s="47"/>
      <c r="M1240" s="47"/>
      <c r="N1240" s="47"/>
      <c r="O1240" s="47"/>
      <c r="P1240" s="45" t="str">
        <f aca="false">IF($A1240="","",IF(COUNTIF(Accounts!$C$2:$C$201,$A1240)+COUNTIF('Service Principals'!$C$2:$C$201,$A1240)+COUNTIF('Managed Identities'!$C$2:$C$201,$A1240)&gt;0,"Yes","NOT IN INVENTORY"))</f>
        <v/>
      </c>
    </row>
    <row r="1241" customFormat="false" ht="15" hidden="false" customHeight="false" outlineLevel="0" collapsed="false">
      <c r="A1241" s="46"/>
      <c r="B1241" s="47"/>
      <c r="C1241" s="47"/>
      <c r="D1241" s="46"/>
      <c r="E1241" s="47"/>
      <c r="F1241" s="47"/>
      <c r="G1241" s="47"/>
      <c r="H1241" s="46"/>
      <c r="I1241" s="47"/>
      <c r="J1241" s="47"/>
      <c r="K1241" s="47"/>
      <c r="L1241" s="47"/>
      <c r="M1241" s="47"/>
      <c r="N1241" s="47"/>
      <c r="O1241" s="47"/>
      <c r="P1241" s="45" t="str">
        <f aca="false">IF($A1241="","",IF(COUNTIF(Accounts!$C$2:$C$201,$A1241)+COUNTIF('Service Principals'!$C$2:$C$201,$A1241)+COUNTIF('Managed Identities'!$C$2:$C$201,$A1241)&gt;0,"Yes","NOT IN INVENTORY"))</f>
        <v/>
      </c>
    </row>
    <row r="1242" customFormat="false" ht="15" hidden="false" customHeight="false" outlineLevel="0" collapsed="false">
      <c r="A1242" s="46"/>
      <c r="B1242" s="47"/>
      <c r="C1242" s="47"/>
      <c r="D1242" s="46"/>
      <c r="E1242" s="47"/>
      <c r="F1242" s="47"/>
      <c r="G1242" s="47"/>
      <c r="H1242" s="46"/>
      <c r="I1242" s="47"/>
      <c r="J1242" s="47"/>
      <c r="K1242" s="47"/>
      <c r="L1242" s="47"/>
      <c r="M1242" s="47"/>
      <c r="N1242" s="47"/>
      <c r="O1242" s="47"/>
      <c r="P1242" s="45" t="str">
        <f aca="false">IF($A1242="","",IF(COUNTIF(Accounts!$C$2:$C$201,$A1242)+COUNTIF('Service Principals'!$C$2:$C$201,$A1242)+COUNTIF('Managed Identities'!$C$2:$C$201,$A1242)&gt;0,"Yes","NOT IN INVENTORY"))</f>
        <v/>
      </c>
    </row>
    <row r="1243" customFormat="false" ht="15" hidden="false" customHeight="false" outlineLevel="0" collapsed="false">
      <c r="A1243" s="46"/>
      <c r="B1243" s="47"/>
      <c r="C1243" s="47"/>
      <c r="D1243" s="46"/>
      <c r="E1243" s="47"/>
      <c r="F1243" s="47"/>
      <c r="G1243" s="47"/>
      <c r="H1243" s="46"/>
      <c r="I1243" s="47"/>
      <c r="J1243" s="47"/>
      <c r="K1243" s="47"/>
      <c r="L1243" s="47"/>
      <c r="M1243" s="47"/>
      <c r="N1243" s="47"/>
      <c r="O1243" s="47"/>
      <c r="P1243" s="45" t="str">
        <f aca="false">IF($A1243="","",IF(COUNTIF(Accounts!$C$2:$C$201,$A1243)+COUNTIF('Service Principals'!$C$2:$C$201,$A1243)+COUNTIF('Managed Identities'!$C$2:$C$201,$A1243)&gt;0,"Yes","NOT IN INVENTORY"))</f>
        <v/>
      </c>
    </row>
    <row r="1244" customFormat="false" ht="15" hidden="false" customHeight="false" outlineLevel="0" collapsed="false">
      <c r="A1244" s="46"/>
      <c r="B1244" s="47"/>
      <c r="C1244" s="47"/>
      <c r="D1244" s="46"/>
      <c r="E1244" s="47"/>
      <c r="F1244" s="47"/>
      <c r="G1244" s="47"/>
      <c r="H1244" s="46"/>
      <c r="I1244" s="47"/>
      <c r="J1244" s="47"/>
      <c r="K1244" s="47"/>
      <c r="L1244" s="47"/>
      <c r="M1244" s="47"/>
      <c r="N1244" s="47"/>
      <c r="O1244" s="47"/>
      <c r="P1244" s="45" t="str">
        <f aca="false">IF($A1244="","",IF(COUNTIF(Accounts!$C$2:$C$201,$A1244)+COUNTIF('Service Principals'!$C$2:$C$201,$A1244)+COUNTIF('Managed Identities'!$C$2:$C$201,$A1244)&gt;0,"Yes","NOT IN INVENTORY"))</f>
        <v/>
      </c>
    </row>
    <row r="1245" customFormat="false" ht="15" hidden="false" customHeight="false" outlineLevel="0" collapsed="false">
      <c r="A1245" s="46"/>
      <c r="B1245" s="47"/>
      <c r="C1245" s="47"/>
      <c r="D1245" s="46"/>
      <c r="E1245" s="47"/>
      <c r="F1245" s="47"/>
      <c r="G1245" s="47"/>
      <c r="H1245" s="46"/>
      <c r="I1245" s="47"/>
      <c r="J1245" s="47"/>
      <c r="K1245" s="47"/>
      <c r="L1245" s="47"/>
      <c r="M1245" s="47"/>
      <c r="N1245" s="47"/>
      <c r="O1245" s="47"/>
      <c r="P1245" s="45" t="str">
        <f aca="false">IF($A1245="","",IF(COUNTIF(Accounts!$C$2:$C$201,$A1245)+COUNTIF('Service Principals'!$C$2:$C$201,$A1245)+COUNTIF('Managed Identities'!$C$2:$C$201,$A1245)&gt;0,"Yes","NOT IN INVENTORY"))</f>
        <v/>
      </c>
    </row>
    <row r="1246" customFormat="false" ht="15" hidden="false" customHeight="false" outlineLevel="0" collapsed="false">
      <c r="A1246" s="46"/>
      <c r="B1246" s="47"/>
      <c r="C1246" s="47"/>
      <c r="D1246" s="46"/>
      <c r="E1246" s="47"/>
      <c r="F1246" s="47"/>
      <c r="G1246" s="47"/>
      <c r="H1246" s="46"/>
      <c r="I1246" s="47"/>
      <c r="J1246" s="47"/>
      <c r="K1246" s="47"/>
      <c r="L1246" s="47"/>
      <c r="M1246" s="47"/>
      <c r="N1246" s="47"/>
      <c r="O1246" s="47"/>
      <c r="P1246" s="45" t="str">
        <f aca="false">IF($A1246="","",IF(COUNTIF(Accounts!$C$2:$C$201,$A1246)+COUNTIF('Service Principals'!$C$2:$C$201,$A1246)+COUNTIF('Managed Identities'!$C$2:$C$201,$A1246)&gt;0,"Yes","NOT IN INVENTORY"))</f>
        <v/>
      </c>
    </row>
    <row r="1247" customFormat="false" ht="15" hidden="false" customHeight="false" outlineLevel="0" collapsed="false">
      <c r="A1247" s="46"/>
      <c r="B1247" s="47"/>
      <c r="C1247" s="47"/>
      <c r="D1247" s="46"/>
      <c r="E1247" s="47"/>
      <c r="F1247" s="47"/>
      <c r="G1247" s="47"/>
      <c r="H1247" s="46"/>
      <c r="I1247" s="47"/>
      <c r="J1247" s="47"/>
      <c r="K1247" s="47"/>
      <c r="L1247" s="47"/>
      <c r="M1247" s="47"/>
      <c r="N1247" s="47"/>
      <c r="O1247" s="47"/>
      <c r="P1247" s="45" t="str">
        <f aca="false">IF($A1247="","",IF(COUNTIF(Accounts!$C$2:$C$201,$A1247)+COUNTIF('Service Principals'!$C$2:$C$201,$A1247)+COUNTIF('Managed Identities'!$C$2:$C$201,$A1247)&gt;0,"Yes","NOT IN INVENTORY"))</f>
        <v/>
      </c>
    </row>
    <row r="1248" customFormat="false" ht="15" hidden="false" customHeight="false" outlineLevel="0" collapsed="false">
      <c r="A1248" s="46"/>
      <c r="B1248" s="47"/>
      <c r="C1248" s="47"/>
      <c r="D1248" s="46"/>
      <c r="E1248" s="47"/>
      <c r="F1248" s="47"/>
      <c r="G1248" s="47"/>
      <c r="H1248" s="46"/>
      <c r="I1248" s="47"/>
      <c r="J1248" s="47"/>
      <c r="K1248" s="47"/>
      <c r="L1248" s="47"/>
      <c r="M1248" s="47"/>
      <c r="N1248" s="47"/>
      <c r="O1248" s="47"/>
      <c r="P1248" s="45" t="str">
        <f aca="false">IF($A1248="","",IF(COUNTIF(Accounts!$C$2:$C$201,$A1248)+COUNTIF('Service Principals'!$C$2:$C$201,$A1248)+COUNTIF('Managed Identities'!$C$2:$C$201,$A1248)&gt;0,"Yes","NOT IN INVENTORY"))</f>
        <v/>
      </c>
    </row>
    <row r="1249" customFormat="false" ht="15" hidden="false" customHeight="false" outlineLevel="0" collapsed="false">
      <c r="A1249" s="46"/>
      <c r="B1249" s="47"/>
      <c r="C1249" s="47"/>
      <c r="D1249" s="46"/>
      <c r="E1249" s="47"/>
      <c r="F1249" s="47"/>
      <c r="G1249" s="47"/>
      <c r="H1249" s="46"/>
      <c r="I1249" s="47"/>
      <c r="J1249" s="47"/>
      <c r="K1249" s="47"/>
      <c r="L1249" s="47"/>
      <c r="M1249" s="47"/>
      <c r="N1249" s="47"/>
      <c r="O1249" s="47"/>
      <c r="P1249" s="45" t="str">
        <f aca="false">IF($A1249="","",IF(COUNTIF(Accounts!$C$2:$C$201,$A1249)+COUNTIF('Service Principals'!$C$2:$C$201,$A1249)+COUNTIF('Managed Identities'!$C$2:$C$201,$A1249)&gt;0,"Yes","NOT IN INVENTORY"))</f>
        <v/>
      </c>
    </row>
    <row r="1250" customFormat="false" ht="15" hidden="false" customHeight="false" outlineLevel="0" collapsed="false">
      <c r="A1250" s="46"/>
      <c r="B1250" s="47"/>
      <c r="C1250" s="47"/>
      <c r="D1250" s="46"/>
      <c r="E1250" s="47"/>
      <c r="F1250" s="47"/>
      <c r="G1250" s="47"/>
      <c r="H1250" s="46"/>
      <c r="I1250" s="47"/>
      <c r="J1250" s="47"/>
      <c r="K1250" s="47"/>
      <c r="L1250" s="47"/>
      <c r="M1250" s="47"/>
      <c r="N1250" s="47"/>
      <c r="O1250" s="47"/>
      <c r="P1250" s="45" t="str">
        <f aca="false">IF($A1250="","",IF(COUNTIF(Accounts!$C$2:$C$201,$A1250)+COUNTIF('Service Principals'!$C$2:$C$201,$A1250)+COUNTIF('Managed Identities'!$C$2:$C$201,$A1250)&gt;0,"Yes","NOT IN INVENTORY"))</f>
        <v/>
      </c>
    </row>
    <row r="1251" customFormat="false" ht="15" hidden="false" customHeight="false" outlineLevel="0" collapsed="false">
      <c r="A1251" s="46"/>
      <c r="B1251" s="47"/>
      <c r="C1251" s="47"/>
      <c r="D1251" s="46"/>
      <c r="E1251" s="47"/>
      <c r="F1251" s="47"/>
      <c r="G1251" s="47"/>
      <c r="H1251" s="46"/>
      <c r="I1251" s="47"/>
      <c r="J1251" s="47"/>
      <c r="K1251" s="47"/>
      <c r="L1251" s="47"/>
      <c r="M1251" s="47"/>
      <c r="N1251" s="47"/>
      <c r="O1251" s="47"/>
      <c r="P1251" s="45" t="str">
        <f aca="false">IF($A1251="","",IF(COUNTIF(Accounts!$C$2:$C$201,$A1251)+COUNTIF('Service Principals'!$C$2:$C$201,$A1251)+COUNTIF('Managed Identities'!$C$2:$C$201,$A1251)&gt;0,"Yes","NOT IN INVENTORY"))</f>
        <v/>
      </c>
    </row>
    <row r="1252" customFormat="false" ht="15" hidden="false" customHeight="false" outlineLevel="0" collapsed="false">
      <c r="A1252" s="46"/>
      <c r="B1252" s="47"/>
      <c r="C1252" s="47"/>
      <c r="D1252" s="46"/>
      <c r="E1252" s="47"/>
      <c r="F1252" s="47"/>
      <c r="G1252" s="47"/>
      <c r="H1252" s="46"/>
      <c r="I1252" s="47"/>
      <c r="J1252" s="47"/>
      <c r="K1252" s="47"/>
      <c r="L1252" s="47"/>
      <c r="M1252" s="47"/>
      <c r="N1252" s="47"/>
      <c r="O1252" s="47"/>
      <c r="P1252" s="45" t="str">
        <f aca="false">IF($A1252="","",IF(COUNTIF(Accounts!$C$2:$C$201,$A1252)+COUNTIF('Service Principals'!$C$2:$C$201,$A1252)+COUNTIF('Managed Identities'!$C$2:$C$201,$A1252)&gt;0,"Yes","NOT IN INVENTORY"))</f>
        <v/>
      </c>
    </row>
    <row r="1253" customFormat="false" ht="15" hidden="false" customHeight="false" outlineLevel="0" collapsed="false">
      <c r="A1253" s="46"/>
      <c r="B1253" s="47"/>
      <c r="C1253" s="47"/>
      <c r="D1253" s="46"/>
      <c r="E1253" s="47"/>
      <c r="F1253" s="47"/>
      <c r="G1253" s="47"/>
      <c r="H1253" s="46"/>
      <c r="I1253" s="47"/>
      <c r="J1253" s="47"/>
      <c r="K1253" s="47"/>
      <c r="L1253" s="47"/>
      <c r="M1253" s="47"/>
      <c r="N1253" s="47"/>
      <c r="O1253" s="47"/>
      <c r="P1253" s="45" t="str">
        <f aca="false">IF($A1253="","",IF(COUNTIF(Accounts!$C$2:$C$201,$A1253)+COUNTIF('Service Principals'!$C$2:$C$201,$A1253)+COUNTIF('Managed Identities'!$C$2:$C$201,$A1253)&gt;0,"Yes","NOT IN INVENTORY"))</f>
        <v/>
      </c>
    </row>
    <row r="1254" customFormat="false" ht="15" hidden="false" customHeight="false" outlineLevel="0" collapsed="false">
      <c r="A1254" s="46"/>
      <c r="B1254" s="47"/>
      <c r="C1254" s="47"/>
      <c r="D1254" s="46"/>
      <c r="E1254" s="47"/>
      <c r="F1254" s="47"/>
      <c r="G1254" s="47"/>
      <c r="H1254" s="46"/>
      <c r="I1254" s="47"/>
      <c r="J1254" s="47"/>
      <c r="K1254" s="47"/>
      <c r="L1254" s="47"/>
      <c r="M1254" s="47"/>
      <c r="N1254" s="47"/>
      <c r="O1254" s="47"/>
      <c r="P1254" s="45" t="str">
        <f aca="false">IF($A1254="","",IF(COUNTIF(Accounts!$C$2:$C$201,$A1254)+COUNTIF('Service Principals'!$C$2:$C$201,$A1254)+COUNTIF('Managed Identities'!$C$2:$C$201,$A1254)&gt;0,"Yes","NOT IN INVENTORY"))</f>
        <v/>
      </c>
    </row>
    <row r="1255" customFormat="false" ht="15" hidden="false" customHeight="false" outlineLevel="0" collapsed="false">
      <c r="A1255" s="46"/>
      <c r="B1255" s="47"/>
      <c r="C1255" s="47"/>
      <c r="D1255" s="46"/>
      <c r="E1255" s="47"/>
      <c r="F1255" s="47"/>
      <c r="G1255" s="47"/>
      <c r="H1255" s="46"/>
      <c r="I1255" s="47"/>
      <c r="J1255" s="47"/>
      <c r="K1255" s="47"/>
      <c r="L1255" s="47"/>
      <c r="M1255" s="47"/>
      <c r="N1255" s="47"/>
      <c r="O1255" s="47"/>
      <c r="P1255" s="45" t="str">
        <f aca="false">IF($A1255="","",IF(COUNTIF(Accounts!$C$2:$C$201,$A1255)+COUNTIF('Service Principals'!$C$2:$C$201,$A1255)+COUNTIF('Managed Identities'!$C$2:$C$201,$A1255)&gt;0,"Yes","NOT IN INVENTORY"))</f>
        <v/>
      </c>
    </row>
    <row r="1256" customFormat="false" ht="15" hidden="false" customHeight="false" outlineLevel="0" collapsed="false">
      <c r="A1256" s="46"/>
      <c r="B1256" s="47"/>
      <c r="C1256" s="47"/>
      <c r="D1256" s="46"/>
      <c r="E1256" s="47"/>
      <c r="F1256" s="47"/>
      <c r="G1256" s="47"/>
      <c r="H1256" s="46"/>
      <c r="I1256" s="47"/>
      <c r="J1256" s="47"/>
      <c r="K1256" s="47"/>
      <c r="L1256" s="47"/>
      <c r="M1256" s="47"/>
      <c r="N1256" s="47"/>
      <c r="O1256" s="47"/>
      <c r="P1256" s="45" t="str">
        <f aca="false">IF($A1256="","",IF(COUNTIF(Accounts!$C$2:$C$201,$A1256)+COUNTIF('Service Principals'!$C$2:$C$201,$A1256)+COUNTIF('Managed Identities'!$C$2:$C$201,$A1256)&gt;0,"Yes","NOT IN INVENTORY"))</f>
        <v/>
      </c>
    </row>
    <row r="1257" customFormat="false" ht="15" hidden="false" customHeight="false" outlineLevel="0" collapsed="false">
      <c r="A1257" s="46"/>
      <c r="B1257" s="47"/>
      <c r="C1257" s="47"/>
      <c r="D1257" s="46"/>
      <c r="E1257" s="47"/>
      <c r="F1257" s="47"/>
      <c r="G1257" s="47"/>
      <c r="H1257" s="46"/>
      <c r="I1257" s="47"/>
      <c r="J1257" s="47"/>
      <c r="K1257" s="47"/>
      <c r="L1257" s="47"/>
      <c r="M1257" s="47"/>
      <c r="N1257" s="47"/>
      <c r="O1257" s="47"/>
      <c r="P1257" s="45" t="str">
        <f aca="false">IF($A1257="","",IF(COUNTIF(Accounts!$C$2:$C$201,$A1257)+COUNTIF('Service Principals'!$C$2:$C$201,$A1257)+COUNTIF('Managed Identities'!$C$2:$C$201,$A1257)&gt;0,"Yes","NOT IN INVENTORY"))</f>
        <v/>
      </c>
    </row>
    <row r="1258" customFormat="false" ht="15" hidden="false" customHeight="false" outlineLevel="0" collapsed="false">
      <c r="A1258" s="46"/>
      <c r="B1258" s="47"/>
      <c r="C1258" s="47"/>
      <c r="D1258" s="46"/>
      <c r="E1258" s="47"/>
      <c r="F1258" s="47"/>
      <c r="G1258" s="47"/>
      <c r="H1258" s="46"/>
      <c r="I1258" s="47"/>
      <c r="J1258" s="47"/>
      <c r="K1258" s="47"/>
      <c r="L1258" s="47"/>
      <c r="M1258" s="47"/>
      <c r="N1258" s="47"/>
      <c r="O1258" s="47"/>
      <c r="P1258" s="45" t="str">
        <f aca="false">IF($A1258="","",IF(COUNTIF(Accounts!$C$2:$C$201,$A1258)+COUNTIF('Service Principals'!$C$2:$C$201,$A1258)+COUNTIF('Managed Identities'!$C$2:$C$201,$A1258)&gt;0,"Yes","NOT IN INVENTORY"))</f>
        <v/>
      </c>
    </row>
    <row r="1259" customFormat="false" ht="15" hidden="false" customHeight="false" outlineLevel="0" collapsed="false">
      <c r="A1259" s="46"/>
      <c r="B1259" s="47"/>
      <c r="C1259" s="47"/>
      <c r="D1259" s="46"/>
      <c r="E1259" s="47"/>
      <c r="F1259" s="47"/>
      <c r="G1259" s="47"/>
      <c r="H1259" s="46"/>
      <c r="I1259" s="47"/>
      <c r="J1259" s="47"/>
      <c r="K1259" s="47"/>
      <c r="L1259" s="47"/>
      <c r="M1259" s="47"/>
      <c r="N1259" s="47"/>
      <c r="O1259" s="47"/>
      <c r="P1259" s="45" t="str">
        <f aca="false">IF($A1259="","",IF(COUNTIF(Accounts!$C$2:$C$201,$A1259)+COUNTIF('Service Principals'!$C$2:$C$201,$A1259)+COUNTIF('Managed Identities'!$C$2:$C$201,$A1259)&gt;0,"Yes","NOT IN INVENTORY"))</f>
        <v/>
      </c>
    </row>
    <row r="1260" customFormat="false" ht="15" hidden="false" customHeight="false" outlineLevel="0" collapsed="false">
      <c r="A1260" s="46"/>
      <c r="B1260" s="47"/>
      <c r="C1260" s="47"/>
      <c r="D1260" s="46"/>
      <c r="E1260" s="47"/>
      <c r="F1260" s="47"/>
      <c r="G1260" s="47"/>
      <c r="H1260" s="46"/>
      <c r="I1260" s="47"/>
      <c r="J1260" s="47"/>
      <c r="K1260" s="47"/>
      <c r="L1260" s="47"/>
      <c r="M1260" s="47"/>
      <c r="N1260" s="47"/>
      <c r="O1260" s="47"/>
      <c r="P1260" s="45" t="str">
        <f aca="false">IF($A1260="","",IF(COUNTIF(Accounts!$C$2:$C$201,$A1260)+COUNTIF('Service Principals'!$C$2:$C$201,$A1260)+COUNTIF('Managed Identities'!$C$2:$C$201,$A1260)&gt;0,"Yes","NOT IN INVENTORY"))</f>
        <v/>
      </c>
    </row>
    <row r="1261" customFormat="false" ht="15" hidden="false" customHeight="false" outlineLevel="0" collapsed="false">
      <c r="A1261" s="46"/>
      <c r="B1261" s="47"/>
      <c r="C1261" s="47"/>
      <c r="D1261" s="46"/>
      <c r="E1261" s="47"/>
      <c r="F1261" s="47"/>
      <c r="G1261" s="47"/>
      <c r="H1261" s="46"/>
      <c r="I1261" s="47"/>
      <c r="J1261" s="47"/>
      <c r="K1261" s="47"/>
      <c r="L1261" s="47"/>
      <c r="M1261" s="47"/>
      <c r="N1261" s="47"/>
      <c r="O1261" s="47"/>
      <c r="P1261" s="45" t="str">
        <f aca="false">IF($A1261="","",IF(COUNTIF(Accounts!$C$2:$C$201,$A1261)+COUNTIF('Service Principals'!$C$2:$C$201,$A1261)+COUNTIF('Managed Identities'!$C$2:$C$201,$A1261)&gt;0,"Yes","NOT IN INVENTORY"))</f>
        <v/>
      </c>
    </row>
    <row r="1262" customFormat="false" ht="15" hidden="false" customHeight="false" outlineLevel="0" collapsed="false">
      <c r="A1262" s="46"/>
      <c r="B1262" s="47"/>
      <c r="C1262" s="47"/>
      <c r="D1262" s="46"/>
      <c r="E1262" s="47"/>
      <c r="F1262" s="47"/>
      <c r="G1262" s="47"/>
      <c r="H1262" s="46"/>
      <c r="I1262" s="47"/>
      <c r="J1262" s="47"/>
      <c r="K1262" s="47"/>
      <c r="L1262" s="47"/>
      <c r="M1262" s="47"/>
      <c r="N1262" s="47"/>
      <c r="O1262" s="47"/>
      <c r="P1262" s="45" t="str">
        <f aca="false">IF($A1262="","",IF(COUNTIF(Accounts!$C$2:$C$201,$A1262)+COUNTIF('Service Principals'!$C$2:$C$201,$A1262)+COUNTIF('Managed Identities'!$C$2:$C$201,$A1262)&gt;0,"Yes","NOT IN INVENTORY"))</f>
        <v/>
      </c>
    </row>
    <row r="1263" customFormat="false" ht="15" hidden="false" customHeight="false" outlineLevel="0" collapsed="false">
      <c r="A1263" s="46"/>
      <c r="B1263" s="47"/>
      <c r="C1263" s="47"/>
      <c r="D1263" s="46"/>
      <c r="E1263" s="47"/>
      <c r="F1263" s="47"/>
      <c r="G1263" s="47"/>
      <c r="H1263" s="46"/>
      <c r="I1263" s="47"/>
      <c r="J1263" s="47"/>
      <c r="K1263" s="47"/>
      <c r="L1263" s="47"/>
      <c r="M1263" s="47"/>
      <c r="N1263" s="47"/>
      <c r="O1263" s="47"/>
      <c r="P1263" s="45" t="str">
        <f aca="false">IF($A1263="","",IF(COUNTIF(Accounts!$C$2:$C$201,$A1263)+COUNTIF('Service Principals'!$C$2:$C$201,$A1263)+COUNTIF('Managed Identities'!$C$2:$C$201,$A1263)&gt;0,"Yes","NOT IN INVENTORY"))</f>
        <v/>
      </c>
    </row>
    <row r="1264" customFormat="false" ht="15" hidden="false" customHeight="false" outlineLevel="0" collapsed="false">
      <c r="A1264" s="46"/>
      <c r="B1264" s="47"/>
      <c r="C1264" s="47"/>
      <c r="D1264" s="46"/>
      <c r="E1264" s="47"/>
      <c r="F1264" s="47"/>
      <c r="G1264" s="47"/>
      <c r="H1264" s="46"/>
      <c r="I1264" s="47"/>
      <c r="J1264" s="47"/>
      <c r="K1264" s="47"/>
      <c r="L1264" s="47"/>
      <c r="M1264" s="47"/>
      <c r="N1264" s="47"/>
      <c r="O1264" s="47"/>
      <c r="P1264" s="45" t="str">
        <f aca="false">IF($A1264="","",IF(COUNTIF(Accounts!$C$2:$C$201,$A1264)+COUNTIF('Service Principals'!$C$2:$C$201,$A1264)+COUNTIF('Managed Identities'!$C$2:$C$201,$A1264)&gt;0,"Yes","NOT IN INVENTORY"))</f>
        <v/>
      </c>
    </row>
    <row r="1265" customFormat="false" ht="15" hidden="false" customHeight="false" outlineLevel="0" collapsed="false">
      <c r="A1265" s="46"/>
      <c r="B1265" s="47"/>
      <c r="C1265" s="47"/>
      <c r="D1265" s="46"/>
      <c r="E1265" s="47"/>
      <c r="F1265" s="47"/>
      <c r="G1265" s="47"/>
      <c r="H1265" s="46"/>
      <c r="I1265" s="47"/>
      <c r="J1265" s="47"/>
      <c r="K1265" s="47"/>
      <c r="L1265" s="47"/>
      <c r="M1265" s="47"/>
      <c r="N1265" s="47"/>
      <c r="O1265" s="47"/>
      <c r="P1265" s="45" t="str">
        <f aca="false">IF($A1265="","",IF(COUNTIF(Accounts!$C$2:$C$201,$A1265)+COUNTIF('Service Principals'!$C$2:$C$201,$A1265)+COUNTIF('Managed Identities'!$C$2:$C$201,$A1265)&gt;0,"Yes","NOT IN INVENTORY"))</f>
        <v/>
      </c>
    </row>
    <row r="1266" customFormat="false" ht="15" hidden="false" customHeight="false" outlineLevel="0" collapsed="false">
      <c r="A1266" s="46"/>
      <c r="B1266" s="47"/>
      <c r="C1266" s="47"/>
      <c r="D1266" s="46"/>
      <c r="E1266" s="47"/>
      <c r="F1266" s="47"/>
      <c r="G1266" s="47"/>
      <c r="H1266" s="46"/>
      <c r="I1266" s="47"/>
      <c r="J1266" s="47"/>
      <c r="K1266" s="47"/>
      <c r="L1266" s="47"/>
      <c r="M1266" s="47"/>
      <c r="N1266" s="47"/>
      <c r="O1266" s="47"/>
      <c r="P1266" s="45" t="str">
        <f aca="false">IF($A1266="","",IF(COUNTIF(Accounts!$C$2:$C$201,$A1266)+COUNTIF('Service Principals'!$C$2:$C$201,$A1266)+COUNTIF('Managed Identities'!$C$2:$C$201,$A1266)&gt;0,"Yes","NOT IN INVENTORY"))</f>
        <v/>
      </c>
    </row>
    <row r="1267" customFormat="false" ht="15" hidden="false" customHeight="false" outlineLevel="0" collapsed="false">
      <c r="A1267" s="46"/>
      <c r="B1267" s="47"/>
      <c r="C1267" s="47"/>
      <c r="D1267" s="46"/>
      <c r="E1267" s="47"/>
      <c r="F1267" s="47"/>
      <c r="G1267" s="47"/>
      <c r="H1267" s="46"/>
      <c r="I1267" s="47"/>
      <c r="J1267" s="47"/>
      <c r="K1267" s="47"/>
      <c r="L1267" s="47"/>
      <c r="M1267" s="47"/>
      <c r="N1267" s="47"/>
      <c r="O1267" s="47"/>
      <c r="P1267" s="45" t="str">
        <f aca="false">IF($A1267="","",IF(COUNTIF(Accounts!$C$2:$C$201,$A1267)+COUNTIF('Service Principals'!$C$2:$C$201,$A1267)+COUNTIF('Managed Identities'!$C$2:$C$201,$A1267)&gt;0,"Yes","NOT IN INVENTORY"))</f>
        <v/>
      </c>
    </row>
    <row r="1268" customFormat="false" ht="15" hidden="false" customHeight="false" outlineLevel="0" collapsed="false">
      <c r="A1268" s="46"/>
      <c r="B1268" s="47"/>
      <c r="C1268" s="47"/>
      <c r="D1268" s="46"/>
      <c r="E1268" s="47"/>
      <c r="F1268" s="47"/>
      <c r="G1268" s="47"/>
      <c r="H1268" s="46"/>
      <c r="I1268" s="47"/>
      <c r="J1268" s="47"/>
      <c r="K1268" s="47"/>
      <c r="L1268" s="47"/>
      <c r="M1268" s="47"/>
      <c r="N1268" s="47"/>
      <c r="O1268" s="47"/>
      <c r="P1268" s="45" t="str">
        <f aca="false">IF($A1268="","",IF(COUNTIF(Accounts!$C$2:$C$201,$A1268)+COUNTIF('Service Principals'!$C$2:$C$201,$A1268)+COUNTIF('Managed Identities'!$C$2:$C$201,$A1268)&gt;0,"Yes","NOT IN INVENTORY"))</f>
        <v/>
      </c>
    </row>
    <row r="1269" customFormat="false" ht="15" hidden="false" customHeight="false" outlineLevel="0" collapsed="false">
      <c r="A1269" s="46"/>
      <c r="B1269" s="47"/>
      <c r="C1269" s="47"/>
      <c r="D1269" s="46"/>
      <c r="E1269" s="47"/>
      <c r="F1269" s="47"/>
      <c r="G1269" s="47"/>
      <c r="H1269" s="46"/>
      <c r="I1269" s="47"/>
      <c r="J1269" s="47"/>
      <c r="K1269" s="47"/>
      <c r="L1269" s="47"/>
      <c r="M1269" s="47"/>
      <c r="N1269" s="47"/>
      <c r="O1269" s="47"/>
      <c r="P1269" s="45" t="str">
        <f aca="false">IF($A1269="","",IF(COUNTIF(Accounts!$C$2:$C$201,$A1269)+COUNTIF('Service Principals'!$C$2:$C$201,$A1269)+COUNTIF('Managed Identities'!$C$2:$C$201,$A1269)&gt;0,"Yes","NOT IN INVENTORY"))</f>
        <v/>
      </c>
    </row>
    <row r="1270" customFormat="false" ht="15" hidden="false" customHeight="false" outlineLevel="0" collapsed="false">
      <c r="A1270" s="46"/>
      <c r="B1270" s="47"/>
      <c r="C1270" s="47"/>
      <c r="D1270" s="46"/>
      <c r="E1270" s="47"/>
      <c r="F1270" s="47"/>
      <c r="G1270" s="47"/>
      <c r="H1270" s="46"/>
      <c r="I1270" s="47"/>
      <c r="J1270" s="47"/>
      <c r="K1270" s="47"/>
      <c r="L1270" s="47"/>
      <c r="M1270" s="47"/>
      <c r="N1270" s="47"/>
      <c r="O1270" s="47"/>
      <c r="P1270" s="45" t="str">
        <f aca="false">IF($A1270="","",IF(COUNTIF(Accounts!$C$2:$C$201,$A1270)+COUNTIF('Service Principals'!$C$2:$C$201,$A1270)+COUNTIF('Managed Identities'!$C$2:$C$201,$A1270)&gt;0,"Yes","NOT IN INVENTORY"))</f>
        <v/>
      </c>
    </row>
    <row r="1271" customFormat="false" ht="15" hidden="false" customHeight="false" outlineLevel="0" collapsed="false">
      <c r="A1271" s="46"/>
      <c r="B1271" s="47"/>
      <c r="C1271" s="47"/>
      <c r="D1271" s="46"/>
      <c r="E1271" s="47"/>
      <c r="F1271" s="47"/>
      <c r="G1271" s="47"/>
      <c r="H1271" s="46"/>
      <c r="I1271" s="47"/>
      <c r="J1271" s="47"/>
      <c r="K1271" s="47"/>
      <c r="L1271" s="47"/>
      <c r="M1271" s="47"/>
      <c r="N1271" s="47"/>
      <c r="O1271" s="47"/>
      <c r="P1271" s="45" t="str">
        <f aca="false">IF($A1271="","",IF(COUNTIF(Accounts!$C$2:$C$201,$A1271)+COUNTIF('Service Principals'!$C$2:$C$201,$A1271)+COUNTIF('Managed Identities'!$C$2:$C$201,$A1271)&gt;0,"Yes","NOT IN INVENTORY"))</f>
        <v/>
      </c>
    </row>
    <row r="1272" customFormat="false" ht="15" hidden="false" customHeight="false" outlineLevel="0" collapsed="false">
      <c r="A1272" s="46"/>
      <c r="B1272" s="47"/>
      <c r="C1272" s="47"/>
      <c r="D1272" s="46"/>
      <c r="E1272" s="47"/>
      <c r="F1272" s="47"/>
      <c r="G1272" s="47"/>
      <c r="H1272" s="46"/>
      <c r="I1272" s="47"/>
      <c r="J1272" s="47"/>
      <c r="K1272" s="47"/>
      <c r="L1272" s="47"/>
      <c r="M1272" s="47"/>
      <c r="N1272" s="47"/>
      <c r="O1272" s="47"/>
      <c r="P1272" s="45" t="str">
        <f aca="false">IF($A1272="","",IF(COUNTIF(Accounts!$C$2:$C$201,$A1272)+COUNTIF('Service Principals'!$C$2:$C$201,$A1272)+COUNTIF('Managed Identities'!$C$2:$C$201,$A1272)&gt;0,"Yes","NOT IN INVENTORY"))</f>
        <v/>
      </c>
    </row>
    <row r="1273" customFormat="false" ht="15" hidden="false" customHeight="false" outlineLevel="0" collapsed="false">
      <c r="A1273" s="46"/>
      <c r="B1273" s="47"/>
      <c r="C1273" s="47"/>
      <c r="D1273" s="46"/>
      <c r="E1273" s="47"/>
      <c r="F1273" s="47"/>
      <c r="G1273" s="47"/>
      <c r="H1273" s="46"/>
      <c r="I1273" s="47"/>
      <c r="J1273" s="47"/>
      <c r="K1273" s="47"/>
      <c r="L1273" s="47"/>
      <c r="M1273" s="47"/>
      <c r="N1273" s="47"/>
      <c r="O1273" s="47"/>
      <c r="P1273" s="45" t="str">
        <f aca="false">IF($A1273="","",IF(COUNTIF(Accounts!$C$2:$C$201,$A1273)+COUNTIF('Service Principals'!$C$2:$C$201,$A1273)+COUNTIF('Managed Identities'!$C$2:$C$201,$A1273)&gt;0,"Yes","NOT IN INVENTORY"))</f>
        <v/>
      </c>
    </row>
    <row r="1274" customFormat="false" ht="15" hidden="false" customHeight="false" outlineLevel="0" collapsed="false">
      <c r="A1274" s="46"/>
      <c r="B1274" s="47"/>
      <c r="C1274" s="47"/>
      <c r="D1274" s="46"/>
      <c r="E1274" s="47"/>
      <c r="F1274" s="47"/>
      <c r="G1274" s="47"/>
      <c r="H1274" s="46"/>
      <c r="I1274" s="47"/>
      <c r="J1274" s="47"/>
      <c r="K1274" s="47"/>
      <c r="L1274" s="47"/>
      <c r="M1274" s="47"/>
      <c r="N1274" s="47"/>
      <c r="O1274" s="47"/>
      <c r="P1274" s="45" t="str">
        <f aca="false">IF($A1274="","",IF(COUNTIF(Accounts!$C$2:$C$201,$A1274)+COUNTIF('Service Principals'!$C$2:$C$201,$A1274)+COUNTIF('Managed Identities'!$C$2:$C$201,$A1274)&gt;0,"Yes","NOT IN INVENTORY"))</f>
        <v/>
      </c>
    </row>
    <row r="1275" customFormat="false" ht="15" hidden="false" customHeight="false" outlineLevel="0" collapsed="false">
      <c r="A1275" s="46"/>
      <c r="B1275" s="47"/>
      <c r="C1275" s="47"/>
      <c r="D1275" s="46"/>
      <c r="E1275" s="47"/>
      <c r="F1275" s="47"/>
      <c r="G1275" s="47"/>
      <c r="H1275" s="46"/>
      <c r="I1275" s="47"/>
      <c r="J1275" s="47"/>
      <c r="K1275" s="47"/>
      <c r="L1275" s="47"/>
      <c r="M1275" s="47"/>
      <c r="N1275" s="47"/>
      <c r="O1275" s="47"/>
      <c r="P1275" s="45" t="str">
        <f aca="false">IF($A1275="","",IF(COUNTIF(Accounts!$C$2:$C$201,$A1275)+COUNTIF('Service Principals'!$C$2:$C$201,$A1275)+COUNTIF('Managed Identities'!$C$2:$C$201,$A1275)&gt;0,"Yes","NOT IN INVENTORY"))</f>
        <v/>
      </c>
    </row>
    <row r="1276" customFormat="false" ht="15" hidden="false" customHeight="false" outlineLevel="0" collapsed="false">
      <c r="A1276" s="46"/>
      <c r="B1276" s="47"/>
      <c r="C1276" s="47"/>
      <c r="D1276" s="46"/>
      <c r="E1276" s="47"/>
      <c r="F1276" s="47"/>
      <c r="G1276" s="47"/>
      <c r="H1276" s="46"/>
      <c r="I1276" s="47"/>
      <c r="J1276" s="47"/>
      <c r="K1276" s="47"/>
      <c r="L1276" s="47"/>
      <c r="M1276" s="47"/>
      <c r="N1276" s="47"/>
      <c r="O1276" s="47"/>
      <c r="P1276" s="45" t="str">
        <f aca="false">IF($A1276="","",IF(COUNTIF(Accounts!$C$2:$C$201,$A1276)+COUNTIF('Service Principals'!$C$2:$C$201,$A1276)+COUNTIF('Managed Identities'!$C$2:$C$201,$A1276)&gt;0,"Yes","NOT IN INVENTORY"))</f>
        <v/>
      </c>
    </row>
    <row r="1277" customFormat="false" ht="15" hidden="false" customHeight="false" outlineLevel="0" collapsed="false">
      <c r="A1277" s="46"/>
      <c r="B1277" s="47"/>
      <c r="C1277" s="47"/>
      <c r="D1277" s="46"/>
      <c r="E1277" s="47"/>
      <c r="F1277" s="47"/>
      <c r="G1277" s="47"/>
      <c r="H1277" s="46"/>
      <c r="I1277" s="47"/>
      <c r="J1277" s="47"/>
      <c r="K1277" s="47"/>
      <c r="L1277" s="47"/>
      <c r="M1277" s="47"/>
      <c r="N1277" s="47"/>
      <c r="O1277" s="47"/>
      <c r="P1277" s="45" t="str">
        <f aca="false">IF($A1277="","",IF(COUNTIF(Accounts!$C$2:$C$201,$A1277)+COUNTIF('Service Principals'!$C$2:$C$201,$A1277)+COUNTIF('Managed Identities'!$C$2:$C$201,$A1277)&gt;0,"Yes","NOT IN INVENTORY"))</f>
        <v/>
      </c>
    </row>
    <row r="1278" customFormat="false" ht="15" hidden="false" customHeight="false" outlineLevel="0" collapsed="false">
      <c r="A1278" s="46"/>
      <c r="B1278" s="47"/>
      <c r="C1278" s="47"/>
      <c r="D1278" s="46"/>
      <c r="E1278" s="47"/>
      <c r="F1278" s="47"/>
      <c r="G1278" s="47"/>
      <c r="H1278" s="46"/>
      <c r="I1278" s="47"/>
      <c r="J1278" s="47"/>
      <c r="K1278" s="47"/>
      <c r="L1278" s="47"/>
      <c r="M1278" s="47"/>
      <c r="N1278" s="47"/>
      <c r="O1278" s="47"/>
      <c r="P1278" s="45" t="str">
        <f aca="false">IF($A1278="","",IF(COUNTIF(Accounts!$C$2:$C$201,$A1278)+COUNTIF('Service Principals'!$C$2:$C$201,$A1278)+COUNTIF('Managed Identities'!$C$2:$C$201,$A1278)&gt;0,"Yes","NOT IN INVENTORY"))</f>
        <v/>
      </c>
    </row>
    <row r="1279" customFormat="false" ht="15" hidden="false" customHeight="false" outlineLevel="0" collapsed="false">
      <c r="A1279" s="46"/>
      <c r="B1279" s="47"/>
      <c r="C1279" s="47"/>
      <c r="D1279" s="46"/>
      <c r="E1279" s="47"/>
      <c r="F1279" s="47"/>
      <c r="G1279" s="47"/>
      <c r="H1279" s="46"/>
      <c r="I1279" s="47"/>
      <c r="J1279" s="47"/>
      <c r="K1279" s="47"/>
      <c r="L1279" s="47"/>
      <c r="M1279" s="47"/>
      <c r="N1279" s="47"/>
      <c r="O1279" s="47"/>
      <c r="P1279" s="45" t="str">
        <f aca="false">IF($A1279="","",IF(COUNTIF(Accounts!$C$2:$C$201,$A1279)+COUNTIF('Service Principals'!$C$2:$C$201,$A1279)+COUNTIF('Managed Identities'!$C$2:$C$201,$A1279)&gt;0,"Yes","NOT IN INVENTORY"))</f>
        <v/>
      </c>
    </row>
    <row r="1280" customFormat="false" ht="15" hidden="false" customHeight="false" outlineLevel="0" collapsed="false">
      <c r="A1280" s="46"/>
      <c r="B1280" s="47"/>
      <c r="C1280" s="47"/>
      <c r="D1280" s="46"/>
      <c r="E1280" s="47"/>
      <c r="F1280" s="47"/>
      <c r="G1280" s="47"/>
      <c r="H1280" s="46"/>
      <c r="I1280" s="47"/>
      <c r="J1280" s="47"/>
      <c r="K1280" s="47"/>
      <c r="L1280" s="47"/>
      <c r="M1280" s="47"/>
      <c r="N1280" s="47"/>
      <c r="O1280" s="47"/>
      <c r="P1280" s="45" t="str">
        <f aca="false">IF($A1280="","",IF(COUNTIF(Accounts!$C$2:$C$201,$A1280)+COUNTIF('Service Principals'!$C$2:$C$201,$A1280)+COUNTIF('Managed Identities'!$C$2:$C$201,$A1280)&gt;0,"Yes","NOT IN INVENTORY"))</f>
        <v/>
      </c>
    </row>
    <row r="1281" customFormat="false" ht="15" hidden="false" customHeight="false" outlineLevel="0" collapsed="false">
      <c r="A1281" s="46"/>
      <c r="B1281" s="47"/>
      <c r="C1281" s="47"/>
      <c r="D1281" s="46"/>
      <c r="E1281" s="47"/>
      <c r="F1281" s="47"/>
      <c r="G1281" s="47"/>
      <c r="H1281" s="46"/>
      <c r="I1281" s="47"/>
      <c r="J1281" s="47"/>
      <c r="K1281" s="47"/>
      <c r="L1281" s="47"/>
      <c r="M1281" s="47"/>
      <c r="N1281" s="47"/>
      <c r="O1281" s="47"/>
      <c r="P1281" s="45" t="str">
        <f aca="false">IF($A1281="","",IF(COUNTIF(Accounts!$C$2:$C$201,$A1281)+COUNTIF('Service Principals'!$C$2:$C$201,$A1281)+COUNTIF('Managed Identities'!$C$2:$C$201,$A1281)&gt;0,"Yes","NOT IN INVENTORY"))</f>
        <v/>
      </c>
    </row>
    <row r="1282" customFormat="false" ht="15" hidden="false" customHeight="false" outlineLevel="0" collapsed="false">
      <c r="A1282" s="46"/>
      <c r="B1282" s="47"/>
      <c r="C1282" s="47"/>
      <c r="D1282" s="46"/>
      <c r="E1282" s="47"/>
      <c r="F1282" s="47"/>
      <c r="G1282" s="47"/>
      <c r="H1282" s="46"/>
      <c r="I1282" s="47"/>
      <c r="J1282" s="47"/>
      <c r="K1282" s="47"/>
      <c r="L1282" s="47"/>
      <c r="M1282" s="47"/>
      <c r="N1282" s="47"/>
      <c r="O1282" s="47"/>
      <c r="P1282" s="45" t="str">
        <f aca="false">IF($A1282="","",IF(COUNTIF(Accounts!$C$2:$C$201,$A1282)+COUNTIF('Service Principals'!$C$2:$C$201,$A1282)+COUNTIF('Managed Identities'!$C$2:$C$201,$A1282)&gt;0,"Yes","NOT IN INVENTORY"))</f>
        <v/>
      </c>
    </row>
    <row r="1283" customFormat="false" ht="15" hidden="false" customHeight="false" outlineLevel="0" collapsed="false">
      <c r="A1283" s="46"/>
      <c r="B1283" s="47"/>
      <c r="C1283" s="47"/>
      <c r="D1283" s="46"/>
      <c r="E1283" s="47"/>
      <c r="F1283" s="47"/>
      <c r="G1283" s="47"/>
      <c r="H1283" s="46"/>
      <c r="I1283" s="47"/>
      <c r="J1283" s="47"/>
      <c r="K1283" s="47"/>
      <c r="L1283" s="47"/>
      <c r="M1283" s="47"/>
      <c r="N1283" s="47"/>
      <c r="O1283" s="47"/>
      <c r="P1283" s="45" t="str">
        <f aca="false">IF($A1283="","",IF(COUNTIF(Accounts!$C$2:$C$201,$A1283)+COUNTIF('Service Principals'!$C$2:$C$201,$A1283)+COUNTIF('Managed Identities'!$C$2:$C$201,$A1283)&gt;0,"Yes","NOT IN INVENTORY"))</f>
        <v/>
      </c>
    </row>
    <row r="1284" customFormat="false" ht="15" hidden="false" customHeight="false" outlineLevel="0" collapsed="false">
      <c r="A1284" s="46"/>
      <c r="B1284" s="47"/>
      <c r="C1284" s="47"/>
      <c r="D1284" s="46"/>
      <c r="E1284" s="47"/>
      <c r="F1284" s="47"/>
      <c r="G1284" s="47"/>
      <c r="H1284" s="46"/>
      <c r="I1284" s="47"/>
      <c r="J1284" s="47"/>
      <c r="K1284" s="47"/>
      <c r="L1284" s="47"/>
      <c r="M1284" s="47"/>
      <c r="N1284" s="47"/>
      <c r="O1284" s="47"/>
      <c r="P1284" s="45" t="str">
        <f aca="false">IF($A1284="","",IF(COUNTIF(Accounts!$C$2:$C$201,$A1284)+COUNTIF('Service Principals'!$C$2:$C$201,$A1284)+COUNTIF('Managed Identities'!$C$2:$C$201,$A1284)&gt;0,"Yes","NOT IN INVENTORY"))</f>
        <v/>
      </c>
    </row>
    <row r="1285" customFormat="false" ht="15" hidden="false" customHeight="false" outlineLevel="0" collapsed="false">
      <c r="A1285" s="46"/>
      <c r="B1285" s="47"/>
      <c r="C1285" s="47"/>
      <c r="D1285" s="46"/>
      <c r="E1285" s="47"/>
      <c r="F1285" s="47"/>
      <c r="G1285" s="47"/>
      <c r="H1285" s="46"/>
      <c r="I1285" s="47"/>
      <c r="J1285" s="47"/>
      <c r="K1285" s="47"/>
      <c r="L1285" s="47"/>
      <c r="M1285" s="47"/>
      <c r="N1285" s="47"/>
      <c r="O1285" s="47"/>
      <c r="P1285" s="45" t="str">
        <f aca="false">IF($A1285="","",IF(COUNTIF(Accounts!$C$2:$C$201,$A1285)+COUNTIF('Service Principals'!$C$2:$C$201,$A1285)+COUNTIF('Managed Identities'!$C$2:$C$201,$A1285)&gt;0,"Yes","NOT IN INVENTORY"))</f>
        <v/>
      </c>
    </row>
    <row r="1286" customFormat="false" ht="15" hidden="false" customHeight="false" outlineLevel="0" collapsed="false">
      <c r="A1286" s="46"/>
      <c r="B1286" s="47"/>
      <c r="C1286" s="47"/>
      <c r="D1286" s="46"/>
      <c r="E1286" s="47"/>
      <c r="F1286" s="47"/>
      <c r="G1286" s="47"/>
      <c r="H1286" s="46"/>
      <c r="I1286" s="47"/>
      <c r="J1286" s="47"/>
      <c r="K1286" s="47"/>
      <c r="L1286" s="47"/>
      <c r="M1286" s="47"/>
      <c r="N1286" s="47"/>
      <c r="O1286" s="47"/>
      <c r="P1286" s="45" t="str">
        <f aca="false">IF($A1286="","",IF(COUNTIF(Accounts!$C$2:$C$201,$A1286)+COUNTIF('Service Principals'!$C$2:$C$201,$A1286)+COUNTIF('Managed Identities'!$C$2:$C$201,$A1286)&gt;0,"Yes","NOT IN INVENTORY"))</f>
        <v/>
      </c>
    </row>
    <row r="1287" customFormat="false" ht="15" hidden="false" customHeight="false" outlineLevel="0" collapsed="false">
      <c r="A1287" s="46"/>
      <c r="B1287" s="47"/>
      <c r="C1287" s="47"/>
      <c r="D1287" s="46"/>
      <c r="E1287" s="47"/>
      <c r="F1287" s="47"/>
      <c r="G1287" s="47"/>
      <c r="H1287" s="46"/>
      <c r="I1287" s="47"/>
      <c r="J1287" s="47"/>
      <c r="K1287" s="47"/>
      <c r="L1287" s="47"/>
      <c r="M1287" s="47"/>
      <c r="N1287" s="47"/>
      <c r="O1287" s="47"/>
      <c r="P1287" s="45" t="str">
        <f aca="false">IF($A1287="","",IF(COUNTIF(Accounts!$C$2:$C$201,$A1287)+COUNTIF('Service Principals'!$C$2:$C$201,$A1287)+COUNTIF('Managed Identities'!$C$2:$C$201,$A1287)&gt;0,"Yes","NOT IN INVENTORY"))</f>
        <v/>
      </c>
    </row>
    <row r="1288" customFormat="false" ht="15" hidden="false" customHeight="false" outlineLevel="0" collapsed="false">
      <c r="A1288" s="46"/>
      <c r="B1288" s="47"/>
      <c r="C1288" s="47"/>
      <c r="D1288" s="46"/>
      <c r="E1288" s="47"/>
      <c r="F1288" s="47"/>
      <c r="G1288" s="47"/>
      <c r="H1288" s="46"/>
      <c r="I1288" s="47"/>
      <c r="J1288" s="47"/>
      <c r="K1288" s="47"/>
      <c r="L1288" s="47"/>
      <c r="M1288" s="47"/>
      <c r="N1288" s="47"/>
      <c r="O1288" s="47"/>
      <c r="P1288" s="45" t="str">
        <f aca="false">IF($A1288="","",IF(COUNTIF(Accounts!$C$2:$C$201,$A1288)+COUNTIF('Service Principals'!$C$2:$C$201,$A1288)+COUNTIF('Managed Identities'!$C$2:$C$201,$A1288)&gt;0,"Yes","NOT IN INVENTORY"))</f>
        <v/>
      </c>
    </row>
    <row r="1289" customFormat="false" ht="15" hidden="false" customHeight="false" outlineLevel="0" collapsed="false">
      <c r="A1289" s="46"/>
      <c r="B1289" s="47"/>
      <c r="C1289" s="47"/>
      <c r="D1289" s="46"/>
      <c r="E1289" s="47"/>
      <c r="F1289" s="47"/>
      <c r="G1289" s="47"/>
      <c r="H1289" s="46"/>
      <c r="I1289" s="47"/>
      <c r="J1289" s="47"/>
      <c r="K1289" s="47"/>
      <c r="L1289" s="47"/>
      <c r="M1289" s="47"/>
      <c r="N1289" s="47"/>
      <c r="O1289" s="47"/>
      <c r="P1289" s="45" t="str">
        <f aca="false">IF($A1289="","",IF(COUNTIF(Accounts!$C$2:$C$201,$A1289)+COUNTIF('Service Principals'!$C$2:$C$201,$A1289)+COUNTIF('Managed Identities'!$C$2:$C$201,$A1289)&gt;0,"Yes","NOT IN INVENTORY"))</f>
        <v/>
      </c>
    </row>
    <row r="1290" customFormat="false" ht="15" hidden="false" customHeight="false" outlineLevel="0" collapsed="false">
      <c r="A1290" s="46"/>
      <c r="B1290" s="47"/>
      <c r="C1290" s="47"/>
      <c r="D1290" s="46"/>
      <c r="E1290" s="47"/>
      <c r="F1290" s="47"/>
      <c r="G1290" s="47"/>
      <c r="H1290" s="46"/>
      <c r="I1290" s="47"/>
      <c r="J1290" s="47"/>
      <c r="K1290" s="47"/>
      <c r="L1290" s="47"/>
      <c r="M1290" s="47"/>
      <c r="N1290" s="47"/>
      <c r="O1290" s="47"/>
      <c r="P1290" s="45" t="str">
        <f aca="false">IF($A1290="","",IF(COUNTIF(Accounts!$C$2:$C$201,$A1290)+COUNTIF('Service Principals'!$C$2:$C$201,$A1290)+COUNTIF('Managed Identities'!$C$2:$C$201,$A1290)&gt;0,"Yes","NOT IN INVENTORY"))</f>
        <v/>
      </c>
    </row>
    <row r="1291" customFormat="false" ht="15" hidden="false" customHeight="false" outlineLevel="0" collapsed="false">
      <c r="A1291" s="46"/>
      <c r="B1291" s="47"/>
      <c r="C1291" s="47"/>
      <c r="D1291" s="46"/>
      <c r="E1291" s="47"/>
      <c r="F1291" s="47"/>
      <c r="G1291" s="47"/>
      <c r="H1291" s="46"/>
      <c r="I1291" s="47"/>
      <c r="J1291" s="47"/>
      <c r="K1291" s="47"/>
      <c r="L1291" s="47"/>
      <c r="M1291" s="47"/>
      <c r="N1291" s="47"/>
      <c r="O1291" s="47"/>
      <c r="P1291" s="45" t="str">
        <f aca="false">IF($A1291="","",IF(COUNTIF(Accounts!$C$2:$C$201,$A1291)+COUNTIF('Service Principals'!$C$2:$C$201,$A1291)+COUNTIF('Managed Identities'!$C$2:$C$201,$A1291)&gt;0,"Yes","NOT IN INVENTORY"))</f>
        <v/>
      </c>
    </row>
    <row r="1292" customFormat="false" ht="15" hidden="false" customHeight="false" outlineLevel="0" collapsed="false">
      <c r="A1292" s="46"/>
      <c r="B1292" s="47"/>
      <c r="C1292" s="47"/>
      <c r="D1292" s="46"/>
      <c r="E1292" s="47"/>
      <c r="F1292" s="47"/>
      <c r="G1292" s="47"/>
      <c r="H1292" s="46"/>
      <c r="I1292" s="47"/>
      <c r="J1292" s="47"/>
      <c r="K1292" s="47"/>
      <c r="L1292" s="47"/>
      <c r="M1292" s="47"/>
      <c r="N1292" s="47"/>
      <c r="O1292" s="47"/>
      <c r="P1292" s="45" t="str">
        <f aca="false">IF($A1292="","",IF(COUNTIF(Accounts!$C$2:$C$201,$A1292)+COUNTIF('Service Principals'!$C$2:$C$201,$A1292)+COUNTIF('Managed Identities'!$C$2:$C$201,$A1292)&gt;0,"Yes","NOT IN INVENTORY"))</f>
        <v/>
      </c>
    </row>
    <row r="1293" customFormat="false" ht="15" hidden="false" customHeight="false" outlineLevel="0" collapsed="false">
      <c r="A1293" s="46"/>
      <c r="B1293" s="47"/>
      <c r="C1293" s="47"/>
      <c r="D1293" s="46"/>
      <c r="E1293" s="47"/>
      <c r="F1293" s="47"/>
      <c r="G1293" s="47"/>
      <c r="H1293" s="46"/>
      <c r="I1293" s="47"/>
      <c r="J1293" s="47"/>
      <c r="K1293" s="47"/>
      <c r="L1293" s="47"/>
      <c r="M1293" s="47"/>
      <c r="N1293" s="47"/>
      <c r="O1293" s="47"/>
      <c r="P1293" s="45" t="str">
        <f aca="false">IF($A1293="","",IF(COUNTIF(Accounts!$C$2:$C$201,$A1293)+COUNTIF('Service Principals'!$C$2:$C$201,$A1293)+COUNTIF('Managed Identities'!$C$2:$C$201,$A1293)&gt;0,"Yes","NOT IN INVENTORY"))</f>
        <v/>
      </c>
    </row>
    <row r="1294" customFormat="false" ht="15" hidden="false" customHeight="false" outlineLevel="0" collapsed="false">
      <c r="A1294" s="46"/>
      <c r="B1294" s="47"/>
      <c r="C1294" s="47"/>
      <c r="D1294" s="46"/>
      <c r="E1294" s="47"/>
      <c r="F1294" s="47"/>
      <c r="G1294" s="47"/>
      <c r="H1294" s="46"/>
      <c r="I1294" s="47"/>
      <c r="J1294" s="47"/>
      <c r="K1294" s="47"/>
      <c r="L1294" s="47"/>
      <c r="M1294" s="47"/>
      <c r="N1294" s="47"/>
      <c r="O1294" s="47"/>
      <c r="P1294" s="45" t="str">
        <f aca="false">IF($A1294="","",IF(COUNTIF(Accounts!$C$2:$C$201,$A1294)+COUNTIF('Service Principals'!$C$2:$C$201,$A1294)+COUNTIF('Managed Identities'!$C$2:$C$201,$A1294)&gt;0,"Yes","NOT IN INVENTORY"))</f>
        <v/>
      </c>
    </row>
    <row r="1295" customFormat="false" ht="15" hidden="false" customHeight="false" outlineLevel="0" collapsed="false">
      <c r="A1295" s="46"/>
      <c r="B1295" s="47"/>
      <c r="C1295" s="47"/>
      <c r="D1295" s="46"/>
      <c r="E1295" s="47"/>
      <c r="F1295" s="47"/>
      <c r="G1295" s="47"/>
      <c r="H1295" s="46"/>
      <c r="I1295" s="47"/>
      <c r="J1295" s="47"/>
      <c r="K1295" s="47"/>
      <c r="L1295" s="47"/>
      <c r="M1295" s="47"/>
      <c r="N1295" s="47"/>
      <c r="O1295" s="47"/>
      <c r="P1295" s="45" t="str">
        <f aca="false">IF($A1295="","",IF(COUNTIF(Accounts!$C$2:$C$201,$A1295)+COUNTIF('Service Principals'!$C$2:$C$201,$A1295)+COUNTIF('Managed Identities'!$C$2:$C$201,$A1295)&gt;0,"Yes","NOT IN INVENTORY"))</f>
        <v/>
      </c>
    </row>
    <row r="1296" customFormat="false" ht="15" hidden="false" customHeight="false" outlineLevel="0" collapsed="false">
      <c r="A1296" s="46"/>
      <c r="B1296" s="47"/>
      <c r="C1296" s="47"/>
      <c r="D1296" s="46"/>
      <c r="E1296" s="47"/>
      <c r="F1296" s="47"/>
      <c r="G1296" s="47"/>
      <c r="H1296" s="46"/>
      <c r="I1296" s="47"/>
      <c r="J1296" s="47"/>
      <c r="K1296" s="47"/>
      <c r="L1296" s="47"/>
      <c r="M1296" s="47"/>
      <c r="N1296" s="47"/>
      <c r="O1296" s="47"/>
      <c r="P1296" s="45" t="str">
        <f aca="false">IF($A1296="","",IF(COUNTIF(Accounts!$C$2:$C$201,$A1296)+COUNTIF('Service Principals'!$C$2:$C$201,$A1296)+COUNTIF('Managed Identities'!$C$2:$C$201,$A1296)&gt;0,"Yes","NOT IN INVENTORY"))</f>
        <v/>
      </c>
    </row>
    <row r="1297" customFormat="false" ht="15" hidden="false" customHeight="false" outlineLevel="0" collapsed="false">
      <c r="A1297" s="46"/>
      <c r="B1297" s="47"/>
      <c r="C1297" s="47"/>
      <c r="D1297" s="46"/>
      <c r="E1297" s="47"/>
      <c r="F1297" s="47"/>
      <c r="G1297" s="47"/>
      <c r="H1297" s="46"/>
      <c r="I1297" s="47"/>
      <c r="J1297" s="47"/>
      <c r="K1297" s="47"/>
      <c r="L1297" s="47"/>
      <c r="M1297" s="47"/>
      <c r="N1297" s="47"/>
      <c r="O1297" s="47"/>
      <c r="P1297" s="45" t="str">
        <f aca="false">IF($A1297="","",IF(COUNTIF(Accounts!$C$2:$C$201,$A1297)+COUNTIF('Service Principals'!$C$2:$C$201,$A1297)+COUNTIF('Managed Identities'!$C$2:$C$201,$A1297)&gt;0,"Yes","NOT IN INVENTORY"))</f>
        <v/>
      </c>
    </row>
    <row r="1298" customFormat="false" ht="15" hidden="false" customHeight="false" outlineLevel="0" collapsed="false">
      <c r="A1298" s="46"/>
      <c r="B1298" s="47"/>
      <c r="C1298" s="47"/>
      <c r="D1298" s="46"/>
      <c r="E1298" s="47"/>
      <c r="F1298" s="47"/>
      <c r="G1298" s="47"/>
      <c r="H1298" s="46"/>
      <c r="I1298" s="47"/>
      <c r="J1298" s="47"/>
      <c r="K1298" s="47"/>
      <c r="L1298" s="47"/>
      <c r="M1298" s="47"/>
      <c r="N1298" s="47"/>
      <c r="O1298" s="47"/>
      <c r="P1298" s="45" t="str">
        <f aca="false">IF($A1298="","",IF(COUNTIF(Accounts!$C$2:$C$201,$A1298)+COUNTIF('Service Principals'!$C$2:$C$201,$A1298)+COUNTIF('Managed Identities'!$C$2:$C$201,$A1298)&gt;0,"Yes","NOT IN INVENTORY"))</f>
        <v/>
      </c>
    </row>
    <row r="1299" customFormat="false" ht="15" hidden="false" customHeight="false" outlineLevel="0" collapsed="false">
      <c r="A1299" s="46"/>
      <c r="B1299" s="47"/>
      <c r="C1299" s="47"/>
      <c r="D1299" s="46"/>
      <c r="E1299" s="47"/>
      <c r="F1299" s="47"/>
      <c r="G1299" s="47"/>
      <c r="H1299" s="46"/>
      <c r="I1299" s="47"/>
      <c r="J1299" s="47"/>
      <c r="K1299" s="47"/>
      <c r="L1299" s="47"/>
      <c r="M1299" s="47"/>
      <c r="N1299" s="47"/>
      <c r="O1299" s="47"/>
      <c r="P1299" s="45" t="str">
        <f aca="false">IF($A1299="","",IF(COUNTIF(Accounts!$C$2:$C$201,$A1299)+COUNTIF('Service Principals'!$C$2:$C$201,$A1299)+COUNTIF('Managed Identities'!$C$2:$C$201,$A1299)&gt;0,"Yes","NOT IN INVENTORY"))</f>
        <v/>
      </c>
    </row>
    <row r="1300" customFormat="false" ht="15" hidden="false" customHeight="false" outlineLevel="0" collapsed="false">
      <c r="A1300" s="46"/>
      <c r="B1300" s="47"/>
      <c r="C1300" s="47"/>
      <c r="D1300" s="46"/>
      <c r="E1300" s="47"/>
      <c r="F1300" s="47"/>
      <c r="G1300" s="47"/>
      <c r="H1300" s="46"/>
      <c r="I1300" s="47"/>
      <c r="J1300" s="47"/>
      <c r="K1300" s="47"/>
      <c r="L1300" s="47"/>
      <c r="M1300" s="47"/>
      <c r="N1300" s="47"/>
      <c r="O1300" s="47"/>
      <c r="P1300" s="45" t="str">
        <f aca="false">IF($A1300="","",IF(COUNTIF(Accounts!$C$2:$C$201,$A1300)+COUNTIF('Service Principals'!$C$2:$C$201,$A1300)+COUNTIF('Managed Identities'!$C$2:$C$201,$A1300)&gt;0,"Yes","NOT IN INVENTORY"))</f>
        <v/>
      </c>
    </row>
    <row r="1301" customFormat="false" ht="15" hidden="false" customHeight="false" outlineLevel="0" collapsed="false">
      <c r="A1301" s="46"/>
      <c r="B1301" s="47"/>
      <c r="C1301" s="47"/>
      <c r="D1301" s="46"/>
      <c r="E1301" s="47"/>
      <c r="F1301" s="47"/>
      <c r="G1301" s="47"/>
      <c r="H1301" s="46"/>
      <c r="I1301" s="47"/>
      <c r="J1301" s="47"/>
      <c r="K1301" s="47"/>
      <c r="L1301" s="47"/>
      <c r="M1301" s="47"/>
      <c r="N1301" s="47"/>
      <c r="O1301" s="47"/>
      <c r="P1301" s="45" t="str">
        <f aca="false">IF($A1301="","",IF(COUNTIF(Accounts!$C$2:$C$201,$A1301)+COUNTIF('Service Principals'!$C$2:$C$201,$A1301)+COUNTIF('Managed Identities'!$C$2:$C$201,$A1301)&gt;0,"Yes","NOT IN INVENTORY"))</f>
        <v/>
      </c>
    </row>
    <row r="1302" customFormat="false" ht="15" hidden="false" customHeight="false" outlineLevel="0" collapsed="false">
      <c r="A1302" s="46"/>
      <c r="B1302" s="47"/>
      <c r="C1302" s="47"/>
      <c r="D1302" s="46"/>
      <c r="E1302" s="47"/>
      <c r="F1302" s="47"/>
      <c r="G1302" s="47"/>
      <c r="H1302" s="46"/>
      <c r="I1302" s="47"/>
      <c r="J1302" s="47"/>
      <c r="K1302" s="47"/>
      <c r="L1302" s="47"/>
      <c r="M1302" s="47"/>
      <c r="N1302" s="47"/>
      <c r="O1302" s="47"/>
      <c r="P1302" s="45" t="str">
        <f aca="false">IF($A1302="","",IF(COUNTIF(Accounts!$C$2:$C$201,$A1302)+COUNTIF('Service Principals'!$C$2:$C$201,$A1302)+COUNTIF('Managed Identities'!$C$2:$C$201,$A1302)&gt;0,"Yes","NOT IN INVENTORY"))</f>
        <v/>
      </c>
    </row>
    <row r="1303" customFormat="false" ht="15" hidden="false" customHeight="false" outlineLevel="0" collapsed="false">
      <c r="A1303" s="46"/>
      <c r="B1303" s="47"/>
      <c r="C1303" s="47"/>
      <c r="D1303" s="46"/>
      <c r="E1303" s="47"/>
      <c r="F1303" s="47"/>
      <c r="G1303" s="47"/>
      <c r="H1303" s="46"/>
      <c r="I1303" s="47"/>
      <c r="J1303" s="47"/>
      <c r="K1303" s="47"/>
      <c r="L1303" s="47"/>
      <c r="M1303" s="47"/>
      <c r="N1303" s="47"/>
      <c r="O1303" s="47"/>
      <c r="P1303" s="45" t="str">
        <f aca="false">IF($A1303="","",IF(COUNTIF(Accounts!$C$2:$C$201,$A1303)+COUNTIF('Service Principals'!$C$2:$C$201,$A1303)+COUNTIF('Managed Identities'!$C$2:$C$201,$A1303)&gt;0,"Yes","NOT IN INVENTORY"))</f>
        <v/>
      </c>
    </row>
    <row r="1304" customFormat="false" ht="15" hidden="false" customHeight="false" outlineLevel="0" collapsed="false">
      <c r="A1304" s="46"/>
      <c r="B1304" s="47"/>
      <c r="C1304" s="47"/>
      <c r="D1304" s="46"/>
      <c r="E1304" s="47"/>
      <c r="F1304" s="47"/>
      <c r="G1304" s="47"/>
      <c r="H1304" s="46"/>
      <c r="I1304" s="47"/>
      <c r="J1304" s="47"/>
      <c r="K1304" s="47"/>
      <c r="L1304" s="47"/>
      <c r="M1304" s="47"/>
      <c r="N1304" s="47"/>
      <c r="O1304" s="47"/>
      <c r="P1304" s="45" t="str">
        <f aca="false">IF($A1304="","",IF(COUNTIF(Accounts!$C$2:$C$201,$A1304)+COUNTIF('Service Principals'!$C$2:$C$201,$A1304)+COUNTIF('Managed Identities'!$C$2:$C$201,$A1304)&gt;0,"Yes","NOT IN INVENTORY"))</f>
        <v/>
      </c>
    </row>
    <row r="1305" customFormat="false" ht="15" hidden="false" customHeight="false" outlineLevel="0" collapsed="false">
      <c r="A1305" s="46"/>
      <c r="B1305" s="47"/>
      <c r="C1305" s="47"/>
      <c r="D1305" s="46"/>
      <c r="E1305" s="47"/>
      <c r="F1305" s="47"/>
      <c r="G1305" s="47"/>
      <c r="H1305" s="46"/>
      <c r="I1305" s="47"/>
      <c r="J1305" s="47"/>
      <c r="K1305" s="47"/>
      <c r="L1305" s="47"/>
      <c r="M1305" s="47"/>
      <c r="N1305" s="47"/>
      <c r="O1305" s="47"/>
      <c r="P1305" s="45" t="str">
        <f aca="false">IF($A1305="","",IF(COUNTIF(Accounts!$C$2:$C$201,$A1305)+COUNTIF('Service Principals'!$C$2:$C$201,$A1305)+COUNTIF('Managed Identities'!$C$2:$C$201,$A1305)&gt;0,"Yes","NOT IN INVENTORY"))</f>
        <v/>
      </c>
    </row>
    <row r="1306" customFormat="false" ht="15" hidden="false" customHeight="false" outlineLevel="0" collapsed="false">
      <c r="A1306" s="46"/>
      <c r="B1306" s="47"/>
      <c r="C1306" s="47"/>
      <c r="D1306" s="46"/>
      <c r="E1306" s="47"/>
      <c r="F1306" s="47"/>
      <c r="G1306" s="47"/>
      <c r="H1306" s="46"/>
      <c r="I1306" s="47"/>
      <c r="J1306" s="47"/>
      <c r="K1306" s="47"/>
      <c r="L1306" s="47"/>
      <c r="M1306" s="47"/>
      <c r="N1306" s="47"/>
      <c r="O1306" s="47"/>
      <c r="P1306" s="45" t="str">
        <f aca="false">IF($A1306="","",IF(COUNTIF(Accounts!$C$2:$C$201,$A1306)+COUNTIF('Service Principals'!$C$2:$C$201,$A1306)+COUNTIF('Managed Identities'!$C$2:$C$201,$A1306)&gt;0,"Yes","NOT IN INVENTORY"))</f>
        <v/>
      </c>
    </row>
    <row r="1307" customFormat="false" ht="15" hidden="false" customHeight="false" outlineLevel="0" collapsed="false">
      <c r="A1307" s="46"/>
      <c r="B1307" s="47"/>
      <c r="C1307" s="47"/>
      <c r="D1307" s="46"/>
      <c r="E1307" s="47"/>
      <c r="F1307" s="47"/>
      <c r="G1307" s="47"/>
      <c r="H1307" s="46"/>
      <c r="I1307" s="47"/>
      <c r="J1307" s="47"/>
      <c r="K1307" s="47"/>
      <c r="L1307" s="47"/>
      <c r="M1307" s="47"/>
      <c r="N1307" s="47"/>
      <c r="O1307" s="47"/>
      <c r="P1307" s="45" t="str">
        <f aca="false">IF($A1307="","",IF(COUNTIF(Accounts!$C$2:$C$201,$A1307)+COUNTIF('Service Principals'!$C$2:$C$201,$A1307)+COUNTIF('Managed Identities'!$C$2:$C$201,$A1307)&gt;0,"Yes","NOT IN INVENTORY"))</f>
        <v/>
      </c>
    </row>
    <row r="1308" customFormat="false" ht="15" hidden="false" customHeight="false" outlineLevel="0" collapsed="false">
      <c r="A1308" s="46"/>
      <c r="B1308" s="47"/>
      <c r="C1308" s="47"/>
      <c r="D1308" s="46"/>
      <c r="E1308" s="47"/>
      <c r="F1308" s="47"/>
      <c r="G1308" s="47"/>
      <c r="H1308" s="46"/>
      <c r="I1308" s="47"/>
      <c r="J1308" s="47"/>
      <c r="K1308" s="47"/>
      <c r="L1308" s="47"/>
      <c r="M1308" s="47"/>
      <c r="N1308" s="47"/>
      <c r="O1308" s="47"/>
      <c r="P1308" s="45" t="str">
        <f aca="false">IF($A1308="","",IF(COUNTIF(Accounts!$C$2:$C$201,$A1308)+COUNTIF('Service Principals'!$C$2:$C$201,$A1308)+COUNTIF('Managed Identities'!$C$2:$C$201,$A1308)&gt;0,"Yes","NOT IN INVENTORY"))</f>
        <v/>
      </c>
    </row>
    <row r="1309" customFormat="false" ht="15" hidden="false" customHeight="false" outlineLevel="0" collapsed="false">
      <c r="A1309" s="46"/>
      <c r="B1309" s="47"/>
      <c r="C1309" s="47"/>
      <c r="D1309" s="46"/>
      <c r="E1309" s="47"/>
      <c r="F1309" s="47"/>
      <c r="G1309" s="47"/>
      <c r="H1309" s="46"/>
      <c r="I1309" s="47"/>
      <c r="J1309" s="47"/>
      <c r="K1309" s="47"/>
      <c r="L1309" s="47"/>
      <c r="M1309" s="47"/>
      <c r="N1309" s="47"/>
      <c r="O1309" s="47"/>
      <c r="P1309" s="45" t="str">
        <f aca="false">IF($A1309="","",IF(COUNTIF(Accounts!$C$2:$C$201,$A1309)+COUNTIF('Service Principals'!$C$2:$C$201,$A1309)+COUNTIF('Managed Identities'!$C$2:$C$201,$A1309)&gt;0,"Yes","NOT IN INVENTORY"))</f>
        <v/>
      </c>
    </row>
    <row r="1310" customFormat="false" ht="15" hidden="false" customHeight="false" outlineLevel="0" collapsed="false">
      <c r="A1310" s="46"/>
      <c r="B1310" s="47"/>
      <c r="C1310" s="47"/>
      <c r="D1310" s="46"/>
      <c r="E1310" s="47"/>
      <c r="F1310" s="47"/>
      <c r="G1310" s="47"/>
      <c r="H1310" s="46"/>
      <c r="I1310" s="47"/>
      <c r="J1310" s="47"/>
      <c r="K1310" s="47"/>
      <c r="L1310" s="47"/>
      <c r="M1310" s="47"/>
      <c r="N1310" s="47"/>
      <c r="O1310" s="47"/>
      <c r="P1310" s="45" t="str">
        <f aca="false">IF($A1310="","",IF(COUNTIF(Accounts!$C$2:$C$201,$A1310)+COUNTIF('Service Principals'!$C$2:$C$201,$A1310)+COUNTIF('Managed Identities'!$C$2:$C$201,$A1310)&gt;0,"Yes","NOT IN INVENTORY"))</f>
        <v/>
      </c>
    </row>
    <row r="1311" customFormat="false" ht="15" hidden="false" customHeight="false" outlineLevel="0" collapsed="false">
      <c r="A1311" s="46"/>
      <c r="B1311" s="47"/>
      <c r="C1311" s="47"/>
      <c r="D1311" s="46"/>
      <c r="E1311" s="47"/>
      <c r="F1311" s="47"/>
      <c r="G1311" s="47"/>
      <c r="H1311" s="46"/>
      <c r="I1311" s="47"/>
      <c r="J1311" s="47"/>
      <c r="K1311" s="47"/>
      <c r="L1311" s="47"/>
      <c r="M1311" s="47"/>
      <c r="N1311" s="47"/>
      <c r="O1311" s="47"/>
      <c r="P1311" s="45" t="str">
        <f aca="false">IF($A1311="","",IF(COUNTIF(Accounts!$C$2:$C$201,$A1311)+COUNTIF('Service Principals'!$C$2:$C$201,$A1311)+COUNTIF('Managed Identities'!$C$2:$C$201,$A1311)&gt;0,"Yes","NOT IN INVENTORY"))</f>
        <v/>
      </c>
    </row>
    <row r="1312" customFormat="false" ht="15" hidden="false" customHeight="false" outlineLevel="0" collapsed="false">
      <c r="A1312" s="46"/>
      <c r="B1312" s="47"/>
      <c r="C1312" s="47"/>
      <c r="D1312" s="46"/>
      <c r="E1312" s="47"/>
      <c r="F1312" s="47"/>
      <c r="G1312" s="47"/>
      <c r="H1312" s="46"/>
      <c r="I1312" s="47"/>
      <c r="J1312" s="47"/>
      <c r="K1312" s="47"/>
      <c r="L1312" s="47"/>
      <c r="M1312" s="47"/>
      <c r="N1312" s="47"/>
      <c r="O1312" s="47"/>
      <c r="P1312" s="45" t="str">
        <f aca="false">IF($A1312="","",IF(COUNTIF(Accounts!$C$2:$C$201,$A1312)+COUNTIF('Service Principals'!$C$2:$C$201,$A1312)+COUNTIF('Managed Identities'!$C$2:$C$201,$A1312)&gt;0,"Yes","NOT IN INVENTORY"))</f>
        <v/>
      </c>
    </row>
    <row r="1313" customFormat="false" ht="15" hidden="false" customHeight="false" outlineLevel="0" collapsed="false">
      <c r="A1313" s="46"/>
      <c r="B1313" s="47"/>
      <c r="C1313" s="47"/>
      <c r="D1313" s="46"/>
      <c r="E1313" s="47"/>
      <c r="F1313" s="47"/>
      <c r="G1313" s="47"/>
      <c r="H1313" s="46"/>
      <c r="I1313" s="47"/>
      <c r="J1313" s="47"/>
      <c r="K1313" s="47"/>
      <c r="L1313" s="47"/>
      <c r="M1313" s="47"/>
      <c r="N1313" s="47"/>
      <c r="O1313" s="47"/>
      <c r="P1313" s="45" t="str">
        <f aca="false">IF($A1313="","",IF(COUNTIF(Accounts!$C$2:$C$201,$A1313)+COUNTIF('Service Principals'!$C$2:$C$201,$A1313)+COUNTIF('Managed Identities'!$C$2:$C$201,$A1313)&gt;0,"Yes","NOT IN INVENTORY"))</f>
        <v/>
      </c>
    </row>
    <row r="1314" customFormat="false" ht="15" hidden="false" customHeight="false" outlineLevel="0" collapsed="false">
      <c r="A1314" s="46"/>
      <c r="B1314" s="47"/>
      <c r="C1314" s="47"/>
      <c r="D1314" s="46"/>
      <c r="E1314" s="47"/>
      <c r="F1314" s="47"/>
      <c r="G1314" s="47"/>
      <c r="H1314" s="46"/>
      <c r="I1314" s="47"/>
      <c r="J1314" s="47"/>
      <c r="K1314" s="47"/>
      <c r="L1314" s="47"/>
      <c r="M1314" s="47"/>
      <c r="N1314" s="47"/>
      <c r="O1314" s="47"/>
      <c r="P1314" s="45" t="str">
        <f aca="false">IF($A1314="","",IF(COUNTIF(Accounts!$C$2:$C$201,$A1314)+COUNTIF('Service Principals'!$C$2:$C$201,$A1314)+COUNTIF('Managed Identities'!$C$2:$C$201,$A1314)&gt;0,"Yes","NOT IN INVENTORY"))</f>
        <v/>
      </c>
    </row>
    <row r="1315" customFormat="false" ht="15" hidden="false" customHeight="false" outlineLevel="0" collapsed="false">
      <c r="A1315" s="46"/>
      <c r="B1315" s="47"/>
      <c r="C1315" s="47"/>
      <c r="D1315" s="46"/>
      <c r="E1315" s="47"/>
      <c r="F1315" s="47"/>
      <c r="G1315" s="47"/>
      <c r="H1315" s="46"/>
      <c r="I1315" s="47"/>
      <c r="J1315" s="47"/>
      <c r="K1315" s="47"/>
      <c r="L1315" s="47"/>
      <c r="M1315" s="47"/>
      <c r="N1315" s="47"/>
      <c r="O1315" s="47"/>
      <c r="P1315" s="45" t="str">
        <f aca="false">IF($A1315="","",IF(COUNTIF(Accounts!$C$2:$C$201,$A1315)+COUNTIF('Service Principals'!$C$2:$C$201,$A1315)+COUNTIF('Managed Identities'!$C$2:$C$201,$A1315)&gt;0,"Yes","NOT IN INVENTORY"))</f>
        <v/>
      </c>
    </row>
    <row r="1316" customFormat="false" ht="15" hidden="false" customHeight="false" outlineLevel="0" collapsed="false">
      <c r="A1316" s="46"/>
      <c r="B1316" s="47"/>
      <c r="C1316" s="47"/>
      <c r="D1316" s="46"/>
      <c r="E1316" s="47"/>
      <c r="F1316" s="47"/>
      <c r="G1316" s="47"/>
      <c r="H1316" s="46"/>
      <c r="I1316" s="47"/>
      <c r="J1316" s="47"/>
      <c r="K1316" s="47"/>
      <c r="L1316" s="47"/>
      <c r="M1316" s="47"/>
      <c r="N1316" s="47"/>
      <c r="O1316" s="47"/>
      <c r="P1316" s="45" t="str">
        <f aca="false">IF($A1316="","",IF(COUNTIF(Accounts!$C$2:$C$201,$A1316)+COUNTIF('Service Principals'!$C$2:$C$201,$A1316)+COUNTIF('Managed Identities'!$C$2:$C$201,$A1316)&gt;0,"Yes","NOT IN INVENTORY"))</f>
        <v/>
      </c>
    </row>
    <row r="1317" customFormat="false" ht="15" hidden="false" customHeight="false" outlineLevel="0" collapsed="false">
      <c r="A1317" s="46"/>
      <c r="B1317" s="47"/>
      <c r="C1317" s="47"/>
      <c r="D1317" s="46"/>
      <c r="E1317" s="47"/>
      <c r="F1317" s="47"/>
      <c r="G1317" s="47"/>
      <c r="H1317" s="46"/>
      <c r="I1317" s="47"/>
      <c r="J1317" s="47"/>
      <c r="K1317" s="47"/>
      <c r="L1317" s="47"/>
      <c r="M1317" s="47"/>
      <c r="N1317" s="47"/>
      <c r="O1317" s="47"/>
      <c r="P1317" s="45" t="str">
        <f aca="false">IF($A1317="","",IF(COUNTIF(Accounts!$C$2:$C$201,$A1317)+COUNTIF('Service Principals'!$C$2:$C$201,$A1317)+COUNTIF('Managed Identities'!$C$2:$C$201,$A1317)&gt;0,"Yes","NOT IN INVENTORY"))</f>
        <v/>
      </c>
    </row>
    <row r="1318" customFormat="false" ht="15" hidden="false" customHeight="false" outlineLevel="0" collapsed="false">
      <c r="A1318" s="46"/>
      <c r="B1318" s="47"/>
      <c r="C1318" s="47"/>
      <c r="D1318" s="46"/>
      <c r="E1318" s="47"/>
      <c r="F1318" s="47"/>
      <c r="G1318" s="47"/>
      <c r="H1318" s="46"/>
      <c r="I1318" s="47"/>
      <c r="J1318" s="47"/>
      <c r="K1318" s="47"/>
      <c r="L1318" s="47"/>
      <c r="M1318" s="47"/>
      <c r="N1318" s="47"/>
      <c r="O1318" s="47"/>
      <c r="P1318" s="45" t="str">
        <f aca="false">IF($A1318="","",IF(COUNTIF(Accounts!$C$2:$C$201,$A1318)+COUNTIF('Service Principals'!$C$2:$C$201,$A1318)+COUNTIF('Managed Identities'!$C$2:$C$201,$A1318)&gt;0,"Yes","NOT IN INVENTORY"))</f>
        <v/>
      </c>
    </row>
    <row r="1319" customFormat="false" ht="15" hidden="false" customHeight="false" outlineLevel="0" collapsed="false">
      <c r="A1319" s="46"/>
      <c r="B1319" s="47"/>
      <c r="C1319" s="47"/>
      <c r="D1319" s="46"/>
      <c r="E1319" s="47"/>
      <c r="F1319" s="47"/>
      <c r="G1319" s="47"/>
      <c r="H1319" s="46"/>
      <c r="I1319" s="47"/>
      <c r="J1319" s="47"/>
      <c r="K1319" s="47"/>
      <c r="L1319" s="47"/>
      <c r="M1319" s="47"/>
      <c r="N1319" s="47"/>
      <c r="O1319" s="47"/>
      <c r="P1319" s="45" t="str">
        <f aca="false">IF($A1319="","",IF(COUNTIF(Accounts!$C$2:$C$201,$A1319)+COUNTIF('Service Principals'!$C$2:$C$201,$A1319)+COUNTIF('Managed Identities'!$C$2:$C$201,$A1319)&gt;0,"Yes","NOT IN INVENTORY"))</f>
        <v/>
      </c>
    </row>
    <row r="1320" customFormat="false" ht="15" hidden="false" customHeight="false" outlineLevel="0" collapsed="false">
      <c r="A1320" s="46"/>
      <c r="B1320" s="47"/>
      <c r="C1320" s="47"/>
      <c r="D1320" s="46"/>
      <c r="E1320" s="47"/>
      <c r="F1320" s="47"/>
      <c r="G1320" s="47"/>
      <c r="H1320" s="46"/>
      <c r="I1320" s="47"/>
      <c r="J1320" s="47"/>
      <c r="K1320" s="47"/>
      <c r="L1320" s="47"/>
      <c r="M1320" s="47"/>
      <c r="N1320" s="47"/>
      <c r="O1320" s="47"/>
      <c r="P1320" s="45" t="str">
        <f aca="false">IF($A1320="","",IF(COUNTIF(Accounts!$C$2:$C$201,$A1320)+COUNTIF('Service Principals'!$C$2:$C$201,$A1320)+COUNTIF('Managed Identities'!$C$2:$C$201,$A1320)&gt;0,"Yes","NOT IN INVENTORY"))</f>
        <v/>
      </c>
    </row>
    <row r="1321" customFormat="false" ht="15" hidden="false" customHeight="false" outlineLevel="0" collapsed="false">
      <c r="A1321" s="46"/>
      <c r="B1321" s="47"/>
      <c r="C1321" s="47"/>
      <c r="D1321" s="46"/>
      <c r="E1321" s="47"/>
      <c r="F1321" s="47"/>
      <c r="G1321" s="47"/>
      <c r="H1321" s="46"/>
      <c r="I1321" s="47"/>
      <c r="J1321" s="47"/>
      <c r="K1321" s="47"/>
      <c r="L1321" s="47"/>
      <c r="M1321" s="47"/>
      <c r="N1321" s="47"/>
      <c r="O1321" s="47"/>
      <c r="P1321" s="45" t="str">
        <f aca="false">IF($A1321="","",IF(COUNTIF(Accounts!$C$2:$C$201,$A1321)+COUNTIF('Service Principals'!$C$2:$C$201,$A1321)+COUNTIF('Managed Identities'!$C$2:$C$201,$A1321)&gt;0,"Yes","NOT IN INVENTORY"))</f>
        <v/>
      </c>
    </row>
    <row r="1322" customFormat="false" ht="15" hidden="false" customHeight="false" outlineLevel="0" collapsed="false">
      <c r="A1322" s="46"/>
      <c r="B1322" s="47"/>
      <c r="C1322" s="47"/>
      <c r="D1322" s="46"/>
      <c r="E1322" s="47"/>
      <c r="F1322" s="47"/>
      <c r="G1322" s="47"/>
      <c r="H1322" s="46"/>
      <c r="I1322" s="47"/>
      <c r="J1322" s="47"/>
      <c r="K1322" s="47"/>
      <c r="L1322" s="47"/>
      <c r="M1322" s="47"/>
      <c r="N1322" s="47"/>
      <c r="O1322" s="47"/>
      <c r="P1322" s="45" t="str">
        <f aca="false">IF($A1322="","",IF(COUNTIF(Accounts!$C$2:$C$201,$A1322)+COUNTIF('Service Principals'!$C$2:$C$201,$A1322)+COUNTIF('Managed Identities'!$C$2:$C$201,$A1322)&gt;0,"Yes","NOT IN INVENTORY"))</f>
        <v/>
      </c>
    </row>
    <row r="1323" customFormat="false" ht="15" hidden="false" customHeight="false" outlineLevel="0" collapsed="false">
      <c r="A1323" s="46"/>
      <c r="B1323" s="47"/>
      <c r="C1323" s="47"/>
      <c r="D1323" s="46"/>
      <c r="E1323" s="47"/>
      <c r="F1323" s="47"/>
      <c r="G1323" s="47"/>
      <c r="H1323" s="46"/>
      <c r="I1323" s="47"/>
      <c r="J1323" s="47"/>
      <c r="K1323" s="47"/>
      <c r="L1323" s="47"/>
      <c r="M1323" s="47"/>
      <c r="N1323" s="47"/>
      <c r="O1323" s="47"/>
      <c r="P1323" s="45" t="str">
        <f aca="false">IF($A1323="","",IF(COUNTIF(Accounts!$C$2:$C$201,$A1323)+COUNTIF('Service Principals'!$C$2:$C$201,$A1323)+COUNTIF('Managed Identities'!$C$2:$C$201,$A1323)&gt;0,"Yes","NOT IN INVENTORY"))</f>
        <v/>
      </c>
    </row>
    <row r="1324" customFormat="false" ht="15" hidden="false" customHeight="false" outlineLevel="0" collapsed="false">
      <c r="A1324" s="46"/>
      <c r="B1324" s="47"/>
      <c r="C1324" s="47"/>
      <c r="D1324" s="46"/>
      <c r="E1324" s="47"/>
      <c r="F1324" s="47"/>
      <c r="G1324" s="47"/>
      <c r="H1324" s="46"/>
      <c r="I1324" s="47"/>
      <c r="J1324" s="47"/>
      <c r="K1324" s="47"/>
      <c r="L1324" s="47"/>
      <c r="M1324" s="47"/>
      <c r="N1324" s="47"/>
      <c r="O1324" s="47"/>
      <c r="P1324" s="45" t="str">
        <f aca="false">IF($A1324="","",IF(COUNTIF(Accounts!$C$2:$C$201,$A1324)+COUNTIF('Service Principals'!$C$2:$C$201,$A1324)+COUNTIF('Managed Identities'!$C$2:$C$201,$A1324)&gt;0,"Yes","NOT IN INVENTORY"))</f>
        <v/>
      </c>
    </row>
    <row r="1325" customFormat="false" ht="15" hidden="false" customHeight="false" outlineLevel="0" collapsed="false">
      <c r="A1325" s="46"/>
      <c r="B1325" s="47"/>
      <c r="C1325" s="47"/>
      <c r="D1325" s="46"/>
      <c r="E1325" s="47"/>
      <c r="F1325" s="47"/>
      <c r="G1325" s="47"/>
      <c r="H1325" s="46"/>
      <c r="I1325" s="47"/>
      <c r="J1325" s="47"/>
      <c r="K1325" s="47"/>
      <c r="L1325" s="47"/>
      <c r="M1325" s="47"/>
      <c r="N1325" s="47"/>
      <c r="O1325" s="47"/>
      <c r="P1325" s="45" t="str">
        <f aca="false">IF($A1325="","",IF(COUNTIF(Accounts!$C$2:$C$201,$A1325)+COUNTIF('Service Principals'!$C$2:$C$201,$A1325)+COUNTIF('Managed Identities'!$C$2:$C$201,$A1325)&gt;0,"Yes","NOT IN INVENTORY"))</f>
        <v/>
      </c>
    </row>
    <row r="1326" customFormat="false" ht="15" hidden="false" customHeight="false" outlineLevel="0" collapsed="false">
      <c r="A1326" s="46"/>
      <c r="B1326" s="47"/>
      <c r="C1326" s="47"/>
      <c r="D1326" s="46"/>
      <c r="E1326" s="47"/>
      <c r="F1326" s="47"/>
      <c r="G1326" s="47"/>
      <c r="H1326" s="46"/>
      <c r="I1326" s="47"/>
      <c r="J1326" s="47"/>
      <c r="K1326" s="47"/>
      <c r="L1326" s="47"/>
      <c r="M1326" s="47"/>
      <c r="N1326" s="47"/>
      <c r="O1326" s="47"/>
      <c r="P1326" s="45" t="str">
        <f aca="false">IF($A1326="","",IF(COUNTIF(Accounts!$C$2:$C$201,$A1326)+COUNTIF('Service Principals'!$C$2:$C$201,$A1326)+COUNTIF('Managed Identities'!$C$2:$C$201,$A1326)&gt;0,"Yes","NOT IN INVENTORY"))</f>
        <v/>
      </c>
    </row>
    <row r="1327" customFormat="false" ht="15" hidden="false" customHeight="false" outlineLevel="0" collapsed="false">
      <c r="A1327" s="46"/>
      <c r="B1327" s="47"/>
      <c r="C1327" s="47"/>
      <c r="D1327" s="46"/>
      <c r="E1327" s="47"/>
      <c r="F1327" s="47"/>
      <c r="G1327" s="47"/>
      <c r="H1327" s="46"/>
      <c r="I1327" s="47"/>
      <c r="J1327" s="47"/>
      <c r="K1327" s="47"/>
      <c r="L1327" s="47"/>
      <c r="M1327" s="47"/>
      <c r="N1327" s="47"/>
      <c r="O1327" s="47"/>
      <c r="P1327" s="45" t="str">
        <f aca="false">IF($A1327="","",IF(COUNTIF(Accounts!$C$2:$C$201,$A1327)+COUNTIF('Service Principals'!$C$2:$C$201,$A1327)+COUNTIF('Managed Identities'!$C$2:$C$201,$A1327)&gt;0,"Yes","NOT IN INVENTORY"))</f>
        <v/>
      </c>
    </row>
    <row r="1328" customFormat="false" ht="15" hidden="false" customHeight="false" outlineLevel="0" collapsed="false">
      <c r="A1328" s="46"/>
      <c r="B1328" s="47"/>
      <c r="C1328" s="47"/>
      <c r="D1328" s="46"/>
      <c r="E1328" s="47"/>
      <c r="F1328" s="47"/>
      <c r="G1328" s="47"/>
      <c r="H1328" s="46"/>
      <c r="I1328" s="47"/>
      <c r="J1328" s="47"/>
      <c r="K1328" s="47"/>
      <c r="L1328" s="47"/>
      <c r="M1328" s="47"/>
      <c r="N1328" s="47"/>
      <c r="O1328" s="47"/>
      <c r="P1328" s="45" t="str">
        <f aca="false">IF($A1328="","",IF(COUNTIF(Accounts!$C$2:$C$201,$A1328)+COUNTIF('Service Principals'!$C$2:$C$201,$A1328)+COUNTIF('Managed Identities'!$C$2:$C$201,$A1328)&gt;0,"Yes","NOT IN INVENTORY"))</f>
        <v/>
      </c>
    </row>
    <row r="1329" customFormat="false" ht="15" hidden="false" customHeight="false" outlineLevel="0" collapsed="false">
      <c r="A1329" s="46"/>
      <c r="B1329" s="47"/>
      <c r="C1329" s="47"/>
      <c r="D1329" s="46"/>
      <c r="E1329" s="47"/>
      <c r="F1329" s="47"/>
      <c r="G1329" s="47"/>
      <c r="H1329" s="46"/>
      <c r="I1329" s="47"/>
      <c r="J1329" s="47"/>
      <c r="K1329" s="47"/>
      <c r="L1329" s="47"/>
      <c r="M1329" s="47"/>
      <c r="N1329" s="47"/>
      <c r="O1329" s="47"/>
      <c r="P1329" s="45" t="str">
        <f aca="false">IF($A1329="","",IF(COUNTIF(Accounts!$C$2:$C$201,$A1329)+COUNTIF('Service Principals'!$C$2:$C$201,$A1329)+COUNTIF('Managed Identities'!$C$2:$C$201,$A1329)&gt;0,"Yes","NOT IN INVENTORY"))</f>
        <v/>
      </c>
    </row>
    <row r="1330" customFormat="false" ht="15" hidden="false" customHeight="false" outlineLevel="0" collapsed="false">
      <c r="A1330" s="46"/>
      <c r="B1330" s="47"/>
      <c r="C1330" s="47"/>
      <c r="D1330" s="46"/>
      <c r="E1330" s="47"/>
      <c r="F1330" s="47"/>
      <c r="G1330" s="47"/>
      <c r="H1330" s="46"/>
      <c r="I1330" s="47"/>
      <c r="J1330" s="47"/>
      <c r="K1330" s="47"/>
      <c r="L1330" s="47"/>
      <c r="M1330" s="47"/>
      <c r="N1330" s="47"/>
      <c r="O1330" s="47"/>
      <c r="P1330" s="45" t="str">
        <f aca="false">IF($A1330="","",IF(COUNTIF(Accounts!$C$2:$C$201,$A1330)+COUNTIF('Service Principals'!$C$2:$C$201,$A1330)+COUNTIF('Managed Identities'!$C$2:$C$201,$A1330)&gt;0,"Yes","NOT IN INVENTORY"))</f>
        <v/>
      </c>
    </row>
    <row r="1331" customFormat="false" ht="15" hidden="false" customHeight="false" outlineLevel="0" collapsed="false">
      <c r="A1331" s="46"/>
      <c r="B1331" s="47"/>
      <c r="C1331" s="47"/>
      <c r="D1331" s="46"/>
      <c r="E1331" s="47"/>
      <c r="F1331" s="47"/>
      <c r="G1331" s="47"/>
      <c r="H1331" s="46"/>
      <c r="I1331" s="47"/>
      <c r="J1331" s="47"/>
      <c r="K1331" s="47"/>
      <c r="L1331" s="47"/>
      <c r="M1331" s="47"/>
      <c r="N1331" s="47"/>
      <c r="O1331" s="47"/>
      <c r="P1331" s="45" t="str">
        <f aca="false">IF($A1331="","",IF(COUNTIF(Accounts!$C$2:$C$201,$A1331)+COUNTIF('Service Principals'!$C$2:$C$201,$A1331)+COUNTIF('Managed Identities'!$C$2:$C$201,$A1331)&gt;0,"Yes","NOT IN INVENTORY"))</f>
        <v/>
      </c>
    </row>
    <row r="1332" customFormat="false" ht="15" hidden="false" customHeight="false" outlineLevel="0" collapsed="false">
      <c r="A1332" s="46"/>
      <c r="B1332" s="47"/>
      <c r="C1332" s="47"/>
      <c r="D1332" s="46"/>
      <c r="E1332" s="47"/>
      <c r="F1332" s="47"/>
      <c r="G1332" s="47"/>
      <c r="H1332" s="46"/>
      <c r="I1332" s="47"/>
      <c r="J1332" s="47"/>
      <c r="K1332" s="47"/>
      <c r="L1332" s="47"/>
      <c r="M1332" s="47"/>
      <c r="N1332" s="47"/>
      <c r="O1332" s="47"/>
      <c r="P1332" s="45" t="str">
        <f aca="false">IF($A1332="","",IF(COUNTIF(Accounts!$C$2:$C$201,$A1332)+COUNTIF('Service Principals'!$C$2:$C$201,$A1332)+COUNTIF('Managed Identities'!$C$2:$C$201,$A1332)&gt;0,"Yes","NOT IN INVENTORY"))</f>
        <v/>
      </c>
    </row>
    <row r="1333" customFormat="false" ht="15" hidden="false" customHeight="false" outlineLevel="0" collapsed="false">
      <c r="A1333" s="46"/>
      <c r="B1333" s="47"/>
      <c r="C1333" s="47"/>
      <c r="D1333" s="46"/>
      <c r="E1333" s="47"/>
      <c r="F1333" s="47"/>
      <c r="G1333" s="47"/>
      <c r="H1333" s="46"/>
      <c r="I1333" s="47"/>
      <c r="J1333" s="47"/>
      <c r="K1333" s="47"/>
      <c r="L1333" s="47"/>
      <c r="M1333" s="47"/>
      <c r="N1333" s="47"/>
      <c r="O1333" s="47"/>
      <c r="P1333" s="45" t="str">
        <f aca="false">IF($A1333="","",IF(COUNTIF(Accounts!$C$2:$C$201,$A1333)+COUNTIF('Service Principals'!$C$2:$C$201,$A1333)+COUNTIF('Managed Identities'!$C$2:$C$201,$A1333)&gt;0,"Yes","NOT IN INVENTORY"))</f>
        <v/>
      </c>
    </row>
    <row r="1334" customFormat="false" ht="15" hidden="false" customHeight="false" outlineLevel="0" collapsed="false">
      <c r="A1334" s="46"/>
      <c r="B1334" s="47"/>
      <c r="C1334" s="47"/>
      <c r="D1334" s="46"/>
      <c r="E1334" s="47"/>
      <c r="F1334" s="47"/>
      <c r="G1334" s="47"/>
      <c r="H1334" s="46"/>
      <c r="I1334" s="47"/>
      <c r="J1334" s="47"/>
      <c r="K1334" s="47"/>
      <c r="L1334" s="47"/>
      <c r="M1334" s="47"/>
      <c r="N1334" s="47"/>
      <c r="O1334" s="47"/>
      <c r="P1334" s="45" t="str">
        <f aca="false">IF($A1334="","",IF(COUNTIF(Accounts!$C$2:$C$201,$A1334)+COUNTIF('Service Principals'!$C$2:$C$201,$A1334)+COUNTIF('Managed Identities'!$C$2:$C$201,$A1334)&gt;0,"Yes","NOT IN INVENTORY"))</f>
        <v/>
      </c>
    </row>
    <row r="1335" customFormat="false" ht="15" hidden="false" customHeight="false" outlineLevel="0" collapsed="false">
      <c r="A1335" s="46"/>
      <c r="B1335" s="47"/>
      <c r="C1335" s="47"/>
      <c r="D1335" s="46"/>
      <c r="E1335" s="47"/>
      <c r="F1335" s="47"/>
      <c r="G1335" s="47"/>
      <c r="H1335" s="46"/>
      <c r="I1335" s="47"/>
      <c r="J1335" s="47"/>
      <c r="K1335" s="47"/>
      <c r="L1335" s="47"/>
      <c r="M1335" s="47"/>
      <c r="N1335" s="47"/>
      <c r="O1335" s="47"/>
      <c r="P1335" s="45" t="str">
        <f aca="false">IF($A1335="","",IF(COUNTIF(Accounts!$C$2:$C$201,$A1335)+COUNTIF('Service Principals'!$C$2:$C$201,$A1335)+COUNTIF('Managed Identities'!$C$2:$C$201,$A1335)&gt;0,"Yes","NOT IN INVENTORY"))</f>
        <v/>
      </c>
    </row>
    <row r="1336" customFormat="false" ht="15" hidden="false" customHeight="false" outlineLevel="0" collapsed="false">
      <c r="A1336" s="46"/>
      <c r="B1336" s="47"/>
      <c r="C1336" s="47"/>
      <c r="D1336" s="46"/>
      <c r="E1336" s="47"/>
      <c r="F1336" s="47"/>
      <c r="G1336" s="47"/>
      <c r="H1336" s="46"/>
      <c r="I1336" s="47"/>
      <c r="J1336" s="47"/>
      <c r="K1336" s="47"/>
      <c r="L1336" s="47"/>
      <c r="M1336" s="47"/>
      <c r="N1336" s="47"/>
      <c r="O1336" s="47"/>
      <c r="P1336" s="45" t="str">
        <f aca="false">IF($A1336="","",IF(COUNTIF(Accounts!$C$2:$C$201,$A1336)+COUNTIF('Service Principals'!$C$2:$C$201,$A1336)+COUNTIF('Managed Identities'!$C$2:$C$201,$A1336)&gt;0,"Yes","NOT IN INVENTORY"))</f>
        <v/>
      </c>
    </row>
    <row r="1337" customFormat="false" ht="15" hidden="false" customHeight="false" outlineLevel="0" collapsed="false">
      <c r="A1337" s="46"/>
      <c r="B1337" s="47"/>
      <c r="C1337" s="47"/>
      <c r="D1337" s="46"/>
      <c r="E1337" s="47"/>
      <c r="F1337" s="47"/>
      <c r="G1337" s="47"/>
      <c r="H1337" s="46"/>
      <c r="I1337" s="47"/>
      <c r="J1337" s="47"/>
      <c r="K1337" s="47"/>
      <c r="L1337" s="47"/>
      <c r="M1337" s="47"/>
      <c r="N1337" s="47"/>
      <c r="O1337" s="47"/>
      <c r="P1337" s="45" t="str">
        <f aca="false">IF($A1337="","",IF(COUNTIF(Accounts!$C$2:$C$201,$A1337)+COUNTIF('Service Principals'!$C$2:$C$201,$A1337)+COUNTIF('Managed Identities'!$C$2:$C$201,$A1337)&gt;0,"Yes","NOT IN INVENTORY"))</f>
        <v/>
      </c>
    </row>
    <row r="1338" customFormat="false" ht="15" hidden="false" customHeight="false" outlineLevel="0" collapsed="false">
      <c r="A1338" s="46"/>
      <c r="B1338" s="47"/>
      <c r="C1338" s="47"/>
      <c r="D1338" s="46"/>
      <c r="E1338" s="47"/>
      <c r="F1338" s="47"/>
      <c r="G1338" s="47"/>
      <c r="H1338" s="46"/>
      <c r="I1338" s="47"/>
      <c r="J1338" s="47"/>
      <c r="K1338" s="47"/>
      <c r="L1338" s="47"/>
      <c r="M1338" s="47"/>
      <c r="N1338" s="47"/>
      <c r="O1338" s="47"/>
      <c r="P1338" s="45" t="str">
        <f aca="false">IF($A1338="","",IF(COUNTIF(Accounts!$C$2:$C$201,$A1338)+COUNTIF('Service Principals'!$C$2:$C$201,$A1338)+COUNTIF('Managed Identities'!$C$2:$C$201,$A1338)&gt;0,"Yes","NOT IN INVENTORY"))</f>
        <v/>
      </c>
    </row>
    <row r="1339" customFormat="false" ht="15" hidden="false" customHeight="false" outlineLevel="0" collapsed="false">
      <c r="A1339" s="46"/>
      <c r="B1339" s="47"/>
      <c r="C1339" s="47"/>
      <c r="D1339" s="46"/>
      <c r="E1339" s="47"/>
      <c r="F1339" s="47"/>
      <c r="G1339" s="47"/>
      <c r="H1339" s="46"/>
      <c r="I1339" s="47"/>
      <c r="J1339" s="47"/>
      <c r="K1339" s="47"/>
      <c r="L1339" s="47"/>
      <c r="M1339" s="47"/>
      <c r="N1339" s="47"/>
      <c r="O1339" s="47"/>
      <c r="P1339" s="45" t="str">
        <f aca="false">IF($A1339="","",IF(COUNTIF(Accounts!$C$2:$C$201,$A1339)+COUNTIF('Service Principals'!$C$2:$C$201,$A1339)+COUNTIF('Managed Identities'!$C$2:$C$201,$A1339)&gt;0,"Yes","NOT IN INVENTORY"))</f>
        <v/>
      </c>
    </row>
    <row r="1340" customFormat="false" ht="15" hidden="false" customHeight="false" outlineLevel="0" collapsed="false">
      <c r="A1340" s="46"/>
      <c r="B1340" s="47"/>
      <c r="C1340" s="47"/>
      <c r="D1340" s="46"/>
      <c r="E1340" s="47"/>
      <c r="F1340" s="47"/>
      <c r="G1340" s="47"/>
      <c r="H1340" s="46"/>
      <c r="I1340" s="47"/>
      <c r="J1340" s="47"/>
      <c r="K1340" s="47"/>
      <c r="L1340" s="47"/>
      <c r="M1340" s="47"/>
      <c r="N1340" s="47"/>
      <c r="O1340" s="47"/>
      <c r="P1340" s="45" t="str">
        <f aca="false">IF($A1340="","",IF(COUNTIF(Accounts!$C$2:$C$201,$A1340)+COUNTIF('Service Principals'!$C$2:$C$201,$A1340)+COUNTIF('Managed Identities'!$C$2:$C$201,$A1340)&gt;0,"Yes","NOT IN INVENTORY"))</f>
        <v/>
      </c>
    </row>
    <row r="1341" customFormat="false" ht="15" hidden="false" customHeight="false" outlineLevel="0" collapsed="false">
      <c r="A1341" s="46"/>
      <c r="B1341" s="47"/>
      <c r="C1341" s="47"/>
      <c r="D1341" s="46"/>
      <c r="E1341" s="47"/>
      <c r="F1341" s="47"/>
      <c r="G1341" s="47"/>
      <c r="H1341" s="46"/>
      <c r="I1341" s="47"/>
      <c r="J1341" s="47"/>
      <c r="K1341" s="47"/>
      <c r="L1341" s="47"/>
      <c r="M1341" s="47"/>
      <c r="N1341" s="47"/>
      <c r="O1341" s="47"/>
      <c r="P1341" s="45" t="str">
        <f aca="false">IF($A1341="","",IF(COUNTIF(Accounts!$C$2:$C$201,$A1341)+COUNTIF('Service Principals'!$C$2:$C$201,$A1341)+COUNTIF('Managed Identities'!$C$2:$C$201,$A1341)&gt;0,"Yes","NOT IN INVENTORY"))</f>
        <v/>
      </c>
    </row>
    <row r="1342" customFormat="false" ht="15" hidden="false" customHeight="false" outlineLevel="0" collapsed="false">
      <c r="A1342" s="46"/>
      <c r="B1342" s="47"/>
      <c r="C1342" s="47"/>
      <c r="D1342" s="46"/>
      <c r="E1342" s="47"/>
      <c r="F1342" s="47"/>
      <c r="G1342" s="47"/>
      <c r="H1342" s="46"/>
      <c r="I1342" s="47"/>
      <c r="J1342" s="47"/>
      <c r="K1342" s="47"/>
      <c r="L1342" s="47"/>
      <c r="M1342" s="47"/>
      <c r="N1342" s="47"/>
      <c r="O1342" s="47"/>
      <c r="P1342" s="45" t="str">
        <f aca="false">IF($A1342="","",IF(COUNTIF(Accounts!$C$2:$C$201,$A1342)+COUNTIF('Service Principals'!$C$2:$C$201,$A1342)+COUNTIF('Managed Identities'!$C$2:$C$201,$A1342)&gt;0,"Yes","NOT IN INVENTORY"))</f>
        <v/>
      </c>
    </row>
    <row r="1343" customFormat="false" ht="15" hidden="false" customHeight="false" outlineLevel="0" collapsed="false">
      <c r="A1343" s="46"/>
      <c r="B1343" s="47"/>
      <c r="C1343" s="47"/>
      <c r="D1343" s="46"/>
      <c r="E1343" s="47"/>
      <c r="F1343" s="47"/>
      <c r="G1343" s="47"/>
      <c r="H1343" s="46"/>
      <c r="I1343" s="47"/>
      <c r="J1343" s="47"/>
      <c r="K1343" s="47"/>
      <c r="L1343" s="47"/>
      <c r="M1343" s="47"/>
      <c r="N1343" s="47"/>
      <c r="O1343" s="47"/>
      <c r="P1343" s="45" t="str">
        <f aca="false">IF($A1343="","",IF(COUNTIF(Accounts!$C$2:$C$201,$A1343)+COUNTIF('Service Principals'!$C$2:$C$201,$A1343)+COUNTIF('Managed Identities'!$C$2:$C$201,$A1343)&gt;0,"Yes","NOT IN INVENTORY"))</f>
        <v/>
      </c>
    </row>
    <row r="1344" customFormat="false" ht="15" hidden="false" customHeight="false" outlineLevel="0" collapsed="false">
      <c r="A1344" s="46"/>
      <c r="B1344" s="47"/>
      <c r="C1344" s="47"/>
      <c r="D1344" s="46"/>
      <c r="E1344" s="47"/>
      <c r="F1344" s="47"/>
      <c r="G1344" s="47"/>
      <c r="H1344" s="46"/>
      <c r="I1344" s="47"/>
      <c r="J1344" s="47"/>
      <c r="K1344" s="47"/>
      <c r="L1344" s="47"/>
      <c r="M1344" s="47"/>
      <c r="N1344" s="47"/>
      <c r="O1344" s="47"/>
      <c r="P1344" s="45" t="str">
        <f aca="false">IF($A1344="","",IF(COUNTIF(Accounts!$C$2:$C$201,$A1344)+COUNTIF('Service Principals'!$C$2:$C$201,$A1344)+COUNTIF('Managed Identities'!$C$2:$C$201,$A1344)&gt;0,"Yes","NOT IN INVENTORY"))</f>
        <v/>
      </c>
    </row>
    <row r="1345" customFormat="false" ht="15" hidden="false" customHeight="false" outlineLevel="0" collapsed="false">
      <c r="A1345" s="46"/>
      <c r="B1345" s="47"/>
      <c r="C1345" s="47"/>
      <c r="D1345" s="46"/>
      <c r="E1345" s="47"/>
      <c r="F1345" s="47"/>
      <c r="G1345" s="47"/>
      <c r="H1345" s="46"/>
      <c r="I1345" s="47"/>
      <c r="J1345" s="47"/>
      <c r="K1345" s="47"/>
      <c r="L1345" s="47"/>
      <c r="M1345" s="47"/>
      <c r="N1345" s="47"/>
      <c r="O1345" s="47"/>
      <c r="P1345" s="45" t="str">
        <f aca="false">IF($A1345="","",IF(COUNTIF(Accounts!$C$2:$C$201,$A1345)+COUNTIF('Service Principals'!$C$2:$C$201,$A1345)+COUNTIF('Managed Identities'!$C$2:$C$201,$A1345)&gt;0,"Yes","NOT IN INVENTORY"))</f>
        <v/>
      </c>
    </row>
    <row r="1346" customFormat="false" ht="15" hidden="false" customHeight="false" outlineLevel="0" collapsed="false">
      <c r="A1346" s="46"/>
      <c r="B1346" s="47"/>
      <c r="C1346" s="47"/>
      <c r="D1346" s="46"/>
      <c r="E1346" s="47"/>
      <c r="F1346" s="47"/>
      <c r="G1346" s="47"/>
      <c r="H1346" s="46"/>
      <c r="I1346" s="47"/>
      <c r="J1346" s="47"/>
      <c r="K1346" s="47"/>
      <c r="L1346" s="47"/>
      <c r="M1346" s="47"/>
      <c r="N1346" s="47"/>
      <c r="O1346" s="47"/>
      <c r="P1346" s="45" t="str">
        <f aca="false">IF($A1346="","",IF(COUNTIF(Accounts!$C$2:$C$201,$A1346)+COUNTIF('Service Principals'!$C$2:$C$201,$A1346)+COUNTIF('Managed Identities'!$C$2:$C$201,$A1346)&gt;0,"Yes","NOT IN INVENTORY"))</f>
        <v/>
      </c>
    </row>
    <row r="1347" customFormat="false" ht="15" hidden="false" customHeight="false" outlineLevel="0" collapsed="false">
      <c r="A1347" s="46"/>
      <c r="B1347" s="47"/>
      <c r="C1347" s="47"/>
      <c r="D1347" s="46"/>
      <c r="E1347" s="47"/>
      <c r="F1347" s="47"/>
      <c r="G1347" s="47"/>
      <c r="H1347" s="46"/>
      <c r="I1347" s="47"/>
      <c r="J1347" s="47"/>
      <c r="K1347" s="47"/>
      <c r="L1347" s="47"/>
      <c r="M1347" s="47"/>
      <c r="N1347" s="47"/>
      <c r="O1347" s="47"/>
      <c r="P1347" s="45" t="str">
        <f aca="false">IF($A1347="","",IF(COUNTIF(Accounts!$C$2:$C$201,$A1347)+COUNTIF('Service Principals'!$C$2:$C$201,$A1347)+COUNTIF('Managed Identities'!$C$2:$C$201,$A1347)&gt;0,"Yes","NOT IN INVENTORY"))</f>
        <v/>
      </c>
    </row>
    <row r="1348" customFormat="false" ht="15" hidden="false" customHeight="false" outlineLevel="0" collapsed="false">
      <c r="A1348" s="46"/>
      <c r="B1348" s="47"/>
      <c r="C1348" s="47"/>
      <c r="D1348" s="46"/>
      <c r="E1348" s="47"/>
      <c r="F1348" s="47"/>
      <c r="G1348" s="47"/>
      <c r="H1348" s="46"/>
      <c r="I1348" s="47"/>
      <c r="J1348" s="47"/>
      <c r="K1348" s="47"/>
      <c r="L1348" s="47"/>
      <c r="M1348" s="47"/>
      <c r="N1348" s="47"/>
      <c r="O1348" s="47"/>
      <c r="P1348" s="45" t="str">
        <f aca="false">IF($A1348="","",IF(COUNTIF(Accounts!$C$2:$C$201,$A1348)+COUNTIF('Service Principals'!$C$2:$C$201,$A1348)+COUNTIF('Managed Identities'!$C$2:$C$201,$A1348)&gt;0,"Yes","NOT IN INVENTORY"))</f>
        <v/>
      </c>
    </row>
    <row r="1349" customFormat="false" ht="15" hidden="false" customHeight="false" outlineLevel="0" collapsed="false">
      <c r="A1349" s="46"/>
      <c r="B1349" s="47"/>
      <c r="C1349" s="47"/>
      <c r="D1349" s="46"/>
      <c r="E1349" s="47"/>
      <c r="F1349" s="47"/>
      <c r="G1349" s="47"/>
      <c r="H1349" s="46"/>
      <c r="I1349" s="47"/>
      <c r="J1349" s="47"/>
      <c r="K1349" s="47"/>
      <c r="L1349" s="47"/>
      <c r="M1349" s="47"/>
      <c r="N1349" s="47"/>
      <c r="O1349" s="47"/>
      <c r="P1349" s="45" t="str">
        <f aca="false">IF($A1349="","",IF(COUNTIF(Accounts!$C$2:$C$201,$A1349)+COUNTIF('Service Principals'!$C$2:$C$201,$A1349)+COUNTIF('Managed Identities'!$C$2:$C$201,$A1349)&gt;0,"Yes","NOT IN INVENTORY"))</f>
        <v/>
      </c>
    </row>
    <row r="1350" customFormat="false" ht="15" hidden="false" customHeight="false" outlineLevel="0" collapsed="false">
      <c r="A1350" s="46"/>
      <c r="B1350" s="47"/>
      <c r="C1350" s="47"/>
      <c r="D1350" s="46"/>
      <c r="E1350" s="47"/>
      <c r="F1350" s="47"/>
      <c r="G1350" s="47"/>
      <c r="H1350" s="46"/>
      <c r="I1350" s="47"/>
      <c r="J1350" s="47"/>
      <c r="K1350" s="47"/>
      <c r="L1350" s="47"/>
      <c r="M1350" s="47"/>
      <c r="N1350" s="47"/>
      <c r="O1350" s="47"/>
      <c r="P1350" s="45" t="str">
        <f aca="false">IF($A1350="","",IF(COUNTIF(Accounts!$C$2:$C$201,$A1350)+COUNTIF('Service Principals'!$C$2:$C$201,$A1350)+COUNTIF('Managed Identities'!$C$2:$C$201,$A1350)&gt;0,"Yes","NOT IN INVENTORY"))</f>
        <v/>
      </c>
    </row>
    <row r="1351" customFormat="false" ht="15" hidden="false" customHeight="false" outlineLevel="0" collapsed="false">
      <c r="A1351" s="46"/>
      <c r="B1351" s="47"/>
      <c r="C1351" s="47"/>
      <c r="D1351" s="46"/>
      <c r="E1351" s="47"/>
      <c r="F1351" s="47"/>
      <c r="G1351" s="47"/>
      <c r="H1351" s="46"/>
      <c r="I1351" s="47"/>
      <c r="J1351" s="47"/>
      <c r="K1351" s="47"/>
      <c r="L1351" s="47"/>
      <c r="M1351" s="47"/>
      <c r="N1351" s="47"/>
      <c r="O1351" s="47"/>
      <c r="P1351" s="45" t="str">
        <f aca="false">IF($A1351="","",IF(COUNTIF(Accounts!$C$2:$C$201,$A1351)+COUNTIF('Service Principals'!$C$2:$C$201,$A1351)+COUNTIF('Managed Identities'!$C$2:$C$201,$A1351)&gt;0,"Yes","NOT IN INVENTORY"))</f>
        <v/>
      </c>
    </row>
    <row r="1352" customFormat="false" ht="15" hidden="false" customHeight="false" outlineLevel="0" collapsed="false">
      <c r="A1352" s="46"/>
      <c r="B1352" s="47"/>
      <c r="C1352" s="47"/>
      <c r="D1352" s="46"/>
      <c r="E1352" s="47"/>
      <c r="F1352" s="47"/>
      <c r="G1352" s="47"/>
      <c r="H1352" s="46"/>
      <c r="I1352" s="47"/>
      <c r="J1352" s="47"/>
      <c r="K1352" s="47"/>
      <c r="L1352" s="47"/>
      <c r="M1352" s="47"/>
      <c r="N1352" s="47"/>
      <c r="O1352" s="47"/>
      <c r="P1352" s="45" t="str">
        <f aca="false">IF($A1352="","",IF(COUNTIF(Accounts!$C$2:$C$201,$A1352)+COUNTIF('Service Principals'!$C$2:$C$201,$A1352)+COUNTIF('Managed Identities'!$C$2:$C$201,$A1352)&gt;0,"Yes","NOT IN INVENTORY"))</f>
        <v/>
      </c>
    </row>
    <row r="1353" customFormat="false" ht="15" hidden="false" customHeight="false" outlineLevel="0" collapsed="false">
      <c r="A1353" s="46"/>
      <c r="B1353" s="47"/>
      <c r="C1353" s="47"/>
      <c r="D1353" s="46"/>
      <c r="E1353" s="47"/>
      <c r="F1353" s="47"/>
      <c r="G1353" s="47"/>
      <c r="H1353" s="46"/>
      <c r="I1353" s="47"/>
      <c r="J1353" s="47"/>
      <c r="K1353" s="47"/>
      <c r="L1353" s="47"/>
      <c r="M1353" s="47"/>
      <c r="N1353" s="47"/>
      <c r="O1353" s="47"/>
      <c r="P1353" s="45" t="str">
        <f aca="false">IF($A1353="","",IF(COUNTIF(Accounts!$C$2:$C$201,$A1353)+COUNTIF('Service Principals'!$C$2:$C$201,$A1353)+COUNTIF('Managed Identities'!$C$2:$C$201,$A1353)&gt;0,"Yes","NOT IN INVENTORY"))</f>
        <v/>
      </c>
    </row>
    <row r="1354" customFormat="false" ht="15" hidden="false" customHeight="false" outlineLevel="0" collapsed="false">
      <c r="A1354" s="46"/>
      <c r="B1354" s="47"/>
      <c r="C1354" s="47"/>
      <c r="D1354" s="46"/>
      <c r="E1354" s="47"/>
      <c r="F1354" s="47"/>
      <c r="G1354" s="47"/>
      <c r="H1354" s="46"/>
      <c r="I1354" s="47"/>
      <c r="J1354" s="47"/>
      <c r="K1354" s="47"/>
      <c r="L1354" s="47"/>
      <c r="M1354" s="47"/>
      <c r="N1354" s="47"/>
      <c r="O1354" s="47"/>
      <c r="P1354" s="45" t="str">
        <f aca="false">IF($A1354="","",IF(COUNTIF(Accounts!$C$2:$C$201,$A1354)+COUNTIF('Service Principals'!$C$2:$C$201,$A1354)+COUNTIF('Managed Identities'!$C$2:$C$201,$A1354)&gt;0,"Yes","NOT IN INVENTORY"))</f>
        <v/>
      </c>
    </row>
    <row r="1355" customFormat="false" ht="15" hidden="false" customHeight="false" outlineLevel="0" collapsed="false">
      <c r="A1355" s="46"/>
      <c r="B1355" s="47"/>
      <c r="C1355" s="47"/>
      <c r="D1355" s="46"/>
      <c r="E1355" s="47"/>
      <c r="F1355" s="47"/>
      <c r="G1355" s="47"/>
      <c r="H1355" s="46"/>
      <c r="I1355" s="47"/>
      <c r="J1355" s="47"/>
      <c r="K1355" s="47"/>
      <c r="L1355" s="47"/>
      <c r="M1355" s="47"/>
      <c r="N1355" s="47"/>
      <c r="O1355" s="47"/>
      <c r="P1355" s="45" t="str">
        <f aca="false">IF($A1355="","",IF(COUNTIF(Accounts!$C$2:$C$201,$A1355)+COUNTIF('Service Principals'!$C$2:$C$201,$A1355)+COUNTIF('Managed Identities'!$C$2:$C$201,$A1355)&gt;0,"Yes","NOT IN INVENTORY"))</f>
        <v/>
      </c>
    </row>
    <row r="1356" customFormat="false" ht="15" hidden="false" customHeight="false" outlineLevel="0" collapsed="false">
      <c r="A1356" s="46"/>
      <c r="B1356" s="47"/>
      <c r="C1356" s="47"/>
      <c r="D1356" s="46"/>
      <c r="E1356" s="47"/>
      <c r="F1356" s="47"/>
      <c r="G1356" s="47"/>
      <c r="H1356" s="46"/>
      <c r="I1356" s="47"/>
      <c r="J1356" s="47"/>
      <c r="K1356" s="47"/>
      <c r="L1356" s="47"/>
      <c r="M1356" s="47"/>
      <c r="N1356" s="47"/>
      <c r="O1356" s="47"/>
      <c r="P1356" s="45" t="str">
        <f aca="false">IF($A1356="","",IF(COUNTIF(Accounts!$C$2:$C$201,$A1356)+COUNTIF('Service Principals'!$C$2:$C$201,$A1356)+COUNTIF('Managed Identities'!$C$2:$C$201,$A1356)&gt;0,"Yes","NOT IN INVENTORY"))</f>
        <v/>
      </c>
    </row>
    <row r="1357" customFormat="false" ht="15" hidden="false" customHeight="false" outlineLevel="0" collapsed="false">
      <c r="A1357" s="46"/>
      <c r="B1357" s="47"/>
      <c r="C1357" s="47"/>
      <c r="D1357" s="46"/>
      <c r="E1357" s="47"/>
      <c r="F1357" s="47"/>
      <c r="G1357" s="47"/>
      <c r="H1357" s="46"/>
      <c r="I1357" s="47"/>
      <c r="J1357" s="47"/>
      <c r="K1357" s="47"/>
      <c r="L1357" s="47"/>
      <c r="M1357" s="47"/>
      <c r="N1357" s="47"/>
      <c r="O1357" s="47"/>
      <c r="P1357" s="45" t="str">
        <f aca="false">IF($A1357="","",IF(COUNTIF(Accounts!$C$2:$C$201,$A1357)+COUNTIF('Service Principals'!$C$2:$C$201,$A1357)+COUNTIF('Managed Identities'!$C$2:$C$201,$A1357)&gt;0,"Yes","NOT IN INVENTORY"))</f>
        <v/>
      </c>
    </row>
    <row r="1358" customFormat="false" ht="15" hidden="false" customHeight="false" outlineLevel="0" collapsed="false">
      <c r="A1358" s="46"/>
      <c r="B1358" s="47"/>
      <c r="C1358" s="47"/>
      <c r="D1358" s="46"/>
      <c r="E1358" s="47"/>
      <c r="F1358" s="47"/>
      <c r="G1358" s="47"/>
      <c r="H1358" s="46"/>
      <c r="I1358" s="47"/>
      <c r="J1358" s="47"/>
      <c r="K1358" s="47"/>
      <c r="L1358" s="47"/>
      <c r="M1358" s="47"/>
      <c r="N1358" s="47"/>
      <c r="O1358" s="47"/>
      <c r="P1358" s="45" t="str">
        <f aca="false">IF($A1358="","",IF(COUNTIF(Accounts!$C$2:$C$201,$A1358)+COUNTIF('Service Principals'!$C$2:$C$201,$A1358)+COUNTIF('Managed Identities'!$C$2:$C$201,$A1358)&gt;0,"Yes","NOT IN INVENTORY"))</f>
        <v/>
      </c>
    </row>
    <row r="1359" customFormat="false" ht="15" hidden="false" customHeight="false" outlineLevel="0" collapsed="false">
      <c r="A1359" s="46"/>
      <c r="B1359" s="47"/>
      <c r="C1359" s="47"/>
      <c r="D1359" s="46"/>
      <c r="E1359" s="47"/>
      <c r="F1359" s="47"/>
      <c r="G1359" s="47"/>
      <c r="H1359" s="46"/>
      <c r="I1359" s="47"/>
      <c r="J1359" s="47"/>
      <c r="K1359" s="47"/>
      <c r="L1359" s="47"/>
      <c r="M1359" s="47"/>
      <c r="N1359" s="47"/>
      <c r="O1359" s="47"/>
      <c r="P1359" s="45" t="str">
        <f aca="false">IF($A1359="","",IF(COUNTIF(Accounts!$C$2:$C$201,$A1359)+COUNTIF('Service Principals'!$C$2:$C$201,$A1359)+COUNTIF('Managed Identities'!$C$2:$C$201,$A1359)&gt;0,"Yes","NOT IN INVENTORY"))</f>
        <v/>
      </c>
    </row>
    <row r="1360" customFormat="false" ht="15" hidden="false" customHeight="false" outlineLevel="0" collapsed="false">
      <c r="A1360" s="46"/>
      <c r="B1360" s="47"/>
      <c r="C1360" s="47"/>
      <c r="D1360" s="46"/>
      <c r="E1360" s="47"/>
      <c r="F1360" s="47"/>
      <c r="G1360" s="47"/>
      <c r="H1360" s="46"/>
      <c r="I1360" s="47"/>
      <c r="J1360" s="47"/>
      <c r="K1360" s="47"/>
      <c r="L1360" s="47"/>
      <c r="M1360" s="47"/>
      <c r="N1360" s="47"/>
      <c r="O1360" s="47"/>
      <c r="P1360" s="45" t="str">
        <f aca="false">IF($A1360="","",IF(COUNTIF(Accounts!$C$2:$C$201,$A1360)+COUNTIF('Service Principals'!$C$2:$C$201,$A1360)+COUNTIF('Managed Identities'!$C$2:$C$201,$A1360)&gt;0,"Yes","NOT IN INVENTORY"))</f>
        <v/>
      </c>
    </row>
    <row r="1361" customFormat="false" ht="15" hidden="false" customHeight="false" outlineLevel="0" collapsed="false">
      <c r="A1361" s="46"/>
      <c r="B1361" s="47"/>
      <c r="C1361" s="47"/>
      <c r="D1361" s="46"/>
      <c r="E1361" s="47"/>
      <c r="F1361" s="47"/>
      <c r="G1361" s="47"/>
      <c r="H1361" s="46"/>
      <c r="I1361" s="47"/>
      <c r="J1361" s="47"/>
      <c r="K1361" s="47"/>
      <c r="L1361" s="47"/>
      <c r="M1361" s="47"/>
      <c r="N1361" s="47"/>
      <c r="O1361" s="47"/>
      <c r="P1361" s="45" t="str">
        <f aca="false">IF($A1361="","",IF(COUNTIF(Accounts!$C$2:$C$201,$A1361)+COUNTIF('Service Principals'!$C$2:$C$201,$A1361)+COUNTIF('Managed Identities'!$C$2:$C$201,$A1361)&gt;0,"Yes","NOT IN INVENTORY"))</f>
        <v/>
      </c>
    </row>
    <row r="1362" customFormat="false" ht="15" hidden="false" customHeight="false" outlineLevel="0" collapsed="false">
      <c r="A1362" s="46"/>
      <c r="B1362" s="47"/>
      <c r="C1362" s="47"/>
      <c r="D1362" s="46"/>
      <c r="E1362" s="47"/>
      <c r="F1362" s="47"/>
      <c r="G1362" s="47"/>
      <c r="H1362" s="46"/>
      <c r="I1362" s="47"/>
      <c r="J1362" s="47"/>
      <c r="K1362" s="47"/>
      <c r="L1362" s="47"/>
      <c r="M1362" s="47"/>
      <c r="N1362" s="47"/>
      <c r="O1362" s="47"/>
      <c r="P1362" s="45" t="str">
        <f aca="false">IF($A1362="","",IF(COUNTIF(Accounts!$C$2:$C$201,$A1362)+COUNTIF('Service Principals'!$C$2:$C$201,$A1362)+COUNTIF('Managed Identities'!$C$2:$C$201,$A1362)&gt;0,"Yes","NOT IN INVENTORY"))</f>
        <v/>
      </c>
    </row>
    <row r="1363" customFormat="false" ht="15" hidden="false" customHeight="false" outlineLevel="0" collapsed="false">
      <c r="A1363" s="46"/>
      <c r="B1363" s="47"/>
      <c r="C1363" s="47"/>
      <c r="D1363" s="46"/>
      <c r="E1363" s="47"/>
      <c r="F1363" s="47"/>
      <c r="G1363" s="47"/>
      <c r="H1363" s="46"/>
      <c r="I1363" s="47"/>
      <c r="J1363" s="47"/>
      <c r="K1363" s="47"/>
      <c r="L1363" s="47"/>
      <c r="M1363" s="47"/>
      <c r="N1363" s="47"/>
      <c r="O1363" s="47"/>
      <c r="P1363" s="45" t="str">
        <f aca="false">IF($A1363="","",IF(COUNTIF(Accounts!$C$2:$C$201,$A1363)+COUNTIF('Service Principals'!$C$2:$C$201,$A1363)+COUNTIF('Managed Identities'!$C$2:$C$201,$A1363)&gt;0,"Yes","NOT IN INVENTORY"))</f>
        <v/>
      </c>
    </row>
    <row r="1364" customFormat="false" ht="15" hidden="false" customHeight="false" outlineLevel="0" collapsed="false">
      <c r="A1364" s="46"/>
      <c r="B1364" s="47"/>
      <c r="C1364" s="47"/>
      <c r="D1364" s="46"/>
      <c r="E1364" s="47"/>
      <c r="F1364" s="47"/>
      <c r="G1364" s="47"/>
      <c r="H1364" s="46"/>
      <c r="I1364" s="47"/>
      <c r="J1364" s="47"/>
      <c r="K1364" s="47"/>
      <c r="L1364" s="47"/>
      <c r="M1364" s="47"/>
      <c r="N1364" s="47"/>
      <c r="O1364" s="47"/>
      <c r="P1364" s="45" t="str">
        <f aca="false">IF($A1364="","",IF(COUNTIF(Accounts!$C$2:$C$201,$A1364)+COUNTIF('Service Principals'!$C$2:$C$201,$A1364)+COUNTIF('Managed Identities'!$C$2:$C$201,$A1364)&gt;0,"Yes","NOT IN INVENTORY"))</f>
        <v/>
      </c>
    </row>
    <row r="1365" customFormat="false" ht="15" hidden="false" customHeight="false" outlineLevel="0" collapsed="false">
      <c r="A1365" s="46"/>
      <c r="B1365" s="47"/>
      <c r="C1365" s="47"/>
      <c r="D1365" s="46"/>
      <c r="E1365" s="47"/>
      <c r="F1365" s="47"/>
      <c r="G1365" s="47"/>
      <c r="H1365" s="46"/>
      <c r="I1365" s="47"/>
      <c r="J1365" s="47"/>
      <c r="K1365" s="47"/>
      <c r="L1365" s="47"/>
      <c r="M1365" s="47"/>
      <c r="N1365" s="47"/>
      <c r="O1365" s="47"/>
      <c r="P1365" s="45" t="str">
        <f aca="false">IF($A1365="","",IF(COUNTIF(Accounts!$C$2:$C$201,$A1365)+COUNTIF('Service Principals'!$C$2:$C$201,$A1365)+COUNTIF('Managed Identities'!$C$2:$C$201,$A1365)&gt;0,"Yes","NOT IN INVENTORY"))</f>
        <v/>
      </c>
    </row>
    <row r="1366" customFormat="false" ht="15" hidden="false" customHeight="false" outlineLevel="0" collapsed="false">
      <c r="A1366" s="46"/>
      <c r="B1366" s="47"/>
      <c r="C1366" s="47"/>
      <c r="D1366" s="46"/>
      <c r="E1366" s="47"/>
      <c r="F1366" s="47"/>
      <c r="G1366" s="47"/>
      <c r="H1366" s="46"/>
      <c r="I1366" s="47"/>
      <c r="J1366" s="47"/>
      <c r="K1366" s="47"/>
      <c r="L1366" s="47"/>
      <c r="M1366" s="47"/>
      <c r="N1366" s="47"/>
      <c r="O1366" s="47"/>
      <c r="P1366" s="45" t="str">
        <f aca="false">IF($A1366="","",IF(COUNTIF(Accounts!$C$2:$C$201,$A1366)+COUNTIF('Service Principals'!$C$2:$C$201,$A1366)+COUNTIF('Managed Identities'!$C$2:$C$201,$A1366)&gt;0,"Yes","NOT IN INVENTORY"))</f>
        <v/>
      </c>
    </row>
    <row r="1367" customFormat="false" ht="15" hidden="false" customHeight="false" outlineLevel="0" collapsed="false">
      <c r="A1367" s="46"/>
      <c r="B1367" s="47"/>
      <c r="C1367" s="47"/>
      <c r="D1367" s="46"/>
      <c r="E1367" s="47"/>
      <c r="F1367" s="47"/>
      <c r="G1367" s="47"/>
      <c r="H1367" s="46"/>
      <c r="I1367" s="47"/>
      <c r="J1367" s="47"/>
      <c r="K1367" s="47"/>
      <c r="L1367" s="47"/>
      <c r="M1367" s="47"/>
      <c r="N1367" s="47"/>
      <c r="O1367" s="47"/>
      <c r="P1367" s="45" t="str">
        <f aca="false">IF($A1367="","",IF(COUNTIF(Accounts!$C$2:$C$201,$A1367)+COUNTIF('Service Principals'!$C$2:$C$201,$A1367)+COUNTIF('Managed Identities'!$C$2:$C$201,$A1367)&gt;0,"Yes","NOT IN INVENTORY"))</f>
        <v/>
      </c>
    </row>
    <row r="1368" customFormat="false" ht="15" hidden="false" customHeight="false" outlineLevel="0" collapsed="false">
      <c r="A1368" s="46"/>
      <c r="B1368" s="47"/>
      <c r="C1368" s="47"/>
      <c r="D1368" s="46"/>
      <c r="E1368" s="47"/>
      <c r="F1368" s="47"/>
      <c r="G1368" s="47"/>
      <c r="H1368" s="46"/>
      <c r="I1368" s="47"/>
      <c r="J1368" s="47"/>
      <c r="K1368" s="47"/>
      <c r="L1368" s="47"/>
      <c r="M1368" s="47"/>
      <c r="N1368" s="47"/>
      <c r="O1368" s="47"/>
      <c r="P1368" s="45" t="str">
        <f aca="false">IF($A1368="","",IF(COUNTIF(Accounts!$C$2:$C$201,$A1368)+COUNTIF('Service Principals'!$C$2:$C$201,$A1368)+COUNTIF('Managed Identities'!$C$2:$C$201,$A1368)&gt;0,"Yes","NOT IN INVENTORY"))</f>
        <v/>
      </c>
    </row>
    <row r="1369" customFormat="false" ht="15" hidden="false" customHeight="false" outlineLevel="0" collapsed="false">
      <c r="A1369" s="46"/>
      <c r="B1369" s="47"/>
      <c r="C1369" s="47"/>
      <c r="D1369" s="46"/>
      <c r="E1369" s="47"/>
      <c r="F1369" s="47"/>
      <c r="G1369" s="47"/>
      <c r="H1369" s="46"/>
      <c r="I1369" s="47"/>
      <c r="J1369" s="47"/>
      <c r="K1369" s="47"/>
      <c r="L1369" s="47"/>
      <c r="M1369" s="47"/>
      <c r="N1369" s="47"/>
      <c r="O1369" s="47"/>
      <c r="P1369" s="45" t="str">
        <f aca="false">IF($A1369="","",IF(COUNTIF(Accounts!$C$2:$C$201,$A1369)+COUNTIF('Service Principals'!$C$2:$C$201,$A1369)+COUNTIF('Managed Identities'!$C$2:$C$201,$A1369)&gt;0,"Yes","NOT IN INVENTORY"))</f>
        <v/>
      </c>
    </row>
    <row r="1370" customFormat="false" ht="15" hidden="false" customHeight="false" outlineLevel="0" collapsed="false">
      <c r="A1370" s="46"/>
      <c r="B1370" s="47"/>
      <c r="C1370" s="47"/>
      <c r="D1370" s="46"/>
      <c r="E1370" s="47"/>
      <c r="F1370" s="47"/>
      <c r="G1370" s="47"/>
      <c r="H1370" s="46"/>
      <c r="I1370" s="47"/>
      <c r="J1370" s="47"/>
      <c r="K1370" s="47"/>
      <c r="L1370" s="47"/>
      <c r="M1370" s="47"/>
      <c r="N1370" s="47"/>
      <c r="O1370" s="47"/>
      <c r="P1370" s="45" t="str">
        <f aca="false">IF($A1370="","",IF(COUNTIF(Accounts!$C$2:$C$201,$A1370)+COUNTIF('Service Principals'!$C$2:$C$201,$A1370)+COUNTIF('Managed Identities'!$C$2:$C$201,$A1370)&gt;0,"Yes","NOT IN INVENTORY"))</f>
        <v/>
      </c>
    </row>
    <row r="1371" customFormat="false" ht="15" hidden="false" customHeight="false" outlineLevel="0" collapsed="false">
      <c r="A1371" s="46"/>
      <c r="B1371" s="47"/>
      <c r="C1371" s="47"/>
      <c r="D1371" s="46"/>
      <c r="E1371" s="47"/>
      <c r="F1371" s="47"/>
      <c r="G1371" s="47"/>
      <c r="H1371" s="46"/>
      <c r="I1371" s="47"/>
      <c r="J1371" s="47"/>
      <c r="K1371" s="47"/>
      <c r="L1371" s="47"/>
      <c r="M1371" s="47"/>
      <c r="N1371" s="47"/>
      <c r="O1371" s="47"/>
      <c r="P1371" s="45" t="str">
        <f aca="false">IF($A1371="","",IF(COUNTIF(Accounts!$C$2:$C$201,$A1371)+COUNTIF('Service Principals'!$C$2:$C$201,$A1371)+COUNTIF('Managed Identities'!$C$2:$C$201,$A1371)&gt;0,"Yes","NOT IN INVENTORY"))</f>
        <v/>
      </c>
    </row>
    <row r="1372" customFormat="false" ht="15" hidden="false" customHeight="false" outlineLevel="0" collapsed="false">
      <c r="A1372" s="46"/>
      <c r="B1372" s="47"/>
      <c r="C1372" s="47"/>
      <c r="D1372" s="46"/>
      <c r="E1372" s="47"/>
      <c r="F1372" s="47"/>
      <c r="G1372" s="47"/>
      <c r="H1372" s="46"/>
      <c r="I1372" s="47"/>
      <c r="J1372" s="47"/>
      <c r="K1372" s="47"/>
      <c r="L1372" s="47"/>
      <c r="M1372" s="47"/>
      <c r="N1372" s="47"/>
      <c r="O1372" s="47"/>
      <c r="P1372" s="45" t="str">
        <f aca="false">IF($A1372="","",IF(COUNTIF(Accounts!$C$2:$C$201,$A1372)+COUNTIF('Service Principals'!$C$2:$C$201,$A1372)+COUNTIF('Managed Identities'!$C$2:$C$201,$A1372)&gt;0,"Yes","NOT IN INVENTORY"))</f>
        <v/>
      </c>
    </row>
    <row r="1373" customFormat="false" ht="15" hidden="false" customHeight="false" outlineLevel="0" collapsed="false">
      <c r="A1373" s="46"/>
      <c r="B1373" s="47"/>
      <c r="C1373" s="47"/>
      <c r="D1373" s="46"/>
      <c r="E1373" s="47"/>
      <c r="F1373" s="47"/>
      <c r="G1373" s="47"/>
      <c r="H1373" s="46"/>
      <c r="I1373" s="47"/>
      <c r="J1373" s="47"/>
      <c r="K1373" s="47"/>
      <c r="L1373" s="47"/>
      <c r="M1373" s="47"/>
      <c r="N1373" s="47"/>
      <c r="O1373" s="47"/>
      <c r="P1373" s="45" t="str">
        <f aca="false">IF($A1373="","",IF(COUNTIF(Accounts!$C$2:$C$201,$A1373)+COUNTIF('Service Principals'!$C$2:$C$201,$A1373)+COUNTIF('Managed Identities'!$C$2:$C$201,$A1373)&gt;0,"Yes","NOT IN INVENTORY"))</f>
        <v/>
      </c>
    </row>
    <row r="1374" customFormat="false" ht="15" hidden="false" customHeight="false" outlineLevel="0" collapsed="false">
      <c r="A1374" s="46"/>
      <c r="B1374" s="47"/>
      <c r="C1374" s="47"/>
      <c r="D1374" s="46"/>
      <c r="E1374" s="47"/>
      <c r="F1374" s="47"/>
      <c r="G1374" s="47"/>
      <c r="H1374" s="46"/>
      <c r="I1374" s="47"/>
      <c r="J1374" s="47"/>
      <c r="K1374" s="47"/>
      <c r="L1374" s="47"/>
      <c r="M1374" s="47"/>
      <c r="N1374" s="47"/>
      <c r="O1374" s="47"/>
      <c r="P1374" s="45" t="str">
        <f aca="false">IF($A1374="","",IF(COUNTIF(Accounts!$C$2:$C$201,$A1374)+COUNTIF('Service Principals'!$C$2:$C$201,$A1374)+COUNTIF('Managed Identities'!$C$2:$C$201,$A1374)&gt;0,"Yes","NOT IN INVENTORY"))</f>
        <v/>
      </c>
    </row>
    <row r="1375" customFormat="false" ht="15" hidden="false" customHeight="false" outlineLevel="0" collapsed="false">
      <c r="A1375" s="46"/>
      <c r="B1375" s="47"/>
      <c r="C1375" s="47"/>
      <c r="D1375" s="46"/>
      <c r="E1375" s="47"/>
      <c r="F1375" s="47"/>
      <c r="G1375" s="47"/>
      <c r="H1375" s="46"/>
      <c r="I1375" s="47"/>
      <c r="J1375" s="47"/>
      <c r="K1375" s="47"/>
      <c r="L1375" s="47"/>
      <c r="M1375" s="47"/>
      <c r="N1375" s="47"/>
      <c r="O1375" s="47"/>
      <c r="P1375" s="45" t="str">
        <f aca="false">IF($A1375="","",IF(COUNTIF(Accounts!$C$2:$C$201,$A1375)+COUNTIF('Service Principals'!$C$2:$C$201,$A1375)+COUNTIF('Managed Identities'!$C$2:$C$201,$A1375)&gt;0,"Yes","NOT IN INVENTORY"))</f>
        <v/>
      </c>
    </row>
    <row r="1376" customFormat="false" ht="15" hidden="false" customHeight="false" outlineLevel="0" collapsed="false">
      <c r="A1376" s="46"/>
      <c r="B1376" s="47"/>
      <c r="C1376" s="47"/>
      <c r="D1376" s="46"/>
      <c r="E1376" s="47"/>
      <c r="F1376" s="47"/>
      <c r="G1376" s="47"/>
      <c r="H1376" s="46"/>
      <c r="I1376" s="47"/>
      <c r="J1376" s="47"/>
      <c r="K1376" s="47"/>
      <c r="L1376" s="47"/>
      <c r="M1376" s="47"/>
      <c r="N1376" s="47"/>
      <c r="O1376" s="47"/>
      <c r="P1376" s="45" t="str">
        <f aca="false">IF($A1376="","",IF(COUNTIF(Accounts!$C$2:$C$201,$A1376)+COUNTIF('Service Principals'!$C$2:$C$201,$A1376)+COUNTIF('Managed Identities'!$C$2:$C$201,$A1376)&gt;0,"Yes","NOT IN INVENTORY"))</f>
        <v/>
      </c>
    </row>
    <row r="1377" customFormat="false" ht="15" hidden="false" customHeight="false" outlineLevel="0" collapsed="false">
      <c r="A1377" s="46"/>
      <c r="B1377" s="47"/>
      <c r="C1377" s="47"/>
      <c r="D1377" s="46"/>
      <c r="E1377" s="47"/>
      <c r="F1377" s="47"/>
      <c r="G1377" s="47"/>
      <c r="H1377" s="46"/>
      <c r="I1377" s="47"/>
      <c r="J1377" s="47"/>
      <c r="K1377" s="47"/>
      <c r="L1377" s="47"/>
      <c r="M1377" s="47"/>
      <c r="N1377" s="47"/>
      <c r="O1377" s="47"/>
      <c r="P1377" s="45" t="str">
        <f aca="false">IF($A1377="","",IF(COUNTIF(Accounts!$C$2:$C$201,$A1377)+COUNTIF('Service Principals'!$C$2:$C$201,$A1377)+COUNTIF('Managed Identities'!$C$2:$C$201,$A1377)&gt;0,"Yes","NOT IN INVENTORY"))</f>
        <v/>
      </c>
    </row>
    <row r="1378" customFormat="false" ht="15" hidden="false" customHeight="false" outlineLevel="0" collapsed="false">
      <c r="A1378" s="46"/>
      <c r="B1378" s="47"/>
      <c r="C1378" s="47"/>
      <c r="D1378" s="46"/>
      <c r="E1378" s="47"/>
      <c r="F1378" s="47"/>
      <c r="G1378" s="47"/>
      <c r="H1378" s="46"/>
      <c r="I1378" s="47"/>
      <c r="J1378" s="47"/>
      <c r="K1378" s="47"/>
      <c r="L1378" s="47"/>
      <c r="M1378" s="47"/>
      <c r="N1378" s="47"/>
      <c r="O1378" s="47"/>
      <c r="P1378" s="45" t="str">
        <f aca="false">IF($A1378="","",IF(COUNTIF(Accounts!$C$2:$C$201,$A1378)+COUNTIF('Service Principals'!$C$2:$C$201,$A1378)+COUNTIF('Managed Identities'!$C$2:$C$201,$A1378)&gt;0,"Yes","NOT IN INVENTORY"))</f>
        <v/>
      </c>
    </row>
    <row r="1379" customFormat="false" ht="15" hidden="false" customHeight="false" outlineLevel="0" collapsed="false">
      <c r="A1379" s="46"/>
      <c r="B1379" s="47"/>
      <c r="C1379" s="47"/>
      <c r="D1379" s="46"/>
      <c r="E1379" s="47"/>
      <c r="F1379" s="47"/>
      <c r="G1379" s="47"/>
      <c r="H1379" s="46"/>
      <c r="I1379" s="47"/>
      <c r="J1379" s="47"/>
      <c r="K1379" s="47"/>
      <c r="L1379" s="47"/>
      <c r="M1379" s="47"/>
      <c r="N1379" s="47"/>
      <c r="O1379" s="47"/>
      <c r="P1379" s="45" t="str">
        <f aca="false">IF($A1379="","",IF(COUNTIF(Accounts!$C$2:$C$201,$A1379)+COUNTIF('Service Principals'!$C$2:$C$201,$A1379)+COUNTIF('Managed Identities'!$C$2:$C$201,$A1379)&gt;0,"Yes","NOT IN INVENTORY"))</f>
        <v/>
      </c>
    </row>
    <row r="1380" customFormat="false" ht="15" hidden="false" customHeight="false" outlineLevel="0" collapsed="false">
      <c r="A1380" s="46"/>
      <c r="B1380" s="47"/>
      <c r="C1380" s="47"/>
      <c r="D1380" s="46"/>
      <c r="E1380" s="47"/>
      <c r="F1380" s="47"/>
      <c r="G1380" s="47"/>
      <c r="H1380" s="46"/>
      <c r="I1380" s="47"/>
      <c r="J1380" s="47"/>
      <c r="K1380" s="47"/>
      <c r="L1380" s="47"/>
      <c r="M1380" s="47"/>
      <c r="N1380" s="47"/>
      <c r="O1380" s="47"/>
      <c r="P1380" s="45" t="str">
        <f aca="false">IF($A1380="","",IF(COUNTIF(Accounts!$C$2:$C$201,$A1380)+COUNTIF('Service Principals'!$C$2:$C$201,$A1380)+COUNTIF('Managed Identities'!$C$2:$C$201,$A1380)&gt;0,"Yes","NOT IN INVENTORY"))</f>
        <v/>
      </c>
    </row>
    <row r="1381" customFormat="false" ht="15" hidden="false" customHeight="false" outlineLevel="0" collapsed="false">
      <c r="A1381" s="46"/>
      <c r="B1381" s="47"/>
      <c r="C1381" s="47"/>
      <c r="D1381" s="46"/>
      <c r="E1381" s="47"/>
      <c r="F1381" s="47"/>
      <c r="G1381" s="47"/>
      <c r="H1381" s="46"/>
      <c r="I1381" s="47"/>
      <c r="J1381" s="47"/>
      <c r="K1381" s="47"/>
      <c r="L1381" s="47"/>
      <c r="M1381" s="47"/>
      <c r="N1381" s="47"/>
      <c r="O1381" s="47"/>
      <c r="P1381" s="45" t="str">
        <f aca="false">IF($A1381="","",IF(COUNTIF(Accounts!$C$2:$C$201,$A1381)+COUNTIF('Service Principals'!$C$2:$C$201,$A1381)+COUNTIF('Managed Identities'!$C$2:$C$201,$A1381)&gt;0,"Yes","NOT IN INVENTORY"))</f>
        <v/>
      </c>
    </row>
    <row r="1382" customFormat="false" ht="15" hidden="false" customHeight="false" outlineLevel="0" collapsed="false">
      <c r="A1382" s="46"/>
      <c r="B1382" s="47"/>
      <c r="C1382" s="47"/>
      <c r="D1382" s="46"/>
      <c r="E1382" s="47"/>
      <c r="F1382" s="47"/>
      <c r="G1382" s="47"/>
      <c r="H1382" s="46"/>
      <c r="I1382" s="47"/>
      <c r="J1382" s="47"/>
      <c r="K1382" s="47"/>
      <c r="L1382" s="47"/>
      <c r="M1382" s="47"/>
      <c r="N1382" s="47"/>
      <c r="O1382" s="47"/>
      <c r="P1382" s="45" t="str">
        <f aca="false">IF($A1382="","",IF(COUNTIF(Accounts!$C$2:$C$201,$A1382)+COUNTIF('Service Principals'!$C$2:$C$201,$A1382)+COUNTIF('Managed Identities'!$C$2:$C$201,$A1382)&gt;0,"Yes","NOT IN INVENTORY"))</f>
        <v/>
      </c>
    </row>
    <row r="1383" customFormat="false" ht="15" hidden="false" customHeight="false" outlineLevel="0" collapsed="false">
      <c r="A1383" s="46"/>
      <c r="B1383" s="47"/>
      <c r="C1383" s="47"/>
      <c r="D1383" s="46"/>
      <c r="E1383" s="47"/>
      <c r="F1383" s="47"/>
      <c r="G1383" s="47"/>
      <c r="H1383" s="46"/>
      <c r="I1383" s="47"/>
      <c r="J1383" s="47"/>
      <c r="K1383" s="47"/>
      <c r="L1383" s="47"/>
      <c r="M1383" s="47"/>
      <c r="N1383" s="47"/>
      <c r="O1383" s="47"/>
      <c r="P1383" s="45" t="str">
        <f aca="false">IF($A1383="","",IF(COUNTIF(Accounts!$C$2:$C$201,$A1383)+COUNTIF('Service Principals'!$C$2:$C$201,$A1383)+COUNTIF('Managed Identities'!$C$2:$C$201,$A1383)&gt;0,"Yes","NOT IN INVENTORY"))</f>
        <v/>
      </c>
    </row>
    <row r="1384" customFormat="false" ht="15" hidden="false" customHeight="false" outlineLevel="0" collapsed="false">
      <c r="A1384" s="46"/>
      <c r="B1384" s="47"/>
      <c r="C1384" s="47"/>
      <c r="D1384" s="46"/>
      <c r="E1384" s="47"/>
      <c r="F1384" s="47"/>
      <c r="G1384" s="47"/>
      <c r="H1384" s="46"/>
      <c r="I1384" s="47"/>
      <c r="J1384" s="47"/>
      <c r="K1384" s="47"/>
      <c r="L1384" s="47"/>
      <c r="M1384" s="47"/>
      <c r="N1384" s="47"/>
      <c r="O1384" s="47"/>
      <c r="P1384" s="45" t="str">
        <f aca="false">IF($A1384="","",IF(COUNTIF(Accounts!$C$2:$C$201,$A1384)+COUNTIF('Service Principals'!$C$2:$C$201,$A1384)+COUNTIF('Managed Identities'!$C$2:$C$201,$A1384)&gt;0,"Yes","NOT IN INVENTORY"))</f>
        <v/>
      </c>
    </row>
    <row r="1385" customFormat="false" ht="15" hidden="false" customHeight="false" outlineLevel="0" collapsed="false">
      <c r="A1385" s="46"/>
      <c r="B1385" s="47"/>
      <c r="C1385" s="47"/>
      <c r="D1385" s="46"/>
      <c r="E1385" s="47"/>
      <c r="F1385" s="47"/>
      <c r="G1385" s="47"/>
      <c r="H1385" s="46"/>
      <c r="I1385" s="47"/>
      <c r="J1385" s="47"/>
      <c r="K1385" s="47"/>
      <c r="L1385" s="47"/>
      <c r="M1385" s="47"/>
      <c r="N1385" s="47"/>
      <c r="O1385" s="47"/>
      <c r="P1385" s="45" t="str">
        <f aca="false">IF($A1385="","",IF(COUNTIF(Accounts!$C$2:$C$201,$A1385)+COUNTIF('Service Principals'!$C$2:$C$201,$A1385)+COUNTIF('Managed Identities'!$C$2:$C$201,$A1385)&gt;0,"Yes","NOT IN INVENTORY"))</f>
        <v/>
      </c>
    </row>
    <row r="1386" customFormat="false" ht="15" hidden="false" customHeight="false" outlineLevel="0" collapsed="false">
      <c r="A1386" s="46"/>
      <c r="B1386" s="47"/>
      <c r="C1386" s="47"/>
      <c r="D1386" s="46"/>
      <c r="E1386" s="47"/>
      <c r="F1386" s="47"/>
      <c r="G1386" s="47"/>
      <c r="H1386" s="46"/>
      <c r="I1386" s="47"/>
      <c r="J1386" s="47"/>
      <c r="K1386" s="47"/>
      <c r="L1386" s="47"/>
      <c r="M1386" s="47"/>
      <c r="N1386" s="47"/>
      <c r="O1386" s="47"/>
      <c r="P1386" s="45" t="str">
        <f aca="false">IF($A1386="","",IF(COUNTIF(Accounts!$C$2:$C$201,$A1386)+COUNTIF('Service Principals'!$C$2:$C$201,$A1386)+COUNTIF('Managed Identities'!$C$2:$C$201,$A1386)&gt;0,"Yes","NOT IN INVENTORY"))</f>
        <v/>
      </c>
    </row>
    <row r="1387" customFormat="false" ht="15" hidden="false" customHeight="false" outlineLevel="0" collapsed="false">
      <c r="A1387" s="46"/>
      <c r="B1387" s="47"/>
      <c r="C1387" s="47"/>
      <c r="D1387" s="46"/>
      <c r="E1387" s="47"/>
      <c r="F1387" s="47"/>
      <c r="G1387" s="47"/>
      <c r="H1387" s="46"/>
      <c r="I1387" s="47"/>
      <c r="J1387" s="47"/>
      <c r="K1387" s="47"/>
      <c r="L1387" s="47"/>
      <c r="M1387" s="47"/>
      <c r="N1387" s="47"/>
      <c r="O1387" s="47"/>
      <c r="P1387" s="45" t="str">
        <f aca="false">IF($A1387="","",IF(COUNTIF(Accounts!$C$2:$C$201,$A1387)+COUNTIF('Service Principals'!$C$2:$C$201,$A1387)+COUNTIF('Managed Identities'!$C$2:$C$201,$A1387)&gt;0,"Yes","NOT IN INVENTORY"))</f>
        <v/>
      </c>
    </row>
    <row r="1388" customFormat="false" ht="15" hidden="false" customHeight="false" outlineLevel="0" collapsed="false">
      <c r="A1388" s="46"/>
      <c r="B1388" s="47"/>
      <c r="C1388" s="47"/>
      <c r="D1388" s="46"/>
      <c r="E1388" s="47"/>
      <c r="F1388" s="47"/>
      <c r="G1388" s="47"/>
      <c r="H1388" s="46"/>
      <c r="I1388" s="47"/>
      <c r="J1388" s="47"/>
      <c r="K1388" s="47"/>
      <c r="L1388" s="47"/>
      <c r="M1388" s="47"/>
      <c r="N1388" s="47"/>
      <c r="O1388" s="47"/>
      <c r="P1388" s="45" t="str">
        <f aca="false">IF($A1388="","",IF(COUNTIF(Accounts!$C$2:$C$201,$A1388)+COUNTIF('Service Principals'!$C$2:$C$201,$A1388)+COUNTIF('Managed Identities'!$C$2:$C$201,$A1388)&gt;0,"Yes","NOT IN INVENTORY"))</f>
        <v/>
      </c>
    </row>
    <row r="1389" customFormat="false" ht="15" hidden="false" customHeight="false" outlineLevel="0" collapsed="false">
      <c r="A1389" s="46"/>
      <c r="B1389" s="47"/>
      <c r="C1389" s="47"/>
      <c r="D1389" s="46"/>
      <c r="E1389" s="47"/>
      <c r="F1389" s="47"/>
      <c r="G1389" s="47"/>
      <c r="H1389" s="46"/>
      <c r="I1389" s="47"/>
      <c r="J1389" s="47"/>
      <c r="K1389" s="47"/>
      <c r="L1389" s="47"/>
      <c r="M1389" s="47"/>
      <c r="N1389" s="47"/>
      <c r="O1389" s="47"/>
      <c r="P1389" s="45" t="str">
        <f aca="false">IF($A1389="","",IF(COUNTIF(Accounts!$C$2:$C$201,$A1389)+COUNTIF('Service Principals'!$C$2:$C$201,$A1389)+COUNTIF('Managed Identities'!$C$2:$C$201,$A1389)&gt;0,"Yes","NOT IN INVENTORY"))</f>
        <v/>
      </c>
    </row>
    <row r="1390" customFormat="false" ht="15" hidden="false" customHeight="false" outlineLevel="0" collapsed="false">
      <c r="A1390" s="46"/>
      <c r="B1390" s="47"/>
      <c r="C1390" s="47"/>
      <c r="D1390" s="46"/>
      <c r="E1390" s="47"/>
      <c r="F1390" s="47"/>
      <c r="G1390" s="47"/>
      <c r="H1390" s="46"/>
      <c r="I1390" s="47"/>
      <c r="J1390" s="47"/>
      <c r="K1390" s="47"/>
      <c r="L1390" s="47"/>
      <c r="M1390" s="47"/>
      <c r="N1390" s="47"/>
      <c r="O1390" s="47"/>
      <c r="P1390" s="45" t="str">
        <f aca="false">IF($A1390="","",IF(COUNTIF(Accounts!$C$2:$C$201,$A1390)+COUNTIF('Service Principals'!$C$2:$C$201,$A1390)+COUNTIF('Managed Identities'!$C$2:$C$201,$A1390)&gt;0,"Yes","NOT IN INVENTORY"))</f>
        <v/>
      </c>
    </row>
    <row r="1391" customFormat="false" ht="15" hidden="false" customHeight="false" outlineLevel="0" collapsed="false">
      <c r="A1391" s="46"/>
      <c r="B1391" s="47"/>
      <c r="C1391" s="47"/>
      <c r="D1391" s="46"/>
      <c r="E1391" s="47"/>
      <c r="F1391" s="47"/>
      <c r="G1391" s="47"/>
      <c r="H1391" s="46"/>
      <c r="I1391" s="47"/>
      <c r="J1391" s="47"/>
      <c r="K1391" s="47"/>
      <c r="L1391" s="47"/>
      <c r="M1391" s="47"/>
      <c r="N1391" s="47"/>
      <c r="O1391" s="47"/>
      <c r="P1391" s="45" t="str">
        <f aca="false">IF($A1391="","",IF(COUNTIF(Accounts!$C$2:$C$201,$A1391)+COUNTIF('Service Principals'!$C$2:$C$201,$A1391)+COUNTIF('Managed Identities'!$C$2:$C$201,$A1391)&gt;0,"Yes","NOT IN INVENTORY"))</f>
        <v/>
      </c>
    </row>
    <row r="1392" customFormat="false" ht="15" hidden="false" customHeight="false" outlineLevel="0" collapsed="false">
      <c r="A1392" s="46"/>
      <c r="B1392" s="47"/>
      <c r="C1392" s="47"/>
      <c r="D1392" s="46"/>
      <c r="E1392" s="47"/>
      <c r="F1392" s="47"/>
      <c r="G1392" s="47"/>
      <c r="H1392" s="46"/>
      <c r="I1392" s="47"/>
      <c r="J1392" s="47"/>
      <c r="K1392" s="47"/>
      <c r="L1392" s="47"/>
      <c r="M1392" s="47"/>
      <c r="N1392" s="47"/>
      <c r="O1392" s="47"/>
      <c r="P1392" s="45" t="str">
        <f aca="false">IF($A1392="","",IF(COUNTIF(Accounts!$C$2:$C$201,$A1392)+COUNTIF('Service Principals'!$C$2:$C$201,$A1392)+COUNTIF('Managed Identities'!$C$2:$C$201,$A1392)&gt;0,"Yes","NOT IN INVENTORY"))</f>
        <v/>
      </c>
    </row>
    <row r="1393" customFormat="false" ht="15" hidden="false" customHeight="false" outlineLevel="0" collapsed="false">
      <c r="A1393" s="46"/>
      <c r="B1393" s="47"/>
      <c r="C1393" s="47"/>
      <c r="D1393" s="46"/>
      <c r="E1393" s="47"/>
      <c r="F1393" s="47"/>
      <c r="G1393" s="47"/>
      <c r="H1393" s="46"/>
      <c r="I1393" s="47"/>
      <c r="J1393" s="47"/>
      <c r="K1393" s="47"/>
      <c r="L1393" s="47"/>
      <c r="M1393" s="47"/>
      <c r="N1393" s="47"/>
      <c r="O1393" s="47"/>
      <c r="P1393" s="45" t="str">
        <f aca="false">IF($A1393="","",IF(COUNTIF(Accounts!$C$2:$C$201,$A1393)+COUNTIF('Service Principals'!$C$2:$C$201,$A1393)+COUNTIF('Managed Identities'!$C$2:$C$201,$A1393)&gt;0,"Yes","NOT IN INVENTORY"))</f>
        <v/>
      </c>
    </row>
    <row r="1394" customFormat="false" ht="15" hidden="false" customHeight="false" outlineLevel="0" collapsed="false">
      <c r="A1394" s="46"/>
      <c r="B1394" s="47"/>
      <c r="C1394" s="47"/>
      <c r="D1394" s="46"/>
      <c r="E1394" s="47"/>
      <c r="F1394" s="47"/>
      <c r="G1394" s="47"/>
      <c r="H1394" s="46"/>
      <c r="I1394" s="47"/>
      <c r="J1394" s="47"/>
      <c r="K1394" s="47"/>
      <c r="L1394" s="47"/>
      <c r="M1394" s="47"/>
      <c r="N1394" s="47"/>
      <c r="O1394" s="47"/>
      <c r="P1394" s="45" t="str">
        <f aca="false">IF($A1394="","",IF(COUNTIF(Accounts!$C$2:$C$201,$A1394)+COUNTIF('Service Principals'!$C$2:$C$201,$A1394)+COUNTIF('Managed Identities'!$C$2:$C$201,$A1394)&gt;0,"Yes","NOT IN INVENTORY"))</f>
        <v/>
      </c>
    </row>
    <row r="1395" customFormat="false" ht="15" hidden="false" customHeight="false" outlineLevel="0" collapsed="false">
      <c r="A1395" s="46"/>
      <c r="B1395" s="47"/>
      <c r="C1395" s="47"/>
      <c r="D1395" s="46"/>
      <c r="E1395" s="47"/>
      <c r="F1395" s="47"/>
      <c r="G1395" s="47"/>
      <c r="H1395" s="46"/>
      <c r="I1395" s="47"/>
      <c r="J1395" s="47"/>
      <c r="K1395" s="47"/>
      <c r="L1395" s="47"/>
      <c r="M1395" s="47"/>
      <c r="N1395" s="47"/>
      <c r="O1395" s="47"/>
      <c r="P1395" s="45" t="str">
        <f aca="false">IF($A1395="","",IF(COUNTIF(Accounts!$C$2:$C$201,$A1395)+COUNTIF('Service Principals'!$C$2:$C$201,$A1395)+COUNTIF('Managed Identities'!$C$2:$C$201,$A1395)&gt;0,"Yes","NOT IN INVENTORY"))</f>
        <v/>
      </c>
    </row>
    <row r="1396" customFormat="false" ht="15" hidden="false" customHeight="false" outlineLevel="0" collapsed="false">
      <c r="A1396" s="46"/>
      <c r="B1396" s="47"/>
      <c r="C1396" s="47"/>
      <c r="D1396" s="46"/>
      <c r="E1396" s="47"/>
      <c r="F1396" s="47"/>
      <c r="G1396" s="47"/>
      <c r="H1396" s="46"/>
      <c r="I1396" s="47"/>
      <c r="J1396" s="47"/>
      <c r="K1396" s="47"/>
      <c r="L1396" s="47"/>
      <c r="M1396" s="47"/>
      <c r="N1396" s="47"/>
      <c r="O1396" s="47"/>
      <c r="P1396" s="45" t="str">
        <f aca="false">IF($A1396="","",IF(COUNTIF(Accounts!$C$2:$C$201,$A1396)+COUNTIF('Service Principals'!$C$2:$C$201,$A1396)+COUNTIF('Managed Identities'!$C$2:$C$201,$A1396)&gt;0,"Yes","NOT IN INVENTORY"))</f>
        <v/>
      </c>
    </row>
    <row r="1397" customFormat="false" ht="15" hidden="false" customHeight="false" outlineLevel="0" collapsed="false">
      <c r="A1397" s="46"/>
      <c r="B1397" s="47"/>
      <c r="C1397" s="47"/>
      <c r="D1397" s="46"/>
      <c r="E1397" s="47"/>
      <c r="F1397" s="47"/>
      <c r="G1397" s="47"/>
      <c r="H1397" s="46"/>
      <c r="I1397" s="47"/>
      <c r="J1397" s="47"/>
      <c r="K1397" s="47"/>
      <c r="L1397" s="47"/>
      <c r="M1397" s="47"/>
      <c r="N1397" s="47"/>
      <c r="O1397" s="47"/>
      <c r="P1397" s="45" t="str">
        <f aca="false">IF($A1397="","",IF(COUNTIF(Accounts!$C$2:$C$201,$A1397)+COUNTIF('Service Principals'!$C$2:$C$201,$A1397)+COUNTIF('Managed Identities'!$C$2:$C$201,$A1397)&gt;0,"Yes","NOT IN INVENTORY"))</f>
        <v/>
      </c>
    </row>
    <row r="1398" customFormat="false" ht="15" hidden="false" customHeight="false" outlineLevel="0" collapsed="false">
      <c r="A1398" s="46"/>
      <c r="B1398" s="47"/>
      <c r="C1398" s="47"/>
      <c r="D1398" s="46"/>
      <c r="E1398" s="47"/>
      <c r="F1398" s="47"/>
      <c r="G1398" s="47"/>
      <c r="H1398" s="46"/>
      <c r="I1398" s="47"/>
      <c r="J1398" s="47"/>
      <c r="K1398" s="47"/>
      <c r="L1398" s="47"/>
      <c r="M1398" s="47"/>
      <c r="N1398" s="47"/>
      <c r="O1398" s="47"/>
      <c r="P1398" s="45" t="str">
        <f aca="false">IF($A1398="","",IF(COUNTIF(Accounts!$C$2:$C$201,$A1398)+COUNTIF('Service Principals'!$C$2:$C$201,$A1398)+COUNTIF('Managed Identities'!$C$2:$C$201,$A1398)&gt;0,"Yes","NOT IN INVENTORY"))</f>
        <v/>
      </c>
    </row>
    <row r="1399" customFormat="false" ht="15" hidden="false" customHeight="false" outlineLevel="0" collapsed="false">
      <c r="A1399" s="46"/>
      <c r="B1399" s="47"/>
      <c r="C1399" s="47"/>
      <c r="D1399" s="46"/>
      <c r="E1399" s="47"/>
      <c r="F1399" s="47"/>
      <c r="G1399" s="47"/>
      <c r="H1399" s="46"/>
      <c r="I1399" s="47"/>
      <c r="J1399" s="47"/>
      <c r="K1399" s="47"/>
      <c r="L1399" s="47"/>
      <c r="M1399" s="47"/>
      <c r="N1399" s="47"/>
      <c r="O1399" s="47"/>
      <c r="P1399" s="45" t="str">
        <f aca="false">IF($A1399="","",IF(COUNTIF(Accounts!$C$2:$C$201,$A1399)+COUNTIF('Service Principals'!$C$2:$C$201,$A1399)+COUNTIF('Managed Identities'!$C$2:$C$201,$A1399)&gt;0,"Yes","NOT IN INVENTORY"))</f>
        <v/>
      </c>
    </row>
    <row r="1400" customFormat="false" ht="15" hidden="false" customHeight="false" outlineLevel="0" collapsed="false">
      <c r="A1400" s="46"/>
      <c r="B1400" s="47"/>
      <c r="C1400" s="47"/>
      <c r="D1400" s="46"/>
      <c r="E1400" s="47"/>
      <c r="F1400" s="47"/>
      <c r="G1400" s="47"/>
      <c r="H1400" s="46"/>
      <c r="I1400" s="47"/>
      <c r="J1400" s="47"/>
      <c r="K1400" s="47"/>
      <c r="L1400" s="47"/>
      <c r="M1400" s="47"/>
      <c r="N1400" s="47"/>
      <c r="O1400" s="47"/>
      <c r="P1400" s="45" t="str">
        <f aca="false">IF($A1400="","",IF(COUNTIF(Accounts!$C$2:$C$201,$A1400)+COUNTIF('Service Principals'!$C$2:$C$201,$A1400)+COUNTIF('Managed Identities'!$C$2:$C$201,$A1400)&gt;0,"Yes","NOT IN INVENTORY"))</f>
        <v/>
      </c>
    </row>
    <row r="1401" customFormat="false" ht="15" hidden="false" customHeight="false" outlineLevel="0" collapsed="false">
      <c r="A1401" s="46"/>
      <c r="B1401" s="47"/>
      <c r="C1401" s="47"/>
      <c r="D1401" s="46"/>
      <c r="E1401" s="47"/>
      <c r="F1401" s="47"/>
      <c r="G1401" s="47"/>
      <c r="H1401" s="46"/>
      <c r="I1401" s="47"/>
      <c r="J1401" s="47"/>
      <c r="K1401" s="47"/>
      <c r="L1401" s="47"/>
      <c r="M1401" s="47"/>
      <c r="N1401" s="47"/>
      <c r="O1401" s="47"/>
      <c r="P1401" s="45" t="str">
        <f aca="false">IF($A1401="","",IF(COUNTIF(Accounts!$C$2:$C$201,$A1401)+COUNTIF('Service Principals'!$C$2:$C$201,$A1401)+COUNTIF('Managed Identities'!$C$2:$C$201,$A1401)&gt;0,"Yes","NOT IN INVENTORY"))</f>
        <v/>
      </c>
    </row>
    <row r="1402" customFormat="false" ht="15" hidden="false" customHeight="false" outlineLevel="0" collapsed="false">
      <c r="A1402" s="46"/>
      <c r="B1402" s="47"/>
      <c r="C1402" s="47"/>
      <c r="D1402" s="46"/>
      <c r="E1402" s="47"/>
      <c r="F1402" s="47"/>
      <c r="G1402" s="47"/>
      <c r="H1402" s="46"/>
      <c r="I1402" s="47"/>
      <c r="J1402" s="47"/>
      <c r="K1402" s="47"/>
      <c r="L1402" s="47"/>
      <c r="M1402" s="47"/>
      <c r="N1402" s="47"/>
      <c r="O1402" s="47"/>
      <c r="P1402" s="45" t="str">
        <f aca="false">IF($A1402="","",IF(COUNTIF(Accounts!$C$2:$C$201,$A1402)+COUNTIF('Service Principals'!$C$2:$C$201,$A1402)+COUNTIF('Managed Identities'!$C$2:$C$201,$A1402)&gt;0,"Yes","NOT IN INVENTORY"))</f>
        <v/>
      </c>
    </row>
    <row r="1403" customFormat="false" ht="15" hidden="false" customHeight="false" outlineLevel="0" collapsed="false">
      <c r="A1403" s="46"/>
      <c r="B1403" s="47"/>
      <c r="C1403" s="47"/>
      <c r="D1403" s="46"/>
      <c r="E1403" s="47"/>
      <c r="F1403" s="47"/>
      <c r="G1403" s="47"/>
      <c r="H1403" s="46"/>
      <c r="I1403" s="47"/>
      <c r="J1403" s="47"/>
      <c r="K1403" s="47"/>
      <c r="L1403" s="47"/>
      <c r="M1403" s="47"/>
      <c r="N1403" s="47"/>
      <c r="O1403" s="47"/>
      <c r="P1403" s="45" t="str">
        <f aca="false">IF($A1403="","",IF(COUNTIF(Accounts!$C$2:$C$201,$A1403)+COUNTIF('Service Principals'!$C$2:$C$201,$A1403)+COUNTIF('Managed Identities'!$C$2:$C$201,$A1403)&gt;0,"Yes","NOT IN INVENTORY"))</f>
        <v/>
      </c>
    </row>
    <row r="1404" customFormat="false" ht="15" hidden="false" customHeight="false" outlineLevel="0" collapsed="false">
      <c r="A1404" s="46"/>
      <c r="B1404" s="47"/>
      <c r="C1404" s="47"/>
      <c r="D1404" s="46"/>
      <c r="E1404" s="47"/>
      <c r="F1404" s="47"/>
      <c r="G1404" s="47"/>
      <c r="H1404" s="46"/>
      <c r="I1404" s="47"/>
      <c r="J1404" s="47"/>
      <c r="K1404" s="47"/>
      <c r="L1404" s="47"/>
      <c r="M1404" s="47"/>
      <c r="N1404" s="47"/>
      <c r="O1404" s="47"/>
      <c r="P1404" s="45" t="str">
        <f aca="false">IF($A1404="","",IF(COUNTIF(Accounts!$C$2:$C$201,$A1404)+COUNTIF('Service Principals'!$C$2:$C$201,$A1404)+COUNTIF('Managed Identities'!$C$2:$C$201,$A1404)&gt;0,"Yes","NOT IN INVENTORY"))</f>
        <v/>
      </c>
    </row>
    <row r="1405" customFormat="false" ht="15" hidden="false" customHeight="false" outlineLevel="0" collapsed="false">
      <c r="A1405" s="46"/>
      <c r="B1405" s="47"/>
      <c r="C1405" s="47"/>
      <c r="D1405" s="46"/>
      <c r="E1405" s="47"/>
      <c r="F1405" s="47"/>
      <c r="G1405" s="47"/>
      <c r="H1405" s="46"/>
      <c r="I1405" s="47"/>
      <c r="J1405" s="47"/>
      <c r="K1405" s="47"/>
      <c r="L1405" s="47"/>
      <c r="M1405" s="47"/>
      <c r="N1405" s="47"/>
      <c r="O1405" s="47"/>
      <c r="P1405" s="45" t="str">
        <f aca="false">IF($A1405="","",IF(COUNTIF(Accounts!$C$2:$C$201,$A1405)+COUNTIF('Service Principals'!$C$2:$C$201,$A1405)+COUNTIF('Managed Identities'!$C$2:$C$201,$A1405)&gt;0,"Yes","NOT IN INVENTORY"))</f>
        <v/>
      </c>
    </row>
    <row r="1406" customFormat="false" ht="15" hidden="false" customHeight="false" outlineLevel="0" collapsed="false">
      <c r="A1406" s="46"/>
      <c r="B1406" s="47"/>
      <c r="C1406" s="47"/>
      <c r="D1406" s="46"/>
      <c r="E1406" s="47"/>
      <c r="F1406" s="47"/>
      <c r="G1406" s="47"/>
      <c r="H1406" s="46"/>
      <c r="I1406" s="47"/>
      <c r="J1406" s="47"/>
      <c r="K1406" s="47"/>
      <c r="L1406" s="47"/>
      <c r="M1406" s="47"/>
      <c r="N1406" s="47"/>
      <c r="O1406" s="47"/>
      <c r="P1406" s="45" t="str">
        <f aca="false">IF($A1406="","",IF(COUNTIF(Accounts!$C$2:$C$201,$A1406)+COUNTIF('Service Principals'!$C$2:$C$201,$A1406)+COUNTIF('Managed Identities'!$C$2:$C$201,$A1406)&gt;0,"Yes","NOT IN INVENTORY"))</f>
        <v/>
      </c>
    </row>
    <row r="1407" customFormat="false" ht="15" hidden="false" customHeight="false" outlineLevel="0" collapsed="false">
      <c r="A1407" s="46"/>
      <c r="B1407" s="47"/>
      <c r="C1407" s="47"/>
      <c r="D1407" s="46"/>
      <c r="E1407" s="47"/>
      <c r="F1407" s="47"/>
      <c r="G1407" s="47"/>
      <c r="H1407" s="46"/>
      <c r="I1407" s="47"/>
      <c r="J1407" s="47"/>
      <c r="K1407" s="47"/>
      <c r="L1407" s="47"/>
      <c r="M1407" s="47"/>
      <c r="N1407" s="47"/>
      <c r="O1407" s="47"/>
      <c r="P1407" s="45" t="str">
        <f aca="false">IF($A1407="","",IF(COUNTIF(Accounts!$C$2:$C$201,$A1407)+COUNTIF('Service Principals'!$C$2:$C$201,$A1407)+COUNTIF('Managed Identities'!$C$2:$C$201,$A1407)&gt;0,"Yes","NOT IN INVENTORY"))</f>
        <v/>
      </c>
    </row>
    <row r="1408" customFormat="false" ht="15" hidden="false" customHeight="false" outlineLevel="0" collapsed="false">
      <c r="A1408" s="46"/>
      <c r="B1408" s="47"/>
      <c r="C1408" s="47"/>
      <c r="D1408" s="46"/>
      <c r="E1408" s="47"/>
      <c r="F1408" s="47"/>
      <c r="G1408" s="47"/>
      <c r="H1408" s="46"/>
      <c r="I1408" s="47"/>
      <c r="J1408" s="47"/>
      <c r="K1408" s="47"/>
      <c r="L1408" s="47"/>
      <c r="M1408" s="47"/>
      <c r="N1408" s="47"/>
      <c r="O1408" s="47"/>
      <c r="P1408" s="45" t="str">
        <f aca="false">IF($A1408="","",IF(COUNTIF(Accounts!$C$2:$C$201,$A1408)+COUNTIF('Service Principals'!$C$2:$C$201,$A1408)+COUNTIF('Managed Identities'!$C$2:$C$201,$A1408)&gt;0,"Yes","NOT IN INVENTORY"))</f>
        <v/>
      </c>
    </row>
    <row r="1409" customFormat="false" ht="15" hidden="false" customHeight="false" outlineLevel="0" collapsed="false">
      <c r="A1409" s="46"/>
      <c r="B1409" s="47"/>
      <c r="C1409" s="47"/>
      <c r="D1409" s="46"/>
      <c r="E1409" s="47"/>
      <c r="F1409" s="47"/>
      <c r="G1409" s="47"/>
      <c r="H1409" s="46"/>
      <c r="I1409" s="47"/>
      <c r="J1409" s="47"/>
      <c r="K1409" s="47"/>
      <c r="L1409" s="47"/>
      <c r="M1409" s="47"/>
      <c r="N1409" s="47"/>
      <c r="O1409" s="47"/>
      <c r="P1409" s="45" t="str">
        <f aca="false">IF($A1409="","",IF(COUNTIF(Accounts!$C$2:$C$201,$A1409)+COUNTIF('Service Principals'!$C$2:$C$201,$A1409)+COUNTIF('Managed Identities'!$C$2:$C$201,$A1409)&gt;0,"Yes","NOT IN INVENTORY"))</f>
        <v/>
      </c>
    </row>
    <row r="1410" customFormat="false" ht="15" hidden="false" customHeight="false" outlineLevel="0" collapsed="false">
      <c r="A1410" s="46"/>
      <c r="B1410" s="47"/>
      <c r="C1410" s="47"/>
      <c r="D1410" s="46"/>
      <c r="E1410" s="47"/>
      <c r="F1410" s="47"/>
      <c r="G1410" s="47"/>
      <c r="H1410" s="46"/>
      <c r="I1410" s="47"/>
      <c r="J1410" s="47"/>
      <c r="K1410" s="47"/>
      <c r="L1410" s="47"/>
      <c r="M1410" s="47"/>
      <c r="N1410" s="47"/>
      <c r="O1410" s="47"/>
      <c r="P1410" s="45" t="str">
        <f aca="false">IF($A1410="","",IF(COUNTIF(Accounts!$C$2:$C$201,$A1410)+COUNTIF('Service Principals'!$C$2:$C$201,$A1410)+COUNTIF('Managed Identities'!$C$2:$C$201,$A1410)&gt;0,"Yes","NOT IN INVENTORY"))</f>
        <v/>
      </c>
    </row>
    <row r="1411" customFormat="false" ht="15" hidden="false" customHeight="false" outlineLevel="0" collapsed="false">
      <c r="A1411" s="46"/>
      <c r="B1411" s="47"/>
      <c r="C1411" s="47"/>
      <c r="D1411" s="46"/>
      <c r="E1411" s="47"/>
      <c r="F1411" s="47"/>
      <c r="G1411" s="47"/>
      <c r="H1411" s="46"/>
      <c r="I1411" s="47"/>
      <c r="J1411" s="47"/>
      <c r="K1411" s="47"/>
      <c r="L1411" s="47"/>
      <c r="M1411" s="47"/>
      <c r="N1411" s="47"/>
      <c r="O1411" s="47"/>
      <c r="P1411" s="45" t="str">
        <f aca="false">IF($A1411="","",IF(COUNTIF(Accounts!$C$2:$C$201,$A1411)+COUNTIF('Service Principals'!$C$2:$C$201,$A1411)+COUNTIF('Managed Identities'!$C$2:$C$201,$A1411)&gt;0,"Yes","NOT IN INVENTORY"))</f>
        <v/>
      </c>
    </row>
    <row r="1412" customFormat="false" ht="15" hidden="false" customHeight="false" outlineLevel="0" collapsed="false">
      <c r="A1412" s="46"/>
      <c r="B1412" s="47"/>
      <c r="C1412" s="47"/>
      <c r="D1412" s="46"/>
      <c r="E1412" s="47"/>
      <c r="F1412" s="47"/>
      <c r="G1412" s="47"/>
      <c r="H1412" s="46"/>
      <c r="I1412" s="47"/>
      <c r="J1412" s="47"/>
      <c r="K1412" s="47"/>
      <c r="L1412" s="47"/>
      <c r="M1412" s="47"/>
      <c r="N1412" s="47"/>
      <c r="O1412" s="47"/>
      <c r="P1412" s="45" t="str">
        <f aca="false">IF($A1412="","",IF(COUNTIF(Accounts!$C$2:$C$201,$A1412)+COUNTIF('Service Principals'!$C$2:$C$201,$A1412)+COUNTIF('Managed Identities'!$C$2:$C$201,$A1412)&gt;0,"Yes","NOT IN INVENTORY"))</f>
        <v/>
      </c>
    </row>
    <row r="1413" customFormat="false" ht="15" hidden="false" customHeight="false" outlineLevel="0" collapsed="false">
      <c r="A1413" s="46"/>
      <c r="B1413" s="47"/>
      <c r="C1413" s="47"/>
      <c r="D1413" s="46"/>
      <c r="E1413" s="47"/>
      <c r="F1413" s="47"/>
      <c r="G1413" s="47"/>
      <c r="H1413" s="46"/>
      <c r="I1413" s="47"/>
      <c r="J1413" s="47"/>
      <c r="K1413" s="47"/>
      <c r="L1413" s="47"/>
      <c r="M1413" s="47"/>
      <c r="N1413" s="47"/>
      <c r="O1413" s="47"/>
      <c r="P1413" s="45" t="str">
        <f aca="false">IF($A1413="","",IF(COUNTIF(Accounts!$C$2:$C$201,$A1413)+COUNTIF('Service Principals'!$C$2:$C$201,$A1413)+COUNTIF('Managed Identities'!$C$2:$C$201,$A1413)&gt;0,"Yes","NOT IN INVENTORY"))</f>
        <v/>
      </c>
    </row>
    <row r="1414" customFormat="false" ht="15" hidden="false" customHeight="false" outlineLevel="0" collapsed="false">
      <c r="A1414" s="46"/>
      <c r="B1414" s="47"/>
      <c r="C1414" s="47"/>
      <c r="D1414" s="46"/>
      <c r="E1414" s="47"/>
      <c r="F1414" s="47"/>
      <c r="G1414" s="47"/>
      <c r="H1414" s="46"/>
      <c r="I1414" s="47"/>
      <c r="J1414" s="47"/>
      <c r="K1414" s="47"/>
      <c r="L1414" s="47"/>
      <c r="M1414" s="47"/>
      <c r="N1414" s="47"/>
      <c r="O1414" s="47"/>
      <c r="P1414" s="45" t="str">
        <f aca="false">IF($A1414="","",IF(COUNTIF(Accounts!$C$2:$C$201,$A1414)+COUNTIF('Service Principals'!$C$2:$C$201,$A1414)+COUNTIF('Managed Identities'!$C$2:$C$201,$A1414)&gt;0,"Yes","NOT IN INVENTORY"))</f>
        <v/>
      </c>
    </row>
    <row r="1415" customFormat="false" ht="15" hidden="false" customHeight="false" outlineLevel="0" collapsed="false">
      <c r="A1415" s="46"/>
      <c r="B1415" s="47"/>
      <c r="C1415" s="47"/>
      <c r="D1415" s="46"/>
      <c r="E1415" s="47"/>
      <c r="F1415" s="47"/>
      <c r="G1415" s="47"/>
      <c r="H1415" s="46"/>
      <c r="I1415" s="47"/>
      <c r="J1415" s="47"/>
      <c r="K1415" s="47"/>
      <c r="L1415" s="47"/>
      <c r="M1415" s="47"/>
      <c r="N1415" s="47"/>
      <c r="O1415" s="47"/>
      <c r="P1415" s="45" t="str">
        <f aca="false">IF($A1415="","",IF(COUNTIF(Accounts!$C$2:$C$201,$A1415)+COUNTIF('Service Principals'!$C$2:$C$201,$A1415)+COUNTIF('Managed Identities'!$C$2:$C$201,$A1415)&gt;0,"Yes","NOT IN INVENTORY"))</f>
        <v/>
      </c>
    </row>
    <row r="1416" customFormat="false" ht="15" hidden="false" customHeight="false" outlineLevel="0" collapsed="false">
      <c r="A1416" s="46"/>
      <c r="B1416" s="47"/>
      <c r="C1416" s="47"/>
      <c r="D1416" s="46"/>
      <c r="E1416" s="47"/>
      <c r="F1416" s="47"/>
      <c r="G1416" s="47"/>
      <c r="H1416" s="46"/>
      <c r="I1416" s="47"/>
      <c r="J1416" s="47"/>
      <c r="K1416" s="47"/>
      <c r="L1416" s="47"/>
      <c r="M1416" s="47"/>
      <c r="N1416" s="47"/>
      <c r="O1416" s="47"/>
      <c r="P1416" s="45" t="str">
        <f aca="false">IF($A1416="","",IF(COUNTIF(Accounts!$C$2:$C$201,$A1416)+COUNTIF('Service Principals'!$C$2:$C$201,$A1416)+COUNTIF('Managed Identities'!$C$2:$C$201,$A1416)&gt;0,"Yes","NOT IN INVENTORY"))</f>
        <v/>
      </c>
    </row>
    <row r="1417" customFormat="false" ht="15" hidden="false" customHeight="false" outlineLevel="0" collapsed="false">
      <c r="A1417" s="46"/>
      <c r="B1417" s="47"/>
      <c r="C1417" s="47"/>
      <c r="D1417" s="46"/>
      <c r="E1417" s="47"/>
      <c r="F1417" s="47"/>
      <c r="G1417" s="47"/>
      <c r="H1417" s="46"/>
      <c r="I1417" s="47"/>
      <c r="J1417" s="47"/>
      <c r="K1417" s="47"/>
      <c r="L1417" s="47"/>
      <c r="M1417" s="47"/>
      <c r="N1417" s="47"/>
      <c r="O1417" s="47"/>
      <c r="P1417" s="45" t="str">
        <f aca="false">IF($A1417="","",IF(COUNTIF(Accounts!$C$2:$C$201,$A1417)+COUNTIF('Service Principals'!$C$2:$C$201,$A1417)+COUNTIF('Managed Identities'!$C$2:$C$201,$A1417)&gt;0,"Yes","NOT IN INVENTORY"))</f>
        <v/>
      </c>
    </row>
    <row r="1418" customFormat="false" ht="15" hidden="false" customHeight="false" outlineLevel="0" collapsed="false">
      <c r="A1418" s="46"/>
      <c r="B1418" s="47"/>
      <c r="C1418" s="47"/>
      <c r="D1418" s="46"/>
      <c r="E1418" s="47"/>
      <c r="F1418" s="47"/>
      <c r="G1418" s="47"/>
      <c r="H1418" s="46"/>
      <c r="I1418" s="47"/>
      <c r="J1418" s="47"/>
      <c r="K1418" s="47"/>
      <c r="L1418" s="47"/>
      <c r="M1418" s="47"/>
      <c r="N1418" s="47"/>
      <c r="O1418" s="47"/>
      <c r="P1418" s="45" t="str">
        <f aca="false">IF($A1418="","",IF(COUNTIF(Accounts!$C$2:$C$201,$A1418)+COUNTIF('Service Principals'!$C$2:$C$201,$A1418)+COUNTIF('Managed Identities'!$C$2:$C$201,$A1418)&gt;0,"Yes","NOT IN INVENTORY"))</f>
        <v/>
      </c>
    </row>
    <row r="1419" customFormat="false" ht="15" hidden="false" customHeight="false" outlineLevel="0" collapsed="false">
      <c r="A1419" s="46"/>
      <c r="B1419" s="47"/>
      <c r="C1419" s="47"/>
      <c r="D1419" s="46"/>
      <c r="E1419" s="47"/>
      <c r="F1419" s="47"/>
      <c r="G1419" s="47"/>
      <c r="H1419" s="46"/>
      <c r="I1419" s="47"/>
      <c r="J1419" s="47"/>
      <c r="K1419" s="47"/>
      <c r="L1419" s="47"/>
      <c r="M1419" s="47"/>
      <c r="N1419" s="47"/>
      <c r="O1419" s="47"/>
      <c r="P1419" s="45" t="str">
        <f aca="false">IF($A1419="","",IF(COUNTIF(Accounts!$C$2:$C$201,$A1419)+COUNTIF('Service Principals'!$C$2:$C$201,$A1419)+COUNTIF('Managed Identities'!$C$2:$C$201,$A1419)&gt;0,"Yes","NOT IN INVENTORY"))</f>
        <v/>
      </c>
    </row>
    <row r="1420" customFormat="false" ht="15" hidden="false" customHeight="false" outlineLevel="0" collapsed="false">
      <c r="A1420" s="46"/>
      <c r="B1420" s="47"/>
      <c r="C1420" s="47"/>
      <c r="D1420" s="46"/>
      <c r="E1420" s="47"/>
      <c r="F1420" s="47"/>
      <c r="G1420" s="47"/>
      <c r="H1420" s="46"/>
      <c r="I1420" s="47"/>
      <c r="J1420" s="47"/>
      <c r="K1420" s="47"/>
      <c r="L1420" s="47"/>
      <c r="M1420" s="47"/>
      <c r="N1420" s="47"/>
      <c r="O1420" s="47"/>
      <c r="P1420" s="45" t="str">
        <f aca="false">IF($A1420="","",IF(COUNTIF(Accounts!$C$2:$C$201,$A1420)+COUNTIF('Service Principals'!$C$2:$C$201,$A1420)+COUNTIF('Managed Identities'!$C$2:$C$201,$A1420)&gt;0,"Yes","NOT IN INVENTORY"))</f>
        <v/>
      </c>
    </row>
    <row r="1421" customFormat="false" ht="15" hidden="false" customHeight="false" outlineLevel="0" collapsed="false">
      <c r="A1421" s="46"/>
      <c r="B1421" s="47"/>
      <c r="C1421" s="47"/>
      <c r="D1421" s="46"/>
      <c r="E1421" s="47"/>
      <c r="F1421" s="47"/>
      <c r="G1421" s="47"/>
      <c r="H1421" s="46"/>
      <c r="I1421" s="47"/>
      <c r="J1421" s="47"/>
      <c r="K1421" s="47"/>
      <c r="L1421" s="47"/>
      <c r="M1421" s="47"/>
      <c r="N1421" s="47"/>
      <c r="O1421" s="47"/>
      <c r="P1421" s="45" t="str">
        <f aca="false">IF($A1421="","",IF(COUNTIF(Accounts!$C$2:$C$201,$A1421)+COUNTIF('Service Principals'!$C$2:$C$201,$A1421)+COUNTIF('Managed Identities'!$C$2:$C$201,$A1421)&gt;0,"Yes","NOT IN INVENTORY"))</f>
        <v/>
      </c>
    </row>
    <row r="1422" customFormat="false" ht="15" hidden="false" customHeight="false" outlineLevel="0" collapsed="false">
      <c r="A1422" s="46"/>
      <c r="B1422" s="47"/>
      <c r="C1422" s="47"/>
      <c r="D1422" s="46"/>
      <c r="E1422" s="47"/>
      <c r="F1422" s="47"/>
      <c r="G1422" s="47"/>
      <c r="H1422" s="46"/>
      <c r="I1422" s="47"/>
      <c r="J1422" s="47"/>
      <c r="K1422" s="47"/>
      <c r="L1422" s="47"/>
      <c r="M1422" s="47"/>
      <c r="N1422" s="47"/>
      <c r="O1422" s="47"/>
      <c r="P1422" s="45" t="str">
        <f aca="false">IF($A1422="","",IF(COUNTIF(Accounts!$C$2:$C$201,$A1422)+COUNTIF('Service Principals'!$C$2:$C$201,$A1422)+COUNTIF('Managed Identities'!$C$2:$C$201,$A1422)&gt;0,"Yes","NOT IN INVENTORY"))</f>
        <v/>
      </c>
    </row>
    <row r="1423" customFormat="false" ht="15" hidden="false" customHeight="false" outlineLevel="0" collapsed="false">
      <c r="A1423" s="46"/>
      <c r="B1423" s="47"/>
      <c r="C1423" s="47"/>
      <c r="D1423" s="46"/>
      <c r="E1423" s="47"/>
      <c r="F1423" s="47"/>
      <c r="G1423" s="47"/>
      <c r="H1423" s="46"/>
      <c r="I1423" s="47"/>
      <c r="J1423" s="47"/>
      <c r="K1423" s="47"/>
      <c r="L1423" s="47"/>
      <c r="M1423" s="47"/>
      <c r="N1423" s="47"/>
      <c r="O1423" s="47"/>
      <c r="P1423" s="45" t="str">
        <f aca="false">IF($A1423="","",IF(COUNTIF(Accounts!$C$2:$C$201,$A1423)+COUNTIF('Service Principals'!$C$2:$C$201,$A1423)+COUNTIF('Managed Identities'!$C$2:$C$201,$A1423)&gt;0,"Yes","NOT IN INVENTORY"))</f>
        <v/>
      </c>
    </row>
    <row r="1424" customFormat="false" ht="15" hidden="false" customHeight="false" outlineLevel="0" collapsed="false">
      <c r="A1424" s="46"/>
      <c r="B1424" s="47"/>
      <c r="C1424" s="47"/>
      <c r="D1424" s="46"/>
      <c r="E1424" s="47"/>
      <c r="F1424" s="47"/>
      <c r="G1424" s="47"/>
      <c r="H1424" s="46"/>
      <c r="I1424" s="47"/>
      <c r="J1424" s="47"/>
      <c r="K1424" s="47"/>
      <c r="L1424" s="47"/>
      <c r="M1424" s="47"/>
      <c r="N1424" s="47"/>
      <c r="O1424" s="47"/>
      <c r="P1424" s="45" t="str">
        <f aca="false">IF($A1424="","",IF(COUNTIF(Accounts!$C$2:$C$201,$A1424)+COUNTIF('Service Principals'!$C$2:$C$201,$A1424)+COUNTIF('Managed Identities'!$C$2:$C$201,$A1424)&gt;0,"Yes","NOT IN INVENTORY"))</f>
        <v/>
      </c>
    </row>
    <row r="1425" customFormat="false" ht="15" hidden="false" customHeight="false" outlineLevel="0" collapsed="false">
      <c r="A1425" s="46"/>
      <c r="B1425" s="47"/>
      <c r="C1425" s="47"/>
      <c r="D1425" s="46"/>
      <c r="E1425" s="47"/>
      <c r="F1425" s="47"/>
      <c r="G1425" s="47"/>
      <c r="H1425" s="46"/>
      <c r="I1425" s="47"/>
      <c r="J1425" s="47"/>
      <c r="K1425" s="47"/>
      <c r="L1425" s="47"/>
      <c r="M1425" s="47"/>
      <c r="N1425" s="47"/>
      <c r="O1425" s="47"/>
      <c r="P1425" s="45" t="str">
        <f aca="false">IF($A1425="","",IF(COUNTIF(Accounts!$C$2:$C$201,$A1425)+COUNTIF('Service Principals'!$C$2:$C$201,$A1425)+COUNTIF('Managed Identities'!$C$2:$C$201,$A1425)&gt;0,"Yes","NOT IN INVENTORY"))</f>
        <v/>
      </c>
    </row>
    <row r="1426" customFormat="false" ht="15" hidden="false" customHeight="false" outlineLevel="0" collapsed="false">
      <c r="A1426" s="46"/>
      <c r="B1426" s="47"/>
      <c r="C1426" s="47"/>
      <c r="D1426" s="46"/>
      <c r="E1426" s="47"/>
      <c r="F1426" s="47"/>
      <c r="G1426" s="47"/>
      <c r="H1426" s="46"/>
      <c r="I1426" s="47"/>
      <c r="J1426" s="47"/>
      <c r="K1426" s="47"/>
      <c r="L1426" s="47"/>
      <c r="M1426" s="47"/>
      <c r="N1426" s="47"/>
      <c r="O1426" s="47"/>
      <c r="P1426" s="45" t="str">
        <f aca="false">IF($A1426="","",IF(COUNTIF(Accounts!$C$2:$C$201,$A1426)+COUNTIF('Service Principals'!$C$2:$C$201,$A1426)+COUNTIF('Managed Identities'!$C$2:$C$201,$A1426)&gt;0,"Yes","NOT IN INVENTORY"))</f>
        <v/>
      </c>
    </row>
    <row r="1427" customFormat="false" ht="15" hidden="false" customHeight="false" outlineLevel="0" collapsed="false">
      <c r="A1427" s="46"/>
      <c r="B1427" s="47"/>
      <c r="C1427" s="47"/>
      <c r="D1427" s="46"/>
      <c r="E1427" s="47"/>
      <c r="F1427" s="47"/>
      <c r="G1427" s="47"/>
      <c r="H1427" s="46"/>
      <c r="I1427" s="47"/>
      <c r="J1427" s="47"/>
      <c r="K1427" s="47"/>
      <c r="L1427" s="47"/>
      <c r="M1427" s="47"/>
      <c r="N1427" s="47"/>
      <c r="O1427" s="47"/>
      <c r="P1427" s="45" t="str">
        <f aca="false">IF($A1427="","",IF(COUNTIF(Accounts!$C$2:$C$201,$A1427)+COUNTIF('Service Principals'!$C$2:$C$201,$A1427)+COUNTIF('Managed Identities'!$C$2:$C$201,$A1427)&gt;0,"Yes","NOT IN INVENTORY"))</f>
        <v/>
      </c>
    </row>
    <row r="1428" customFormat="false" ht="15" hidden="false" customHeight="false" outlineLevel="0" collapsed="false">
      <c r="A1428" s="46"/>
      <c r="B1428" s="47"/>
      <c r="C1428" s="47"/>
      <c r="D1428" s="46"/>
      <c r="E1428" s="47"/>
      <c r="F1428" s="47"/>
      <c r="G1428" s="47"/>
      <c r="H1428" s="46"/>
      <c r="I1428" s="47"/>
      <c r="J1428" s="47"/>
      <c r="K1428" s="47"/>
      <c r="L1428" s="47"/>
      <c r="M1428" s="47"/>
      <c r="N1428" s="47"/>
      <c r="O1428" s="47"/>
      <c r="P1428" s="45" t="str">
        <f aca="false">IF($A1428="","",IF(COUNTIF(Accounts!$C$2:$C$201,$A1428)+COUNTIF('Service Principals'!$C$2:$C$201,$A1428)+COUNTIF('Managed Identities'!$C$2:$C$201,$A1428)&gt;0,"Yes","NOT IN INVENTORY"))</f>
        <v/>
      </c>
    </row>
    <row r="1429" customFormat="false" ht="15" hidden="false" customHeight="false" outlineLevel="0" collapsed="false">
      <c r="A1429" s="46"/>
      <c r="B1429" s="47"/>
      <c r="C1429" s="47"/>
      <c r="D1429" s="46"/>
      <c r="E1429" s="47"/>
      <c r="F1429" s="47"/>
      <c r="G1429" s="47"/>
      <c r="H1429" s="46"/>
      <c r="I1429" s="47"/>
      <c r="J1429" s="47"/>
      <c r="K1429" s="47"/>
      <c r="L1429" s="47"/>
      <c r="M1429" s="47"/>
      <c r="N1429" s="47"/>
      <c r="O1429" s="47"/>
      <c r="P1429" s="45" t="str">
        <f aca="false">IF($A1429="","",IF(COUNTIF(Accounts!$C$2:$C$201,$A1429)+COUNTIF('Service Principals'!$C$2:$C$201,$A1429)+COUNTIF('Managed Identities'!$C$2:$C$201,$A1429)&gt;0,"Yes","NOT IN INVENTORY"))</f>
        <v/>
      </c>
    </row>
    <row r="1430" customFormat="false" ht="15" hidden="false" customHeight="false" outlineLevel="0" collapsed="false">
      <c r="A1430" s="46"/>
      <c r="B1430" s="47"/>
      <c r="C1430" s="47"/>
      <c r="D1430" s="46"/>
      <c r="E1430" s="47"/>
      <c r="F1430" s="47"/>
      <c r="G1430" s="47"/>
      <c r="H1430" s="46"/>
      <c r="I1430" s="47"/>
      <c r="J1430" s="47"/>
      <c r="K1430" s="47"/>
      <c r="L1430" s="47"/>
      <c r="M1430" s="47"/>
      <c r="N1430" s="47"/>
      <c r="O1430" s="47"/>
      <c r="P1430" s="45" t="str">
        <f aca="false">IF($A1430="","",IF(COUNTIF(Accounts!$C$2:$C$201,$A1430)+COUNTIF('Service Principals'!$C$2:$C$201,$A1430)+COUNTIF('Managed Identities'!$C$2:$C$201,$A1430)&gt;0,"Yes","NOT IN INVENTORY"))</f>
        <v/>
      </c>
    </row>
    <row r="1431" customFormat="false" ht="15" hidden="false" customHeight="false" outlineLevel="0" collapsed="false">
      <c r="A1431" s="46"/>
      <c r="B1431" s="47"/>
      <c r="C1431" s="47"/>
      <c r="D1431" s="46"/>
      <c r="E1431" s="47"/>
      <c r="F1431" s="47"/>
      <c r="G1431" s="47"/>
      <c r="H1431" s="46"/>
      <c r="I1431" s="47"/>
      <c r="J1431" s="47"/>
      <c r="K1431" s="47"/>
      <c r="L1431" s="47"/>
      <c r="M1431" s="47"/>
      <c r="N1431" s="47"/>
      <c r="O1431" s="47"/>
      <c r="P1431" s="45" t="str">
        <f aca="false">IF($A1431="","",IF(COUNTIF(Accounts!$C$2:$C$201,$A1431)+COUNTIF('Service Principals'!$C$2:$C$201,$A1431)+COUNTIF('Managed Identities'!$C$2:$C$201,$A1431)&gt;0,"Yes","NOT IN INVENTORY"))</f>
        <v/>
      </c>
    </row>
    <row r="1432" customFormat="false" ht="15" hidden="false" customHeight="false" outlineLevel="0" collapsed="false">
      <c r="A1432" s="46"/>
      <c r="B1432" s="47"/>
      <c r="C1432" s="47"/>
      <c r="D1432" s="46"/>
      <c r="E1432" s="47"/>
      <c r="F1432" s="47"/>
      <c r="G1432" s="47"/>
      <c r="H1432" s="46"/>
      <c r="I1432" s="47"/>
      <c r="J1432" s="47"/>
      <c r="K1432" s="47"/>
      <c r="L1432" s="47"/>
      <c r="M1432" s="47"/>
      <c r="N1432" s="47"/>
      <c r="O1432" s="47"/>
      <c r="P1432" s="45" t="str">
        <f aca="false">IF($A1432="","",IF(COUNTIF(Accounts!$C$2:$C$201,$A1432)+COUNTIF('Service Principals'!$C$2:$C$201,$A1432)+COUNTIF('Managed Identities'!$C$2:$C$201,$A1432)&gt;0,"Yes","NOT IN INVENTORY"))</f>
        <v/>
      </c>
    </row>
    <row r="1433" customFormat="false" ht="15" hidden="false" customHeight="false" outlineLevel="0" collapsed="false">
      <c r="A1433" s="46"/>
      <c r="B1433" s="47"/>
      <c r="C1433" s="47"/>
      <c r="D1433" s="46"/>
      <c r="E1433" s="47"/>
      <c r="F1433" s="47"/>
      <c r="G1433" s="47"/>
      <c r="H1433" s="46"/>
      <c r="I1433" s="47"/>
      <c r="J1433" s="47"/>
      <c r="K1433" s="47"/>
      <c r="L1433" s="47"/>
      <c r="M1433" s="47"/>
      <c r="N1433" s="47"/>
      <c r="O1433" s="47"/>
      <c r="P1433" s="45" t="str">
        <f aca="false">IF($A1433="","",IF(COUNTIF(Accounts!$C$2:$C$201,$A1433)+COUNTIF('Service Principals'!$C$2:$C$201,$A1433)+COUNTIF('Managed Identities'!$C$2:$C$201,$A1433)&gt;0,"Yes","NOT IN INVENTORY"))</f>
        <v/>
      </c>
    </row>
    <row r="1434" customFormat="false" ht="15" hidden="false" customHeight="false" outlineLevel="0" collapsed="false">
      <c r="A1434" s="46"/>
      <c r="B1434" s="47"/>
      <c r="C1434" s="47"/>
      <c r="D1434" s="46"/>
      <c r="E1434" s="47"/>
      <c r="F1434" s="47"/>
      <c r="G1434" s="47"/>
      <c r="H1434" s="46"/>
      <c r="I1434" s="47"/>
      <c r="J1434" s="47"/>
      <c r="K1434" s="47"/>
      <c r="L1434" s="47"/>
      <c r="M1434" s="47"/>
      <c r="N1434" s="47"/>
      <c r="O1434" s="47"/>
      <c r="P1434" s="45" t="str">
        <f aca="false">IF($A1434="","",IF(COUNTIF(Accounts!$C$2:$C$201,$A1434)+COUNTIF('Service Principals'!$C$2:$C$201,$A1434)+COUNTIF('Managed Identities'!$C$2:$C$201,$A1434)&gt;0,"Yes","NOT IN INVENTORY"))</f>
        <v/>
      </c>
    </row>
    <row r="1435" customFormat="false" ht="15" hidden="false" customHeight="false" outlineLevel="0" collapsed="false">
      <c r="A1435" s="46"/>
      <c r="B1435" s="47"/>
      <c r="C1435" s="47"/>
      <c r="D1435" s="46"/>
      <c r="E1435" s="47"/>
      <c r="F1435" s="47"/>
      <c r="G1435" s="47"/>
      <c r="H1435" s="46"/>
      <c r="I1435" s="47"/>
      <c r="J1435" s="47"/>
      <c r="K1435" s="47"/>
      <c r="L1435" s="47"/>
      <c r="M1435" s="47"/>
      <c r="N1435" s="47"/>
      <c r="O1435" s="47"/>
      <c r="P1435" s="45" t="str">
        <f aca="false">IF($A1435="","",IF(COUNTIF(Accounts!$C$2:$C$201,$A1435)+COUNTIF('Service Principals'!$C$2:$C$201,$A1435)+COUNTIF('Managed Identities'!$C$2:$C$201,$A1435)&gt;0,"Yes","NOT IN INVENTORY"))</f>
        <v/>
      </c>
    </row>
    <row r="1436" customFormat="false" ht="15" hidden="false" customHeight="false" outlineLevel="0" collapsed="false">
      <c r="A1436" s="46"/>
      <c r="B1436" s="47"/>
      <c r="C1436" s="47"/>
      <c r="D1436" s="46"/>
      <c r="E1436" s="47"/>
      <c r="F1436" s="47"/>
      <c r="G1436" s="47"/>
      <c r="H1436" s="46"/>
      <c r="I1436" s="47"/>
      <c r="J1436" s="47"/>
      <c r="K1436" s="47"/>
      <c r="L1436" s="47"/>
      <c r="M1436" s="47"/>
      <c r="N1436" s="47"/>
      <c r="O1436" s="47"/>
      <c r="P1436" s="45" t="str">
        <f aca="false">IF($A1436="","",IF(COUNTIF(Accounts!$C$2:$C$201,$A1436)+COUNTIF('Service Principals'!$C$2:$C$201,$A1436)+COUNTIF('Managed Identities'!$C$2:$C$201,$A1436)&gt;0,"Yes","NOT IN INVENTORY"))</f>
        <v/>
      </c>
    </row>
    <row r="1437" customFormat="false" ht="15" hidden="false" customHeight="false" outlineLevel="0" collapsed="false">
      <c r="A1437" s="46"/>
      <c r="B1437" s="47"/>
      <c r="C1437" s="47"/>
      <c r="D1437" s="46"/>
      <c r="E1437" s="47"/>
      <c r="F1437" s="47"/>
      <c r="G1437" s="47"/>
      <c r="H1437" s="46"/>
      <c r="I1437" s="47"/>
      <c r="J1437" s="47"/>
      <c r="K1437" s="47"/>
      <c r="L1437" s="47"/>
      <c r="M1437" s="47"/>
      <c r="N1437" s="47"/>
      <c r="O1437" s="47"/>
      <c r="P1437" s="45" t="str">
        <f aca="false">IF($A1437="","",IF(COUNTIF(Accounts!$C$2:$C$201,$A1437)+COUNTIF('Service Principals'!$C$2:$C$201,$A1437)+COUNTIF('Managed Identities'!$C$2:$C$201,$A1437)&gt;0,"Yes","NOT IN INVENTORY"))</f>
        <v/>
      </c>
    </row>
    <row r="1438" customFormat="false" ht="15" hidden="false" customHeight="false" outlineLevel="0" collapsed="false">
      <c r="A1438" s="46"/>
      <c r="B1438" s="47"/>
      <c r="C1438" s="47"/>
      <c r="D1438" s="46"/>
      <c r="E1438" s="47"/>
      <c r="F1438" s="47"/>
      <c r="G1438" s="47"/>
      <c r="H1438" s="46"/>
      <c r="I1438" s="47"/>
      <c r="J1438" s="47"/>
      <c r="K1438" s="47"/>
      <c r="L1438" s="47"/>
      <c r="M1438" s="47"/>
      <c r="N1438" s="47"/>
      <c r="O1438" s="47"/>
      <c r="P1438" s="45" t="str">
        <f aca="false">IF($A1438="","",IF(COUNTIF(Accounts!$C$2:$C$201,$A1438)+COUNTIF('Service Principals'!$C$2:$C$201,$A1438)+COUNTIF('Managed Identities'!$C$2:$C$201,$A1438)&gt;0,"Yes","NOT IN INVENTORY"))</f>
        <v/>
      </c>
    </row>
    <row r="1439" customFormat="false" ht="15" hidden="false" customHeight="false" outlineLevel="0" collapsed="false">
      <c r="A1439" s="46"/>
      <c r="B1439" s="47"/>
      <c r="C1439" s="47"/>
      <c r="D1439" s="46"/>
      <c r="E1439" s="47"/>
      <c r="F1439" s="47"/>
      <c r="G1439" s="47"/>
      <c r="H1439" s="46"/>
      <c r="I1439" s="47"/>
      <c r="J1439" s="47"/>
      <c r="K1439" s="47"/>
      <c r="L1439" s="47"/>
      <c r="M1439" s="47"/>
      <c r="N1439" s="47"/>
      <c r="O1439" s="47"/>
      <c r="P1439" s="45" t="str">
        <f aca="false">IF($A1439="","",IF(COUNTIF(Accounts!$C$2:$C$201,$A1439)+COUNTIF('Service Principals'!$C$2:$C$201,$A1439)+COUNTIF('Managed Identities'!$C$2:$C$201,$A1439)&gt;0,"Yes","NOT IN INVENTORY"))</f>
        <v/>
      </c>
    </row>
    <row r="1440" customFormat="false" ht="15" hidden="false" customHeight="false" outlineLevel="0" collapsed="false">
      <c r="A1440" s="46"/>
      <c r="B1440" s="47"/>
      <c r="C1440" s="47"/>
      <c r="D1440" s="46"/>
      <c r="E1440" s="47"/>
      <c r="F1440" s="47"/>
      <c r="G1440" s="47"/>
      <c r="H1440" s="46"/>
      <c r="I1440" s="47"/>
      <c r="J1440" s="47"/>
      <c r="K1440" s="47"/>
      <c r="L1440" s="47"/>
      <c r="M1440" s="47"/>
      <c r="N1440" s="47"/>
      <c r="O1440" s="47"/>
      <c r="P1440" s="45" t="str">
        <f aca="false">IF($A1440="","",IF(COUNTIF(Accounts!$C$2:$C$201,$A1440)+COUNTIF('Service Principals'!$C$2:$C$201,$A1440)+COUNTIF('Managed Identities'!$C$2:$C$201,$A1440)&gt;0,"Yes","NOT IN INVENTORY"))</f>
        <v/>
      </c>
    </row>
    <row r="1441" customFormat="false" ht="15" hidden="false" customHeight="false" outlineLevel="0" collapsed="false">
      <c r="A1441" s="46"/>
      <c r="B1441" s="47"/>
      <c r="C1441" s="47"/>
      <c r="D1441" s="46"/>
      <c r="E1441" s="47"/>
      <c r="F1441" s="47"/>
      <c r="G1441" s="47"/>
      <c r="H1441" s="46"/>
      <c r="I1441" s="47"/>
      <c r="J1441" s="47"/>
      <c r="K1441" s="47"/>
      <c r="L1441" s="47"/>
      <c r="M1441" s="47"/>
      <c r="N1441" s="47"/>
      <c r="O1441" s="47"/>
      <c r="P1441" s="45" t="str">
        <f aca="false">IF($A1441="","",IF(COUNTIF(Accounts!$C$2:$C$201,$A1441)+COUNTIF('Service Principals'!$C$2:$C$201,$A1441)+COUNTIF('Managed Identities'!$C$2:$C$201,$A1441)&gt;0,"Yes","NOT IN INVENTORY"))</f>
        <v/>
      </c>
    </row>
    <row r="1442" customFormat="false" ht="15" hidden="false" customHeight="false" outlineLevel="0" collapsed="false">
      <c r="A1442" s="46"/>
      <c r="B1442" s="47"/>
      <c r="C1442" s="47"/>
      <c r="D1442" s="46"/>
      <c r="E1442" s="47"/>
      <c r="F1442" s="47"/>
      <c r="G1442" s="47"/>
      <c r="H1442" s="46"/>
      <c r="I1442" s="47"/>
      <c r="J1442" s="47"/>
      <c r="K1442" s="47"/>
      <c r="L1442" s="47"/>
      <c r="M1442" s="47"/>
      <c r="N1442" s="47"/>
      <c r="O1442" s="47"/>
      <c r="P1442" s="45" t="str">
        <f aca="false">IF($A1442="","",IF(COUNTIF(Accounts!$C$2:$C$201,$A1442)+COUNTIF('Service Principals'!$C$2:$C$201,$A1442)+COUNTIF('Managed Identities'!$C$2:$C$201,$A1442)&gt;0,"Yes","NOT IN INVENTORY"))</f>
        <v/>
      </c>
    </row>
    <row r="1443" customFormat="false" ht="15" hidden="false" customHeight="false" outlineLevel="0" collapsed="false">
      <c r="A1443" s="46"/>
      <c r="B1443" s="47"/>
      <c r="C1443" s="47"/>
      <c r="D1443" s="46"/>
      <c r="E1443" s="47"/>
      <c r="F1443" s="47"/>
      <c r="G1443" s="47"/>
      <c r="H1443" s="46"/>
      <c r="I1443" s="47"/>
      <c r="J1443" s="47"/>
      <c r="K1443" s="47"/>
      <c r="L1443" s="47"/>
      <c r="M1443" s="47"/>
      <c r="N1443" s="47"/>
      <c r="O1443" s="47"/>
      <c r="P1443" s="45" t="str">
        <f aca="false">IF($A1443="","",IF(COUNTIF(Accounts!$C$2:$C$201,$A1443)+COUNTIF('Service Principals'!$C$2:$C$201,$A1443)+COUNTIF('Managed Identities'!$C$2:$C$201,$A1443)&gt;0,"Yes","NOT IN INVENTORY"))</f>
        <v/>
      </c>
    </row>
    <row r="1444" customFormat="false" ht="15" hidden="false" customHeight="false" outlineLevel="0" collapsed="false">
      <c r="A1444" s="46"/>
      <c r="B1444" s="47"/>
      <c r="C1444" s="47"/>
      <c r="D1444" s="46"/>
      <c r="E1444" s="47"/>
      <c r="F1444" s="47"/>
      <c r="G1444" s="47"/>
      <c r="H1444" s="46"/>
      <c r="I1444" s="47"/>
      <c r="J1444" s="47"/>
      <c r="K1444" s="47"/>
      <c r="L1444" s="47"/>
      <c r="M1444" s="47"/>
      <c r="N1444" s="47"/>
      <c r="O1444" s="47"/>
      <c r="P1444" s="45" t="str">
        <f aca="false">IF($A1444="","",IF(COUNTIF(Accounts!$C$2:$C$201,$A1444)+COUNTIF('Service Principals'!$C$2:$C$201,$A1444)+COUNTIF('Managed Identities'!$C$2:$C$201,$A1444)&gt;0,"Yes","NOT IN INVENTORY"))</f>
        <v/>
      </c>
    </row>
    <row r="1445" customFormat="false" ht="15" hidden="false" customHeight="false" outlineLevel="0" collapsed="false">
      <c r="A1445" s="46"/>
      <c r="B1445" s="47"/>
      <c r="C1445" s="47"/>
      <c r="D1445" s="46"/>
      <c r="E1445" s="47"/>
      <c r="F1445" s="47"/>
      <c r="G1445" s="47"/>
      <c r="H1445" s="46"/>
      <c r="I1445" s="47"/>
      <c r="J1445" s="47"/>
      <c r="K1445" s="47"/>
      <c r="L1445" s="47"/>
      <c r="M1445" s="47"/>
      <c r="N1445" s="47"/>
      <c r="O1445" s="47"/>
      <c r="P1445" s="45" t="str">
        <f aca="false">IF($A1445="","",IF(COUNTIF(Accounts!$C$2:$C$201,$A1445)+COUNTIF('Service Principals'!$C$2:$C$201,$A1445)+COUNTIF('Managed Identities'!$C$2:$C$201,$A1445)&gt;0,"Yes","NOT IN INVENTORY"))</f>
        <v/>
      </c>
    </row>
    <row r="1446" customFormat="false" ht="15" hidden="false" customHeight="false" outlineLevel="0" collapsed="false">
      <c r="A1446" s="46"/>
      <c r="B1446" s="47"/>
      <c r="C1446" s="47"/>
      <c r="D1446" s="46"/>
      <c r="E1446" s="47"/>
      <c r="F1446" s="47"/>
      <c r="G1446" s="47"/>
      <c r="H1446" s="46"/>
      <c r="I1446" s="47"/>
      <c r="J1446" s="47"/>
      <c r="K1446" s="47"/>
      <c r="L1446" s="47"/>
      <c r="M1446" s="47"/>
      <c r="N1446" s="47"/>
      <c r="O1446" s="47"/>
      <c r="P1446" s="45" t="str">
        <f aca="false">IF($A1446="","",IF(COUNTIF(Accounts!$C$2:$C$201,$A1446)+COUNTIF('Service Principals'!$C$2:$C$201,$A1446)+COUNTIF('Managed Identities'!$C$2:$C$201,$A1446)&gt;0,"Yes","NOT IN INVENTORY"))</f>
        <v/>
      </c>
    </row>
    <row r="1447" customFormat="false" ht="15" hidden="false" customHeight="false" outlineLevel="0" collapsed="false">
      <c r="A1447" s="46"/>
      <c r="B1447" s="47"/>
      <c r="C1447" s="47"/>
      <c r="D1447" s="46"/>
      <c r="E1447" s="47"/>
      <c r="F1447" s="47"/>
      <c r="G1447" s="47"/>
      <c r="H1447" s="46"/>
      <c r="I1447" s="47"/>
      <c r="J1447" s="47"/>
      <c r="K1447" s="47"/>
      <c r="L1447" s="47"/>
      <c r="M1447" s="47"/>
      <c r="N1447" s="47"/>
      <c r="O1447" s="47"/>
      <c r="P1447" s="45" t="str">
        <f aca="false">IF($A1447="","",IF(COUNTIF(Accounts!$C$2:$C$201,$A1447)+COUNTIF('Service Principals'!$C$2:$C$201,$A1447)+COUNTIF('Managed Identities'!$C$2:$C$201,$A1447)&gt;0,"Yes","NOT IN INVENTORY"))</f>
        <v/>
      </c>
    </row>
    <row r="1448" customFormat="false" ht="15" hidden="false" customHeight="false" outlineLevel="0" collapsed="false">
      <c r="A1448" s="46"/>
      <c r="B1448" s="47"/>
      <c r="C1448" s="47"/>
      <c r="D1448" s="46"/>
      <c r="E1448" s="47"/>
      <c r="F1448" s="47"/>
      <c r="G1448" s="47"/>
      <c r="H1448" s="46"/>
      <c r="I1448" s="47"/>
      <c r="J1448" s="47"/>
      <c r="K1448" s="47"/>
      <c r="L1448" s="47"/>
      <c r="M1448" s="47"/>
      <c r="N1448" s="47"/>
      <c r="O1448" s="47"/>
      <c r="P1448" s="45" t="str">
        <f aca="false">IF($A1448="","",IF(COUNTIF(Accounts!$C$2:$C$201,$A1448)+COUNTIF('Service Principals'!$C$2:$C$201,$A1448)+COUNTIF('Managed Identities'!$C$2:$C$201,$A1448)&gt;0,"Yes","NOT IN INVENTORY"))</f>
        <v/>
      </c>
    </row>
    <row r="1449" customFormat="false" ht="15" hidden="false" customHeight="false" outlineLevel="0" collapsed="false">
      <c r="A1449" s="46"/>
      <c r="B1449" s="47"/>
      <c r="C1449" s="47"/>
      <c r="D1449" s="46"/>
      <c r="E1449" s="47"/>
      <c r="F1449" s="47"/>
      <c r="G1449" s="47"/>
      <c r="H1449" s="46"/>
      <c r="I1449" s="47"/>
      <c r="J1449" s="47"/>
      <c r="K1449" s="47"/>
      <c r="L1449" s="47"/>
      <c r="M1449" s="47"/>
      <c r="N1449" s="47"/>
      <c r="O1449" s="47"/>
      <c r="P1449" s="45" t="str">
        <f aca="false">IF($A1449="","",IF(COUNTIF(Accounts!$C$2:$C$201,$A1449)+COUNTIF('Service Principals'!$C$2:$C$201,$A1449)+COUNTIF('Managed Identities'!$C$2:$C$201,$A1449)&gt;0,"Yes","NOT IN INVENTORY"))</f>
        <v/>
      </c>
    </row>
    <row r="1450" customFormat="false" ht="15" hidden="false" customHeight="false" outlineLevel="0" collapsed="false">
      <c r="A1450" s="46"/>
      <c r="B1450" s="47"/>
      <c r="C1450" s="47"/>
      <c r="D1450" s="46"/>
      <c r="E1450" s="47"/>
      <c r="F1450" s="47"/>
      <c r="G1450" s="47"/>
      <c r="H1450" s="46"/>
      <c r="I1450" s="47"/>
      <c r="J1450" s="47"/>
      <c r="K1450" s="47"/>
      <c r="L1450" s="47"/>
      <c r="M1450" s="47"/>
      <c r="N1450" s="47"/>
      <c r="O1450" s="47"/>
      <c r="P1450" s="45" t="str">
        <f aca="false">IF($A1450="","",IF(COUNTIF(Accounts!$C$2:$C$201,$A1450)+COUNTIF('Service Principals'!$C$2:$C$201,$A1450)+COUNTIF('Managed Identities'!$C$2:$C$201,$A1450)&gt;0,"Yes","NOT IN INVENTORY"))</f>
        <v/>
      </c>
    </row>
    <row r="1451" customFormat="false" ht="15" hidden="false" customHeight="false" outlineLevel="0" collapsed="false">
      <c r="A1451" s="46"/>
      <c r="B1451" s="47"/>
      <c r="C1451" s="47"/>
      <c r="D1451" s="46"/>
      <c r="E1451" s="47"/>
      <c r="F1451" s="47"/>
      <c r="G1451" s="47"/>
      <c r="H1451" s="46"/>
      <c r="I1451" s="47"/>
      <c r="J1451" s="47"/>
      <c r="K1451" s="47"/>
      <c r="L1451" s="47"/>
      <c r="M1451" s="47"/>
      <c r="N1451" s="47"/>
      <c r="O1451" s="47"/>
      <c r="P1451" s="45" t="str">
        <f aca="false">IF($A1451="","",IF(COUNTIF(Accounts!$C$2:$C$201,$A1451)+COUNTIF('Service Principals'!$C$2:$C$201,$A1451)+COUNTIF('Managed Identities'!$C$2:$C$201,$A1451)&gt;0,"Yes","NOT IN INVENTORY"))</f>
        <v/>
      </c>
    </row>
    <row r="1452" customFormat="false" ht="15" hidden="false" customHeight="false" outlineLevel="0" collapsed="false">
      <c r="A1452" s="46"/>
      <c r="B1452" s="47"/>
      <c r="C1452" s="47"/>
      <c r="D1452" s="46"/>
      <c r="E1452" s="47"/>
      <c r="F1452" s="47"/>
      <c r="G1452" s="47"/>
      <c r="H1452" s="46"/>
      <c r="I1452" s="47"/>
      <c r="J1452" s="47"/>
      <c r="K1452" s="47"/>
      <c r="L1452" s="47"/>
      <c r="M1452" s="47"/>
      <c r="N1452" s="47"/>
      <c r="O1452" s="47"/>
      <c r="P1452" s="45" t="str">
        <f aca="false">IF($A1452="","",IF(COUNTIF(Accounts!$C$2:$C$201,$A1452)+COUNTIF('Service Principals'!$C$2:$C$201,$A1452)+COUNTIF('Managed Identities'!$C$2:$C$201,$A1452)&gt;0,"Yes","NOT IN INVENTORY"))</f>
        <v/>
      </c>
    </row>
    <row r="1453" customFormat="false" ht="15" hidden="false" customHeight="false" outlineLevel="0" collapsed="false">
      <c r="A1453" s="46"/>
      <c r="B1453" s="47"/>
      <c r="C1453" s="47"/>
      <c r="D1453" s="46"/>
      <c r="E1453" s="47"/>
      <c r="F1453" s="47"/>
      <c r="G1453" s="47"/>
      <c r="H1453" s="46"/>
      <c r="I1453" s="47"/>
      <c r="J1453" s="47"/>
      <c r="K1453" s="47"/>
      <c r="L1453" s="47"/>
      <c r="M1453" s="47"/>
      <c r="N1453" s="47"/>
      <c r="O1453" s="47"/>
      <c r="P1453" s="45" t="str">
        <f aca="false">IF($A1453="","",IF(COUNTIF(Accounts!$C$2:$C$201,$A1453)+COUNTIF('Service Principals'!$C$2:$C$201,$A1453)+COUNTIF('Managed Identities'!$C$2:$C$201,$A1453)&gt;0,"Yes","NOT IN INVENTORY"))</f>
        <v/>
      </c>
    </row>
    <row r="1454" customFormat="false" ht="15" hidden="false" customHeight="false" outlineLevel="0" collapsed="false">
      <c r="A1454" s="46"/>
      <c r="B1454" s="47"/>
      <c r="C1454" s="47"/>
      <c r="D1454" s="46"/>
      <c r="E1454" s="47"/>
      <c r="F1454" s="47"/>
      <c r="G1454" s="47"/>
      <c r="H1454" s="46"/>
      <c r="I1454" s="47"/>
      <c r="J1454" s="47"/>
      <c r="K1454" s="47"/>
      <c r="L1454" s="47"/>
      <c r="M1454" s="47"/>
      <c r="N1454" s="47"/>
      <c r="O1454" s="47"/>
      <c r="P1454" s="45" t="str">
        <f aca="false">IF($A1454="","",IF(COUNTIF(Accounts!$C$2:$C$201,$A1454)+COUNTIF('Service Principals'!$C$2:$C$201,$A1454)+COUNTIF('Managed Identities'!$C$2:$C$201,$A1454)&gt;0,"Yes","NOT IN INVENTORY"))</f>
        <v/>
      </c>
    </row>
    <row r="1455" customFormat="false" ht="15" hidden="false" customHeight="false" outlineLevel="0" collapsed="false">
      <c r="A1455" s="46"/>
      <c r="B1455" s="47"/>
      <c r="C1455" s="47"/>
      <c r="D1455" s="46"/>
      <c r="E1455" s="47"/>
      <c r="F1455" s="47"/>
      <c r="G1455" s="47"/>
      <c r="H1455" s="46"/>
      <c r="I1455" s="47"/>
      <c r="J1455" s="47"/>
      <c r="K1455" s="47"/>
      <c r="L1455" s="47"/>
      <c r="M1455" s="47"/>
      <c r="N1455" s="47"/>
      <c r="O1455" s="47"/>
      <c r="P1455" s="45" t="str">
        <f aca="false">IF($A1455="","",IF(COUNTIF(Accounts!$C$2:$C$201,$A1455)+COUNTIF('Service Principals'!$C$2:$C$201,$A1455)+COUNTIF('Managed Identities'!$C$2:$C$201,$A1455)&gt;0,"Yes","NOT IN INVENTORY"))</f>
        <v/>
      </c>
    </row>
    <row r="1456" customFormat="false" ht="15" hidden="false" customHeight="false" outlineLevel="0" collapsed="false">
      <c r="A1456" s="46"/>
      <c r="B1456" s="47"/>
      <c r="C1456" s="47"/>
      <c r="D1456" s="46"/>
      <c r="E1456" s="47"/>
      <c r="F1456" s="47"/>
      <c r="G1456" s="47"/>
      <c r="H1456" s="46"/>
      <c r="I1456" s="47"/>
      <c r="J1456" s="47"/>
      <c r="K1456" s="47"/>
      <c r="L1456" s="47"/>
      <c r="M1456" s="47"/>
      <c r="N1456" s="47"/>
      <c r="O1456" s="47"/>
      <c r="P1456" s="45" t="str">
        <f aca="false">IF($A1456="","",IF(COUNTIF(Accounts!$C$2:$C$201,$A1456)+COUNTIF('Service Principals'!$C$2:$C$201,$A1456)+COUNTIF('Managed Identities'!$C$2:$C$201,$A1456)&gt;0,"Yes","NOT IN INVENTORY"))</f>
        <v/>
      </c>
    </row>
    <row r="1457" customFormat="false" ht="15" hidden="false" customHeight="false" outlineLevel="0" collapsed="false">
      <c r="A1457" s="46"/>
      <c r="B1457" s="47"/>
      <c r="C1457" s="47"/>
      <c r="D1457" s="46"/>
      <c r="E1457" s="47"/>
      <c r="F1457" s="47"/>
      <c r="G1457" s="47"/>
      <c r="H1457" s="46"/>
      <c r="I1457" s="47"/>
      <c r="J1457" s="47"/>
      <c r="K1457" s="47"/>
      <c r="L1457" s="47"/>
      <c r="M1457" s="47"/>
      <c r="N1457" s="47"/>
      <c r="O1457" s="47"/>
      <c r="P1457" s="45" t="str">
        <f aca="false">IF($A1457="","",IF(COUNTIF(Accounts!$C$2:$C$201,$A1457)+COUNTIF('Service Principals'!$C$2:$C$201,$A1457)+COUNTIF('Managed Identities'!$C$2:$C$201,$A1457)&gt;0,"Yes","NOT IN INVENTORY"))</f>
        <v/>
      </c>
    </row>
    <row r="1458" customFormat="false" ht="15" hidden="false" customHeight="false" outlineLevel="0" collapsed="false">
      <c r="A1458" s="46"/>
      <c r="B1458" s="47"/>
      <c r="C1458" s="47"/>
      <c r="D1458" s="46"/>
      <c r="E1458" s="47"/>
      <c r="F1458" s="47"/>
      <c r="G1458" s="47"/>
      <c r="H1458" s="46"/>
      <c r="I1458" s="47"/>
      <c r="J1458" s="47"/>
      <c r="K1458" s="47"/>
      <c r="L1458" s="47"/>
      <c r="M1458" s="47"/>
      <c r="N1458" s="47"/>
      <c r="O1458" s="47"/>
      <c r="P1458" s="45" t="str">
        <f aca="false">IF($A1458="","",IF(COUNTIF(Accounts!$C$2:$C$201,$A1458)+COUNTIF('Service Principals'!$C$2:$C$201,$A1458)+COUNTIF('Managed Identities'!$C$2:$C$201,$A1458)&gt;0,"Yes","NOT IN INVENTORY"))</f>
        <v/>
      </c>
    </row>
    <row r="1459" customFormat="false" ht="15" hidden="false" customHeight="false" outlineLevel="0" collapsed="false">
      <c r="A1459" s="46"/>
      <c r="B1459" s="47"/>
      <c r="C1459" s="47"/>
      <c r="D1459" s="46"/>
      <c r="E1459" s="47"/>
      <c r="F1459" s="47"/>
      <c r="G1459" s="47"/>
      <c r="H1459" s="46"/>
      <c r="I1459" s="47"/>
      <c r="J1459" s="47"/>
      <c r="K1459" s="47"/>
      <c r="L1459" s="47"/>
      <c r="M1459" s="47"/>
      <c r="N1459" s="47"/>
      <c r="O1459" s="47"/>
      <c r="P1459" s="45" t="str">
        <f aca="false">IF($A1459="","",IF(COUNTIF(Accounts!$C$2:$C$201,$A1459)+COUNTIF('Service Principals'!$C$2:$C$201,$A1459)+COUNTIF('Managed Identities'!$C$2:$C$201,$A1459)&gt;0,"Yes","NOT IN INVENTORY"))</f>
        <v/>
      </c>
    </row>
    <row r="1460" customFormat="false" ht="15" hidden="false" customHeight="false" outlineLevel="0" collapsed="false">
      <c r="A1460" s="46"/>
      <c r="B1460" s="47"/>
      <c r="C1460" s="47"/>
      <c r="D1460" s="46"/>
      <c r="E1460" s="47"/>
      <c r="F1460" s="47"/>
      <c r="G1460" s="47"/>
      <c r="H1460" s="46"/>
      <c r="I1460" s="47"/>
      <c r="J1460" s="47"/>
      <c r="K1460" s="47"/>
      <c r="L1460" s="47"/>
      <c r="M1460" s="47"/>
      <c r="N1460" s="47"/>
      <c r="O1460" s="47"/>
      <c r="P1460" s="45" t="str">
        <f aca="false">IF($A1460="","",IF(COUNTIF(Accounts!$C$2:$C$201,$A1460)+COUNTIF('Service Principals'!$C$2:$C$201,$A1460)+COUNTIF('Managed Identities'!$C$2:$C$201,$A1460)&gt;0,"Yes","NOT IN INVENTORY"))</f>
        <v/>
      </c>
    </row>
    <row r="1461" customFormat="false" ht="15" hidden="false" customHeight="false" outlineLevel="0" collapsed="false">
      <c r="A1461" s="46"/>
      <c r="B1461" s="47"/>
      <c r="C1461" s="47"/>
      <c r="D1461" s="46"/>
      <c r="E1461" s="47"/>
      <c r="F1461" s="47"/>
      <c r="G1461" s="47"/>
      <c r="H1461" s="46"/>
      <c r="I1461" s="47"/>
      <c r="J1461" s="47"/>
      <c r="K1461" s="47"/>
      <c r="L1461" s="47"/>
      <c r="M1461" s="47"/>
      <c r="N1461" s="47"/>
      <c r="O1461" s="47"/>
      <c r="P1461" s="45" t="str">
        <f aca="false">IF($A1461="","",IF(COUNTIF(Accounts!$C$2:$C$201,$A1461)+COUNTIF('Service Principals'!$C$2:$C$201,$A1461)+COUNTIF('Managed Identities'!$C$2:$C$201,$A1461)&gt;0,"Yes","NOT IN INVENTORY"))</f>
        <v/>
      </c>
    </row>
    <row r="1462" customFormat="false" ht="15" hidden="false" customHeight="false" outlineLevel="0" collapsed="false">
      <c r="A1462" s="46"/>
      <c r="B1462" s="47"/>
      <c r="C1462" s="47"/>
      <c r="D1462" s="46"/>
      <c r="E1462" s="47"/>
      <c r="F1462" s="47"/>
      <c r="G1462" s="47"/>
      <c r="H1462" s="46"/>
      <c r="I1462" s="47"/>
      <c r="J1462" s="47"/>
      <c r="K1462" s="47"/>
      <c r="L1462" s="47"/>
      <c r="M1462" s="47"/>
      <c r="N1462" s="47"/>
      <c r="O1462" s="47"/>
      <c r="P1462" s="45" t="str">
        <f aca="false">IF($A1462="","",IF(COUNTIF(Accounts!$C$2:$C$201,$A1462)+COUNTIF('Service Principals'!$C$2:$C$201,$A1462)+COUNTIF('Managed Identities'!$C$2:$C$201,$A1462)&gt;0,"Yes","NOT IN INVENTORY"))</f>
        <v/>
      </c>
    </row>
    <row r="1463" customFormat="false" ht="15" hidden="false" customHeight="false" outlineLevel="0" collapsed="false">
      <c r="A1463" s="46"/>
      <c r="B1463" s="47"/>
      <c r="C1463" s="47"/>
      <c r="D1463" s="46"/>
      <c r="E1463" s="47"/>
      <c r="F1463" s="47"/>
      <c r="G1463" s="47"/>
      <c r="H1463" s="46"/>
      <c r="I1463" s="47"/>
      <c r="J1463" s="47"/>
      <c r="K1463" s="47"/>
      <c r="L1463" s="47"/>
      <c r="M1463" s="47"/>
      <c r="N1463" s="47"/>
      <c r="O1463" s="47"/>
      <c r="P1463" s="45" t="str">
        <f aca="false">IF($A1463="","",IF(COUNTIF(Accounts!$C$2:$C$201,$A1463)+COUNTIF('Service Principals'!$C$2:$C$201,$A1463)+COUNTIF('Managed Identities'!$C$2:$C$201,$A1463)&gt;0,"Yes","NOT IN INVENTORY"))</f>
        <v/>
      </c>
    </row>
    <row r="1464" customFormat="false" ht="15" hidden="false" customHeight="false" outlineLevel="0" collapsed="false">
      <c r="A1464" s="46"/>
      <c r="B1464" s="47"/>
      <c r="C1464" s="47"/>
      <c r="D1464" s="46"/>
      <c r="E1464" s="47"/>
      <c r="F1464" s="47"/>
      <c r="G1464" s="47"/>
      <c r="H1464" s="46"/>
      <c r="I1464" s="47"/>
      <c r="J1464" s="47"/>
      <c r="K1464" s="47"/>
      <c r="L1464" s="47"/>
      <c r="M1464" s="47"/>
      <c r="N1464" s="47"/>
      <c r="O1464" s="47"/>
      <c r="P1464" s="45" t="str">
        <f aca="false">IF($A1464="","",IF(COUNTIF(Accounts!$C$2:$C$201,$A1464)+COUNTIF('Service Principals'!$C$2:$C$201,$A1464)+COUNTIF('Managed Identities'!$C$2:$C$201,$A1464)&gt;0,"Yes","NOT IN INVENTORY"))</f>
        <v/>
      </c>
    </row>
    <row r="1465" customFormat="false" ht="15" hidden="false" customHeight="false" outlineLevel="0" collapsed="false">
      <c r="A1465" s="46"/>
      <c r="B1465" s="47"/>
      <c r="C1465" s="47"/>
      <c r="D1465" s="46"/>
      <c r="E1465" s="47"/>
      <c r="F1465" s="47"/>
      <c r="G1465" s="47"/>
      <c r="H1465" s="46"/>
      <c r="I1465" s="47"/>
      <c r="J1465" s="47"/>
      <c r="K1465" s="47"/>
      <c r="L1465" s="47"/>
      <c r="M1465" s="47"/>
      <c r="N1465" s="47"/>
      <c r="O1465" s="47"/>
      <c r="P1465" s="45" t="str">
        <f aca="false">IF($A1465="","",IF(COUNTIF(Accounts!$C$2:$C$201,$A1465)+COUNTIF('Service Principals'!$C$2:$C$201,$A1465)+COUNTIF('Managed Identities'!$C$2:$C$201,$A1465)&gt;0,"Yes","NOT IN INVENTORY"))</f>
        <v/>
      </c>
    </row>
    <row r="1466" customFormat="false" ht="15" hidden="false" customHeight="false" outlineLevel="0" collapsed="false">
      <c r="A1466" s="46"/>
      <c r="B1466" s="47"/>
      <c r="C1466" s="47"/>
      <c r="D1466" s="46"/>
      <c r="E1466" s="47"/>
      <c r="F1466" s="47"/>
      <c r="G1466" s="47"/>
      <c r="H1466" s="46"/>
      <c r="I1466" s="47"/>
      <c r="J1466" s="47"/>
      <c r="K1466" s="47"/>
      <c r="L1466" s="47"/>
      <c r="M1466" s="47"/>
      <c r="N1466" s="47"/>
      <c r="O1466" s="47"/>
      <c r="P1466" s="45" t="str">
        <f aca="false">IF($A1466="","",IF(COUNTIF(Accounts!$C$2:$C$201,$A1466)+COUNTIF('Service Principals'!$C$2:$C$201,$A1466)+COUNTIF('Managed Identities'!$C$2:$C$201,$A1466)&gt;0,"Yes","NOT IN INVENTORY"))</f>
        <v/>
      </c>
    </row>
    <row r="1467" customFormat="false" ht="15" hidden="false" customHeight="false" outlineLevel="0" collapsed="false">
      <c r="A1467" s="46"/>
      <c r="B1467" s="47"/>
      <c r="C1467" s="47"/>
      <c r="D1467" s="46"/>
      <c r="E1467" s="47"/>
      <c r="F1467" s="47"/>
      <c r="G1467" s="47"/>
      <c r="H1467" s="46"/>
      <c r="I1467" s="47"/>
      <c r="J1467" s="47"/>
      <c r="K1467" s="47"/>
      <c r="L1467" s="47"/>
      <c r="M1467" s="47"/>
      <c r="N1467" s="47"/>
      <c r="O1467" s="47"/>
      <c r="P1467" s="45" t="str">
        <f aca="false">IF($A1467="","",IF(COUNTIF(Accounts!$C$2:$C$201,$A1467)+COUNTIF('Service Principals'!$C$2:$C$201,$A1467)+COUNTIF('Managed Identities'!$C$2:$C$201,$A1467)&gt;0,"Yes","NOT IN INVENTORY"))</f>
        <v/>
      </c>
    </row>
    <row r="1468" customFormat="false" ht="15" hidden="false" customHeight="false" outlineLevel="0" collapsed="false">
      <c r="A1468" s="46"/>
      <c r="B1468" s="47"/>
      <c r="C1468" s="47"/>
      <c r="D1468" s="46"/>
      <c r="E1468" s="47"/>
      <c r="F1468" s="47"/>
      <c r="G1468" s="47"/>
      <c r="H1468" s="46"/>
      <c r="I1468" s="47"/>
      <c r="J1468" s="47"/>
      <c r="K1468" s="47"/>
      <c r="L1468" s="47"/>
      <c r="M1468" s="47"/>
      <c r="N1468" s="47"/>
      <c r="O1468" s="47"/>
      <c r="P1468" s="45" t="str">
        <f aca="false">IF($A1468="","",IF(COUNTIF(Accounts!$C$2:$C$201,$A1468)+COUNTIF('Service Principals'!$C$2:$C$201,$A1468)+COUNTIF('Managed Identities'!$C$2:$C$201,$A1468)&gt;0,"Yes","NOT IN INVENTORY"))</f>
        <v/>
      </c>
    </row>
    <row r="1469" customFormat="false" ht="15" hidden="false" customHeight="false" outlineLevel="0" collapsed="false">
      <c r="A1469" s="46"/>
      <c r="B1469" s="47"/>
      <c r="C1469" s="47"/>
      <c r="D1469" s="46"/>
      <c r="E1469" s="47"/>
      <c r="F1469" s="47"/>
      <c r="G1469" s="47"/>
      <c r="H1469" s="46"/>
      <c r="I1469" s="47"/>
      <c r="J1469" s="47"/>
      <c r="K1469" s="47"/>
      <c r="L1469" s="47"/>
      <c r="M1469" s="47"/>
      <c r="N1469" s="47"/>
      <c r="O1469" s="47"/>
      <c r="P1469" s="45" t="str">
        <f aca="false">IF($A1469="","",IF(COUNTIF(Accounts!$C$2:$C$201,$A1469)+COUNTIF('Service Principals'!$C$2:$C$201,$A1469)+COUNTIF('Managed Identities'!$C$2:$C$201,$A1469)&gt;0,"Yes","NOT IN INVENTORY"))</f>
        <v/>
      </c>
    </row>
    <row r="1470" customFormat="false" ht="15" hidden="false" customHeight="false" outlineLevel="0" collapsed="false">
      <c r="A1470" s="46"/>
      <c r="B1470" s="47"/>
      <c r="C1470" s="47"/>
      <c r="D1470" s="46"/>
      <c r="E1470" s="47"/>
      <c r="F1470" s="47"/>
      <c r="G1470" s="47"/>
      <c r="H1470" s="46"/>
      <c r="I1470" s="47"/>
      <c r="J1470" s="47"/>
      <c r="K1470" s="47"/>
      <c r="L1470" s="47"/>
      <c r="M1470" s="47"/>
      <c r="N1470" s="47"/>
      <c r="O1470" s="47"/>
      <c r="P1470" s="45" t="str">
        <f aca="false">IF($A1470="","",IF(COUNTIF(Accounts!$C$2:$C$201,$A1470)+COUNTIF('Service Principals'!$C$2:$C$201,$A1470)+COUNTIF('Managed Identities'!$C$2:$C$201,$A1470)&gt;0,"Yes","NOT IN INVENTORY"))</f>
        <v/>
      </c>
    </row>
    <row r="1471" customFormat="false" ht="15" hidden="false" customHeight="false" outlineLevel="0" collapsed="false">
      <c r="A1471" s="46"/>
      <c r="B1471" s="47"/>
      <c r="C1471" s="47"/>
      <c r="D1471" s="46"/>
      <c r="E1471" s="47"/>
      <c r="F1471" s="47"/>
      <c r="G1471" s="47"/>
      <c r="H1471" s="46"/>
      <c r="I1471" s="47"/>
      <c r="J1471" s="47"/>
      <c r="K1471" s="47"/>
      <c r="L1471" s="47"/>
      <c r="M1471" s="47"/>
      <c r="N1471" s="47"/>
      <c r="O1471" s="47"/>
      <c r="P1471" s="45" t="str">
        <f aca="false">IF($A1471="","",IF(COUNTIF(Accounts!$C$2:$C$201,$A1471)+COUNTIF('Service Principals'!$C$2:$C$201,$A1471)+COUNTIF('Managed Identities'!$C$2:$C$201,$A1471)&gt;0,"Yes","NOT IN INVENTORY"))</f>
        <v/>
      </c>
    </row>
    <row r="1472" customFormat="false" ht="15" hidden="false" customHeight="false" outlineLevel="0" collapsed="false">
      <c r="A1472" s="46"/>
      <c r="B1472" s="47"/>
      <c r="C1472" s="47"/>
      <c r="D1472" s="46"/>
      <c r="E1472" s="47"/>
      <c r="F1472" s="47"/>
      <c r="G1472" s="47"/>
      <c r="H1472" s="46"/>
      <c r="I1472" s="47"/>
      <c r="J1472" s="47"/>
      <c r="K1472" s="47"/>
      <c r="L1472" s="47"/>
      <c r="M1472" s="47"/>
      <c r="N1472" s="47"/>
      <c r="O1472" s="47"/>
      <c r="P1472" s="45" t="str">
        <f aca="false">IF($A1472="","",IF(COUNTIF(Accounts!$C$2:$C$201,$A1472)+COUNTIF('Service Principals'!$C$2:$C$201,$A1472)+COUNTIF('Managed Identities'!$C$2:$C$201,$A1472)&gt;0,"Yes","NOT IN INVENTORY"))</f>
        <v/>
      </c>
    </row>
    <row r="1473" customFormat="false" ht="15" hidden="false" customHeight="false" outlineLevel="0" collapsed="false">
      <c r="A1473" s="46"/>
      <c r="B1473" s="47"/>
      <c r="C1473" s="47"/>
      <c r="D1473" s="46"/>
      <c r="E1473" s="47"/>
      <c r="F1473" s="47"/>
      <c r="G1473" s="47"/>
      <c r="H1473" s="46"/>
      <c r="I1473" s="47"/>
      <c r="J1473" s="47"/>
      <c r="K1473" s="47"/>
      <c r="L1473" s="47"/>
      <c r="M1473" s="47"/>
      <c r="N1473" s="47"/>
      <c r="O1473" s="47"/>
      <c r="P1473" s="45" t="str">
        <f aca="false">IF($A1473="","",IF(COUNTIF(Accounts!$C$2:$C$201,$A1473)+COUNTIF('Service Principals'!$C$2:$C$201,$A1473)+COUNTIF('Managed Identities'!$C$2:$C$201,$A1473)&gt;0,"Yes","NOT IN INVENTORY"))</f>
        <v/>
      </c>
    </row>
    <row r="1474" customFormat="false" ht="15" hidden="false" customHeight="false" outlineLevel="0" collapsed="false">
      <c r="A1474" s="46"/>
      <c r="B1474" s="47"/>
      <c r="C1474" s="47"/>
      <c r="D1474" s="46"/>
      <c r="E1474" s="47"/>
      <c r="F1474" s="47"/>
      <c r="G1474" s="47"/>
      <c r="H1474" s="46"/>
      <c r="I1474" s="47"/>
      <c r="J1474" s="47"/>
      <c r="K1474" s="47"/>
      <c r="L1474" s="47"/>
      <c r="M1474" s="47"/>
      <c r="N1474" s="47"/>
      <c r="O1474" s="47"/>
      <c r="P1474" s="45" t="str">
        <f aca="false">IF($A1474="","",IF(COUNTIF(Accounts!$C$2:$C$201,$A1474)+COUNTIF('Service Principals'!$C$2:$C$201,$A1474)+COUNTIF('Managed Identities'!$C$2:$C$201,$A1474)&gt;0,"Yes","NOT IN INVENTORY"))</f>
        <v/>
      </c>
    </row>
    <row r="1475" customFormat="false" ht="15" hidden="false" customHeight="false" outlineLevel="0" collapsed="false">
      <c r="A1475" s="46"/>
      <c r="B1475" s="47"/>
      <c r="C1475" s="47"/>
      <c r="D1475" s="46"/>
      <c r="E1475" s="47"/>
      <c r="F1475" s="47"/>
      <c r="G1475" s="47"/>
      <c r="H1475" s="46"/>
      <c r="I1475" s="47"/>
      <c r="J1475" s="47"/>
      <c r="K1475" s="47"/>
      <c r="L1475" s="47"/>
      <c r="M1475" s="47"/>
      <c r="N1475" s="47"/>
      <c r="O1475" s="47"/>
      <c r="P1475" s="45" t="str">
        <f aca="false">IF($A1475="","",IF(COUNTIF(Accounts!$C$2:$C$201,$A1475)+COUNTIF('Service Principals'!$C$2:$C$201,$A1475)+COUNTIF('Managed Identities'!$C$2:$C$201,$A1475)&gt;0,"Yes","NOT IN INVENTORY"))</f>
        <v/>
      </c>
    </row>
    <row r="1476" customFormat="false" ht="15" hidden="false" customHeight="false" outlineLevel="0" collapsed="false">
      <c r="A1476" s="46"/>
      <c r="B1476" s="47"/>
      <c r="C1476" s="47"/>
      <c r="D1476" s="46"/>
      <c r="E1476" s="47"/>
      <c r="F1476" s="47"/>
      <c r="G1476" s="47"/>
      <c r="H1476" s="46"/>
      <c r="I1476" s="47"/>
      <c r="J1476" s="47"/>
      <c r="K1476" s="47"/>
      <c r="L1476" s="47"/>
      <c r="M1476" s="47"/>
      <c r="N1476" s="47"/>
      <c r="O1476" s="47"/>
      <c r="P1476" s="45" t="str">
        <f aca="false">IF($A1476="","",IF(COUNTIF(Accounts!$C$2:$C$201,$A1476)+COUNTIF('Service Principals'!$C$2:$C$201,$A1476)+COUNTIF('Managed Identities'!$C$2:$C$201,$A1476)&gt;0,"Yes","NOT IN INVENTORY"))</f>
        <v/>
      </c>
    </row>
    <row r="1477" customFormat="false" ht="15" hidden="false" customHeight="false" outlineLevel="0" collapsed="false">
      <c r="A1477" s="46"/>
      <c r="B1477" s="47"/>
      <c r="C1477" s="47"/>
      <c r="D1477" s="46"/>
      <c r="E1477" s="47"/>
      <c r="F1477" s="47"/>
      <c r="G1477" s="47"/>
      <c r="H1477" s="46"/>
      <c r="I1477" s="47"/>
      <c r="J1477" s="47"/>
      <c r="K1477" s="47"/>
      <c r="L1477" s="47"/>
      <c r="M1477" s="47"/>
      <c r="N1477" s="47"/>
      <c r="O1477" s="47"/>
      <c r="P1477" s="45" t="str">
        <f aca="false">IF($A1477="","",IF(COUNTIF(Accounts!$C$2:$C$201,$A1477)+COUNTIF('Service Principals'!$C$2:$C$201,$A1477)+COUNTIF('Managed Identities'!$C$2:$C$201,$A1477)&gt;0,"Yes","NOT IN INVENTORY"))</f>
        <v/>
      </c>
    </row>
    <row r="1478" customFormat="false" ht="15" hidden="false" customHeight="false" outlineLevel="0" collapsed="false">
      <c r="A1478" s="46"/>
      <c r="B1478" s="47"/>
      <c r="C1478" s="47"/>
      <c r="D1478" s="46"/>
      <c r="E1478" s="47"/>
      <c r="F1478" s="47"/>
      <c r="G1478" s="47"/>
      <c r="H1478" s="46"/>
      <c r="I1478" s="47"/>
      <c r="J1478" s="47"/>
      <c r="K1478" s="47"/>
      <c r="L1478" s="47"/>
      <c r="M1478" s="47"/>
      <c r="N1478" s="47"/>
      <c r="O1478" s="47"/>
      <c r="P1478" s="45" t="str">
        <f aca="false">IF($A1478="","",IF(COUNTIF(Accounts!$C$2:$C$201,$A1478)+COUNTIF('Service Principals'!$C$2:$C$201,$A1478)+COUNTIF('Managed Identities'!$C$2:$C$201,$A1478)&gt;0,"Yes","NOT IN INVENTORY"))</f>
        <v/>
      </c>
    </row>
    <row r="1479" customFormat="false" ht="15" hidden="false" customHeight="false" outlineLevel="0" collapsed="false">
      <c r="A1479" s="46"/>
      <c r="B1479" s="47"/>
      <c r="C1479" s="47"/>
      <c r="D1479" s="46"/>
      <c r="E1479" s="47"/>
      <c r="F1479" s="47"/>
      <c r="G1479" s="47"/>
      <c r="H1479" s="46"/>
      <c r="I1479" s="47"/>
      <c r="J1479" s="47"/>
      <c r="K1479" s="47"/>
      <c r="L1479" s="47"/>
      <c r="M1479" s="47"/>
      <c r="N1479" s="47"/>
      <c r="O1479" s="47"/>
      <c r="P1479" s="45" t="str">
        <f aca="false">IF($A1479="","",IF(COUNTIF(Accounts!$C$2:$C$201,$A1479)+COUNTIF('Service Principals'!$C$2:$C$201,$A1479)+COUNTIF('Managed Identities'!$C$2:$C$201,$A1479)&gt;0,"Yes","NOT IN INVENTORY"))</f>
        <v/>
      </c>
    </row>
    <row r="1480" customFormat="false" ht="15" hidden="false" customHeight="false" outlineLevel="0" collapsed="false">
      <c r="A1480" s="46"/>
      <c r="B1480" s="47"/>
      <c r="C1480" s="47"/>
      <c r="D1480" s="46"/>
      <c r="E1480" s="47"/>
      <c r="F1480" s="47"/>
      <c r="G1480" s="47"/>
      <c r="H1480" s="46"/>
      <c r="I1480" s="47"/>
      <c r="J1480" s="47"/>
      <c r="K1480" s="47"/>
      <c r="L1480" s="47"/>
      <c r="M1480" s="47"/>
      <c r="N1480" s="47"/>
      <c r="O1480" s="47"/>
      <c r="P1480" s="45" t="str">
        <f aca="false">IF($A1480="","",IF(COUNTIF(Accounts!$C$2:$C$201,$A1480)+COUNTIF('Service Principals'!$C$2:$C$201,$A1480)+COUNTIF('Managed Identities'!$C$2:$C$201,$A1480)&gt;0,"Yes","NOT IN INVENTORY"))</f>
        <v/>
      </c>
    </row>
    <row r="1481" customFormat="false" ht="15" hidden="false" customHeight="false" outlineLevel="0" collapsed="false">
      <c r="A1481" s="46"/>
      <c r="B1481" s="47"/>
      <c r="C1481" s="47"/>
      <c r="D1481" s="46"/>
      <c r="E1481" s="47"/>
      <c r="F1481" s="47"/>
      <c r="G1481" s="47"/>
      <c r="H1481" s="46"/>
      <c r="I1481" s="47"/>
      <c r="J1481" s="47"/>
      <c r="K1481" s="47"/>
      <c r="L1481" s="47"/>
      <c r="M1481" s="47"/>
      <c r="N1481" s="47"/>
      <c r="O1481" s="47"/>
      <c r="P1481" s="45" t="str">
        <f aca="false">IF($A1481="","",IF(COUNTIF(Accounts!$C$2:$C$201,$A1481)+COUNTIF('Service Principals'!$C$2:$C$201,$A1481)+COUNTIF('Managed Identities'!$C$2:$C$201,$A1481)&gt;0,"Yes","NOT IN INVENTORY"))</f>
        <v/>
      </c>
    </row>
    <row r="1482" customFormat="false" ht="15" hidden="false" customHeight="false" outlineLevel="0" collapsed="false">
      <c r="A1482" s="46"/>
      <c r="B1482" s="47"/>
      <c r="C1482" s="47"/>
      <c r="D1482" s="46"/>
      <c r="E1482" s="47"/>
      <c r="F1482" s="47"/>
      <c r="G1482" s="47"/>
      <c r="H1482" s="46"/>
      <c r="I1482" s="47"/>
      <c r="J1482" s="47"/>
      <c r="K1482" s="47"/>
      <c r="L1482" s="47"/>
      <c r="M1482" s="47"/>
      <c r="N1482" s="47"/>
      <c r="O1482" s="47"/>
      <c r="P1482" s="45" t="str">
        <f aca="false">IF($A1482="","",IF(COUNTIF(Accounts!$C$2:$C$201,$A1482)+COUNTIF('Service Principals'!$C$2:$C$201,$A1482)+COUNTIF('Managed Identities'!$C$2:$C$201,$A1482)&gt;0,"Yes","NOT IN INVENTORY"))</f>
        <v/>
      </c>
    </row>
    <row r="1483" customFormat="false" ht="15" hidden="false" customHeight="false" outlineLevel="0" collapsed="false">
      <c r="A1483" s="46"/>
      <c r="B1483" s="47"/>
      <c r="C1483" s="47"/>
      <c r="D1483" s="46"/>
      <c r="E1483" s="47"/>
      <c r="F1483" s="47"/>
      <c r="G1483" s="47"/>
      <c r="H1483" s="46"/>
      <c r="I1483" s="47"/>
      <c r="J1483" s="47"/>
      <c r="K1483" s="47"/>
      <c r="L1483" s="47"/>
      <c r="M1483" s="47"/>
      <c r="N1483" s="47"/>
      <c r="O1483" s="47"/>
      <c r="P1483" s="45" t="str">
        <f aca="false">IF($A1483="","",IF(COUNTIF(Accounts!$C$2:$C$201,$A1483)+COUNTIF('Service Principals'!$C$2:$C$201,$A1483)+COUNTIF('Managed Identities'!$C$2:$C$201,$A1483)&gt;0,"Yes","NOT IN INVENTORY"))</f>
        <v/>
      </c>
    </row>
    <row r="1484" customFormat="false" ht="15" hidden="false" customHeight="false" outlineLevel="0" collapsed="false">
      <c r="A1484" s="46"/>
      <c r="B1484" s="47"/>
      <c r="C1484" s="47"/>
      <c r="D1484" s="46"/>
      <c r="E1484" s="47"/>
      <c r="F1484" s="47"/>
      <c r="G1484" s="47"/>
      <c r="H1484" s="46"/>
      <c r="I1484" s="47"/>
      <c r="J1484" s="47"/>
      <c r="K1484" s="47"/>
      <c r="L1484" s="47"/>
      <c r="M1484" s="47"/>
      <c r="N1484" s="47"/>
      <c r="O1484" s="47"/>
      <c r="P1484" s="45" t="str">
        <f aca="false">IF($A1484="","",IF(COUNTIF(Accounts!$C$2:$C$201,$A1484)+COUNTIF('Service Principals'!$C$2:$C$201,$A1484)+COUNTIF('Managed Identities'!$C$2:$C$201,$A1484)&gt;0,"Yes","NOT IN INVENTORY"))</f>
        <v/>
      </c>
    </row>
    <row r="1485" customFormat="false" ht="15" hidden="false" customHeight="false" outlineLevel="0" collapsed="false">
      <c r="A1485" s="46"/>
      <c r="B1485" s="47"/>
      <c r="C1485" s="47"/>
      <c r="D1485" s="46"/>
      <c r="E1485" s="47"/>
      <c r="F1485" s="47"/>
      <c r="G1485" s="47"/>
      <c r="H1485" s="46"/>
      <c r="I1485" s="47"/>
      <c r="J1485" s="47"/>
      <c r="K1485" s="47"/>
      <c r="L1485" s="47"/>
      <c r="M1485" s="47"/>
      <c r="N1485" s="47"/>
      <c r="O1485" s="47"/>
      <c r="P1485" s="45" t="str">
        <f aca="false">IF($A1485="","",IF(COUNTIF(Accounts!$C$2:$C$201,$A1485)+COUNTIF('Service Principals'!$C$2:$C$201,$A1485)+COUNTIF('Managed Identities'!$C$2:$C$201,$A1485)&gt;0,"Yes","NOT IN INVENTORY"))</f>
        <v/>
      </c>
    </row>
    <row r="1486" customFormat="false" ht="15" hidden="false" customHeight="false" outlineLevel="0" collapsed="false">
      <c r="A1486" s="46"/>
      <c r="B1486" s="47"/>
      <c r="C1486" s="47"/>
      <c r="D1486" s="46"/>
      <c r="E1486" s="47"/>
      <c r="F1486" s="47"/>
      <c r="G1486" s="47"/>
      <c r="H1486" s="46"/>
      <c r="I1486" s="47"/>
      <c r="J1486" s="47"/>
      <c r="K1486" s="47"/>
      <c r="L1486" s="47"/>
      <c r="M1486" s="47"/>
      <c r="N1486" s="47"/>
      <c r="O1486" s="47"/>
      <c r="P1486" s="45" t="str">
        <f aca="false">IF($A1486="","",IF(COUNTIF(Accounts!$C$2:$C$201,$A1486)+COUNTIF('Service Principals'!$C$2:$C$201,$A1486)+COUNTIF('Managed Identities'!$C$2:$C$201,$A1486)&gt;0,"Yes","NOT IN INVENTORY"))</f>
        <v/>
      </c>
    </row>
    <row r="1487" customFormat="false" ht="15" hidden="false" customHeight="false" outlineLevel="0" collapsed="false">
      <c r="A1487" s="46"/>
      <c r="B1487" s="47"/>
      <c r="C1487" s="47"/>
      <c r="D1487" s="46"/>
      <c r="E1487" s="47"/>
      <c r="F1487" s="47"/>
      <c r="G1487" s="47"/>
      <c r="H1487" s="46"/>
      <c r="I1487" s="47"/>
      <c r="J1487" s="47"/>
      <c r="K1487" s="47"/>
      <c r="L1487" s="47"/>
      <c r="M1487" s="47"/>
      <c r="N1487" s="47"/>
      <c r="O1487" s="47"/>
      <c r="P1487" s="45" t="str">
        <f aca="false">IF($A1487="","",IF(COUNTIF(Accounts!$C$2:$C$201,$A1487)+COUNTIF('Service Principals'!$C$2:$C$201,$A1487)+COUNTIF('Managed Identities'!$C$2:$C$201,$A1487)&gt;0,"Yes","NOT IN INVENTORY"))</f>
        <v/>
      </c>
    </row>
    <row r="1488" customFormat="false" ht="15" hidden="false" customHeight="false" outlineLevel="0" collapsed="false">
      <c r="A1488" s="46"/>
      <c r="B1488" s="47"/>
      <c r="C1488" s="47"/>
      <c r="D1488" s="46"/>
      <c r="E1488" s="47"/>
      <c r="F1488" s="47"/>
      <c r="G1488" s="47"/>
      <c r="H1488" s="46"/>
      <c r="I1488" s="47"/>
      <c r="J1488" s="47"/>
      <c r="K1488" s="47"/>
      <c r="L1488" s="47"/>
      <c r="M1488" s="47"/>
      <c r="N1488" s="47"/>
      <c r="O1488" s="47"/>
      <c r="P1488" s="45" t="str">
        <f aca="false">IF($A1488="","",IF(COUNTIF(Accounts!$C$2:$C$201,$A1488)+COUNTIF('Service Principals'!$C$2:$C$201,$A1488)+COUNTIF('Managed Identities'!$C$2:$C$201,$A1488)&gt;0,"Yes","NOT IN INVENTORY"))</f>
        <v/>
      </c>
    </row>
    <row r="1489" customFormat="false" ht="15" hidden="false" customHeight="false" outlineLevel="0" collapsed="false">
      <c r="A1489" s="46"/>
      <c r="B1489" s="47"/>
      <c r="C1489" s="47"/>
      <c r="D1489" s="46"/>
      <c r="E1489" s="47"/>
      <c r="F1489" s="47"/>
      <c r="G1489" s="47"/>
      <c r="H1489" s="46"/>
      <c r="I1489" s="47"/>
      <c r="J1489" s="47"/>
      <c r="K1489" s="47"/>
      <c r="L1489" s="47"/>
      <c r="M1489" s="47"/>
      <c r="N1489" s="47"/>
      <c r="O1489" s="47"/>
      <c r="P1489" s="45" t="str">
        <f aca="false">IF($A1489="","",IF(COUNTIF(Accounts!$C$2:$C$201,$A1489)+COUNTIF('Service Principals'!$C$2:$C$201,$A1489)+COUNTIF('Managed Identities'!$C$2:$C$201,$A1489)&gt;0,"Yes","NOT IN INVENTORY"))</f>
        <v/>
      </c>
    </row>
    <row r="1490" customFormat="false" ht="15" hidden="false" customHeight="false" outlineLevel="0" collapsed="false">
      <c r="A1490" s="46"/>
      <c r="B1490" s="47"/>
      <c r="C1490" s="47"/>
      <c r="D1490" s="46"/>
      <c r="E1490" s="47"/>
      <c r="F1490" s="47"/>
      <c r="G1490" s="47"/>
      <c r="H1490" s="46"/>
      <c r="I1490" s="47"/>
      <c r="J1490" s="47"/>
      <c r="K1490" s="47"/>
      <c r="L1490" s="47"/>
      <c r="M1490" s="47"/>
      <c r="N1490" s="47"/>
      <c r="O1490" s="47"/>
      <c r="P1490" s="45" t="str">
        <f aca="false">IF($A1490="","",IF(COUNTIF(Accounts!$C$2:$C$201,$A1490)+COUNTIF('Service Principals'!$C$2:$C$201,$A1490)+COUNTIF('Managed Identities'!$C$2:$C$201,$A1490)&gt;0,"Yes","NOT IN INVENTORY"))</f>
        <v/>
      </c>
    </row>
    <row r="1491" customFormat="false" ht="15" hidden="false" customHeight="false" outlineLevel="0" collapsed="false">
      <c r="A1491" s="46"/>
      <c r="B1491" s="47"/>
      <c r="C1491" s="47"/>
      <c r="D1491" s="46"/>
      <c r="E1491" s="47"/>
      <c r="F1491" s="47"/>
      <c r="G1491" s="47"/>
      <c r="H1491" s="46"/>
      <c r="I1491" s="47"/>
      <c r="J1491" s="47"/>
      <c r="K1491" s="47"/>
      <c r="L1491" s="47"/>
      <c r="M1491" s="47"/>
      <c r="N1491" s="47"/>
      <c r="O1491" s="47"/>
      <c r="P1491" s="45" t="str">
        <f aca="false">IF($A1491="","",IF(COUNTIF(Accounts!$C$2:$C$201,$A1491)+COUNTIF('Service Principals'!$C$2:$C$201,$A1491)+COUNTIF('Managed Identities'!$C$2:$C$201,$A1491)&gt;0,"Yes","NOT IN INVENTORY"))</f>
        <v/>
      </c>
    </row>
    <row r="1492" customFormat="false" ht="15" hidden="false" customHeight="false" outlineLevel="0" collapsed="false">
      <c r="A1492" s="46"/>
      <c r="B1492" s="47"/>
      <c r="C1492" s="47"/>
      <c r="D1492" s="46"/>
      <c r="E1492" s="47"/>
      <c r="F1492" s="47"/>
      <c r="G1492" s="47"/>
      <c r="H1492" s="46"/>
      <c r="I1492" s="47"/>
      <c r="J1492" s="47"/>
      <c r="K1492" s="47"/>
      <c r="L1492" s="47"/>
      <c r="M1492" s="47"/>
      <c r="N1492" s="47"/>
      <c r="O1492" s="47"/>
      <c r="P1492" s="45" t="str">
        <f aca="false">IF($A1492="","",IF(COUNTIF(Accounts!$C$2:$C$201,$A1492)+COUNTIF('Service Principals'!$C$2:$C$201,$A1492)+COUNTIF('Managed Identities'!$C$2:$C$201,$A1492)&gt;0,"Yes","NOT IN INVENTORY"))</f>
        <v/>
      </c>
    </row>
    <row r="1493" customFormat="false" ht="15" hidden="false" customHeight="false" outlineLevel="0" collapsed="false">
      <c r="A1493" s="46"/>
      <c r="B1493" s="47"/>
      <c r="C1493" s="47"/>
      <c r="D1493" s="46"/>
      <c r="E1493" s="47"/>
      <c r="F1493" s="47"/>
      <c r="G1493" s="47"/>
      <c r="H1493" s="46"/>
      <c r="I1493" s="47"/>
      <c r="J1493" s="47"/>
      <c r="K1493" s="47"/>
      <c r="L1493" s="47"/>
      <c r="M1493" s="47"/>
      <c r="N1493" s="47"/>
      <c r="O1493" s="47"/>
      <c r="P1493" s="45" t="str">
        <f aca="false">IF($A1493="","",IF(COUNTIF(Accounts!$C$2:$C$201,$A1493)+COUNTIF('Service Principals'!$C$2:$C$201,$A1493)+COUNTIF('Managed Identities'!$C$2:$C$201,$A1493)&gt;0,"Yes","NOT IN INVENTORY"))</f>
        <v/>
      </c>
    </row>
    <row r="1494" customFormat="false" ht="15" hidden="false" customHeight="false" outlineLevel="0" collapsed="false">
      <c r="A1494" s="46"/>
      <c r="B1494" s="47"/>
      <c r="C1494" s="47"/>
      <c r="D1494" s="46"/>
      <c r="E1494" s="47"/>
      <c r="F1494" s="47"/>
      <c r="G1494" s="47"/>
      <c r="H1494" s="46"/>
      <c r="I1494" s="47"/>
      <c r="J1494" s="47"/>
      <c r="K1494" s="47"/>
      <c r="L1494" s="47"/>
      <c r="M1494" s="47"/>
      <c r="N1494" s="47"/>
      <c r="O1494" s="47"/>
      <c r="P1494" s="45" t="str">
        <f aca="false">IF($A1494="","",IF(COUNTIF(Accounts!$C$2:$C$201,$A1494)+COUNTIF('Service Principals'!$C$2:$C$201,$A1494)+COUNTIF('Managed Identities'!$C$2:$C$201,$A1494)&gt;0,"Yes","NOT IN INVENTORY"))</f>
        <v/>
      </c>
    </row>
    <row r="1495" customFormat="false" ht="15" hidden="false" customHeight="false" outlineLevel="0" collapsed="false">
      <c r="A1495" s="46"/>
      <c r="B1495" s="47"/>
      <c r="C1495" s="47"/>
      <c r="D1495" s="46"/>
      <c r="E1495" s="47"/>
      <c r="F1495" s="47"/>
      <c r="G1495" s="47"/>
      <c r="H1495" s="46"/>
      <c r="I1495" s="47"/>
      <c r="J1495" s="47"/>
      <c r="K1495" s="47"/>
      <c r="L1495" s="47"/>
      <c r="M1495" s="47"/>
      <c r="N1495" s="47"/>
      <c r="O1495" s="47"/>
      <c r="P1495" s="45" t="str">
        <f aca="false">IF($A1495="","",IF(COUNTIF(Accounts!$C$2:$C$201,$A1495)+COUNTIF('Service Principals'!$C$2:$C$201,$A1495)+COUNTIF('Managed Identities'!$C$2:$C$201,$A1495)&gt;0,"Yes","NOT IN INVENTORY"))</f>
        <v/>
      </c>
    </row>
    <row r="1496" customFormat="false" ht="15" hidden="false" customHeight="false" outlineLevel="0" collapsed="false">
      <c r="A1496" s="46"/>
      <c r="B1496" s="47"/>
      <c r="C1496" s="47"/>
      <c r="D1496" s="46"/>
      <c r="E1496" s="47"/>
      <c r="F1496" s="47"/>
      <c r="G1496" s="47"/>
      <c r="H1496" s="46"/>
      <c r="I1496" s="47"/>
      <c r="J1496" s="47"/>
      <c r="K1496" s="47"/>
      <c r="L1496" s="47"/>
      <c r="M1496" s="47"/>
      <c r="N1496" s="47"/>
      <c r="O1496" s="47"/>
      <c r="P1496" s="45" t="str">
        <f aca="false">IF($A1496="","",IF(COUNTIF(Accounts!$C$2:$C$201,$A1496)+COUNTIF('Service Principals'!$C$2:$C$201,$A1496)+COUNTIF('Managed Identities'!$C$2:$C$201,$A1496)&gt;0,"Yes","NOT IN INVENTORY"))</f>
        <v/>
      </c>
    </row>
    <row r="1497" customFormat="false" ht="15" hidden="false" customHeight="false" outlineLevel="0" collapsed="false">
      <c r="A1497" s="46"/>
      <c r="B1497" s="47"/>
      <c r="C1497" s="47"/>
      <c r="D1497" s="46"/>
      <c r="E1497" s="47"/>
      <c r="F1497" s="47"/>
      <c r="G1497" s="47"/>
      <c r="H1497" s="46"/>
      <c r="I1497" s="47"/>
      <c r="J1497" s="47"/>
      <c r="K1497" s="47"/>
      <c r="L1497" s="47"/>
      <c r="M1497" s="47"/>
      <c r="N1497" s="47"/>
      <c r="O1497" s="47"/>
      <c r="P1497" s="45" t="str">
        <f aca="false">IF($A1497="","",IF(COUNTIF(Accounts!$C$2:$C$201,$A1497)+COUNTIF('Service Principals'!$C$2:$C$201,$A1497)+COUNTIF('Managed Identities'!$C$2:$C$201,$A1497)&gt;0,"Yes","NOT IN INVENTORY"))</f>
        <v/>
      </c>
    </row>
    <row r="1498" customFormat="false" ht="15" hidden="false" customHeight="false" outlineLevel="0" collapsed="false">
      <c r="A1498" s="46"/>
      <c r="B1498" s="47"/>
      <c r="C1498" s="47"/>
      <c r="D1498" s="46"/>
      <c r="E1498" s="47"/>
      <c r="F1498" s="47"/>
      <c r="G1498" s="47"/>
      <c r="H1498" s="46"/>
      <c r="I1498" s="47"/>
      <c r="J1498" s="47"/>
      <c r="K1498" s="47"/>
      <c r="L1498" s="47"/>
      <c r="M1498" s="47"/>
      <c r="N1498" s="47"/>
      <c r="O1498" s="47"/>
      <c r="P1498" s="45" t="str">
        <f aca="false">IF($A1498="","",IF(COUNTIF(Accounts!$C$2:$C$201,$A1498)+COUNTIF('Service Principals'!$C$2:$C$201,$A1498)+COUNTIF('Managed Identities'!$C$2:$C$201,$A1498)&gt;0,"Yes","NOT IN INVENTORY"))</f>
        <v/>
      </c>
    </row>
    <row r="1499" customFormat="false" ht="15" hidden="false" customHeight="false" outlineLevel="0" collapsed="false">
      <c r="A1499" s="46"/>
      <c r="B1499" s="47"/>
      <c r="C1499" s="47"/>
      <c r="D1499" s="46"/>
      <c r="E1499" s="47"/>
      <c r="F1499" s="47"/>
      <c r="G1499" s="47"/>
      <c r="H1499" s="46"/>
      <c r="I1499" s="47"/>
      <c r="J1499" s="47"/>
      <c r="K1499" s="47"/>
      <c r="L1499" s="47"/>
      <c r="M1499" s="47"/>
      <c r="N1499" s="47"/>
      <c r="O1499" s="47"/>
      <c r="P1499" s="45" t="str">
        <f aca="false">IF($A1499="","",IF(COUNTIF(Accounts!$C$2:$C$201,$A1499)+COUNTIF('Service Principals'!$C$2:$C$201,$A1499)+COUNTIF('Managed Identities'!$C$2:$C$201,$A1499)&gt;0,"Yes","NOT IN INVENTORY"))</f>
        <v/>
      </c>
    </row>
    <row r="1500" customFormat="false" ht="15" hidden="false" customHeight="false" outlineLevel="0" collapsed="false">
      <c r="A1500" s="46"/>
      <c r="B1500" s="47"/>
      <c r="C1500" s="47"/>
      <c r="D1500" s="46"/>
      <c r="E1500" s="47"/>
      <c r="F1500" s="47"/>
      <c r="G1500" s="47"/>
      <c r="H1500" s="46"/>
      <c r="I1500" s="47"/>
      <c r="J1500" s="47"/>
      <c r="K1500" s="47"/>
      <c r="L1500" s="47"/>
      <c r="M1500" s="47"/>
      <c r="N1500" s="47"/>
      <c r="O1500" s="47"/>
      <c r="P1500" s="45" t="str">
        <f aca="false">IF($A1500="","",IF(COUNTIF(Accounts!$C$2:$C$201,$A1500)+COUNTIF('Service Principals'!$C$2:$C$201,$A1500)+COUNTIF('Managed Identities'!$C$2:$C$201,$A1500)&gt;0,"Yes","NOT IN INVENTORY"))</f>
        <v/>
      </c>
    </row>
    <row r="1501" customFormat="false" ht="15" hidden="false" customHeight="false" outlineLevel="0" collapsed="false">
      <c r="A1501" s="46"/>
      <c r="B1501" s="47"/>
      <c r="C1501" s="47"/>
      <c r="D1501" s="46"/>
      <c r="E1501" s="47"/>
      <c r="F1501" s="47"/>
      <c r="G1501" s="47"/>
      <c r="H1501" s="46"/>
      <c r="I1501" s="47"/>
      <c r="J1501" s="47"/>
      <c r="K1501" s="47"/>
      <c r="L1501" s="47"/>
      <c r="M1501" s="47"/>
      <c r="N1501" s="47"/>
      <c r="O1501" s="47"/>
      <c r="P1501" s="45" t="str">
        <f aca="false">IF($A1501="","",IF(COUNTIF(Accounts!$C$2:$C$201,$A1501)+COUNTIF('Service Principals'!$C$2:$C$201,$A1501)+COUNTIF('Managed Identities'!$C$2:$C$201,$A1501)&gt;0,"Yes","NOT IN INVENTORY"))</f>
        <v/>
      </c>
    </row>
    <row r="1502" customFormat="false" ht="15" hidden="false" customHeight="false" outlineLevel="0" collapsed="false">
      <c r="A1502" s="46"/>
      <c r="B1502" s="47"/>
      <c r="C1502" s="47"/>
      <c r="D1502" s="46"/>
      <c r="E1502" s="47"/>
      <c r="F1502" s="47"/>
      <c r="G1502" s="47"/>
      <c r="H1502" s="46"/>
      <c r="I1502" s="47"/>
      <c r="J1502" s="47"/>
      <c r="K1502" s="47"/>
      <c r="L1502" s="47"/>
      <c r="M1502" s="47"/>
      <c r="N1502" s="47"/>
      <c r="O1502" s="47"/>
      <c r="P1502" s="45" t="str">
        <f aca="false">IF($A1502="","",IF(COUNTIF(Accounts!$C$2:$C$201,$A1502)+COUNTIF('Service Principals'!$C$2:$C$201,$A1502)+COUNTIF('Managed Identities'!$C$2:$C$201,$A1502)&gt;0,"Yes","NOT IN INVENTORY"))</f>
        <v/>
      </c>
    </row>
    <row r="1503" customFormat="false" ht="15" hidden="false" customHeight="false" outlineLevel="0" collapsed="false">
      <c r="A1503" s="46"/>
      <c r="B1503" s="47"/>
      <c r="C1503" s="47"/>
      <c r="D1503" s="46"/>
      <c r="E1503" s="47"/>
      <c r="F1503" s="47"/>
      <c r="G1503" s="47"/>
      <c r="H1503" s="46"/>
      <c r="I1503" s="47"/>
      <c r="J1503" s="47"/>
      <c r="K1503" s="47"/>
      <c r="L1503" s="47"/>
      <c r="M1503" s="47"/>
      <c r="N1503" s="47"/>
      <c r="O1503" s="47"/>
      <c r="P1503" s="45" t="str">
        <f aca="false">IF($A1503="","",IF(COUNTIF(Accounts!$C$2:$C$201,$A1503)+COUNTIF('Service Principals'!$C$2:$C$201,$A1503)+COUNTIF('Managed Identities'!$C$2:$C$201,$A1503)&gt;0,"Yes","NOT IN INVENTORY"))</f>
        <v/>
      </c>
    </row>
    <row r="1504" customFormat="false" ht="15" hidden="false" customHeight="false" outlineLevel="0" collapsed="false">
      <c r="A1504" s="46"/>
      <c r="B1504" s="47"/>
      <c r="C1504" s="47"/>
      <c r="D1504" s="46"/>
      <c r="E1504" s="47"/>
      <c r="F1504" s="47"/>
      <c r="G1504" s="47"/>
      <c r="H1504" s="46"/>
      <c r="I1504" s="47"/>
      <c r="J1504" s="47"/>
      <c r="K1504" s="47"/>
      <c r="L1504" s="47"/>
      <c r="M1504" s="47"/>
      <c r="N1504" s="47"/>
      <c r="O1504" s="47"/>
      <c r="P1504" s="45" t="str">
        <f aca="false">IF($A1504="","",IF(COUNTIF(Accounts!$C$2:$C$201,$A1504)+COUNTIF('Service Principals'!$C$2:$C$201,$A1504)+COUNTIF('Managed Identities'!$C$2:$C$201,$A1504)&gt;0,"Yes","NOT IN INVENTORY"))</f>
        <v/>
      </c>
    </row>
    <row r="1505" customFormat="false" ht="15" hidden="false" customHeight="false" outlineLevel="0" collapsed="false">
      <c r="A1505" s="46"/>
      <c r="B1505" s="47"/>
      <c r="C1505" s="47"/>
      <c r="D1505" s="46"/>
      <c r="E1505" s="47"/>
      <c r="F1505" s="47"/>
      <c r="G1505" s="47"/>
      <c r="H1505" s="46"/>
      <c r="I1505" s="47"/>
      <c r="J1505" s="47"/>
      <c r="K1505" s="47"/>
      <c r="L1505" s="47"/>
      <c r="M1505" s="47"/>
      <c r="N1505" s="47"/>
      <c r="O1505" s="47"/>
      <c r="P1505" s="45" t="str">
        <f aca="false">IF($A1505="","",IF(COUNTIF(Accounts!$C$2:$C$201,$A1505)+COUNTIF('Service Principals'!$C$2:$C$201,$A1505)+COUNTIF('Managed Identities'!$C$2:$C$201,$A1505)&gt;0,"Yes","NOT IN INVENTORY"))</f>
        <v/>
      </c>
    </row>
    <row r="1506" customFormat="false" ht="15" hidden="false" customHeight="false" outlineLevel="0" collapsed="false">
      <c r="A1506" s="46"/>
      <c r="B1506" s="47"/>
      <c r="C1506" s="47"/>
      <c r="D1506" s="46"/>
      <c r="E1506" s="47"/>
      <c r="F1506" s="47"/>
      <c r="G1506" s="47"/>
      <c r="H1506" s="46"/>
      <c r="I1506" s="47"/>
      <c r="J1506" s="47"/>
      <c r="K1506" s="47"/>
      <c r="L1506" s="47"/>
      <c r="M1506" s="47"/>
      <c r="N1506" s="47"/>
      <c r="O1506" s="47"/>
      <c r="P1506" s="45" t="str">
        <f aca="false">IF($A1506="","",IF(COUNTIF(Accounts!$C$2:$C$201,$A1506)+COUNTIF('Service Principals'!$C$2:$C$201,$A1506)+COUNTIF('Managed Identities'!$C$2:$C$201,$A1506)&gt;0,"Yes","NOT IN INVENTORY"))</f>
        <v/>
      </c>
    </row>
    <row r="1507" customFormat="false" ht="15" hidden="false" customHeight="false" outlineLevel="0" collapsed="false">
      <c r="A1507" s="46"/>
      <c r="B1507" s="47"/>
      <c r="C1507" s="47"/>
      <c r="D1507" s="46"/>
      <c r="E1507" s="47"/>
      <c r="F1507" s="47"/>
      <c r="G1507" s="47"/>
      <c r="H1507" s="46"/>
      <c r="I1507" s="47"/>
      <c r="J1507" s="47"/>
      <c r="K1507" s="47"/>
      <c r="L1507" s="47"/>
      <c r="M1507" s="47"/>
      <c r="N1507" s="47"/>
      <c r="O1507" s="47"/>
      <c r="P1507" s="45" t="str">
        <f aca="false">IF($A1507="","",IF(COUNTIF(Accounts!$C$2:$C$201,$A1507)+COUNTIF('Service Principals'!$C$2:$C$201,$A1507)+COUNTIF('Managed Identities'!$C$2:$C$201,$A1507)&gt;0,"Yes","NOT IN INVENTORY"))</f>
        <v/>
      </c>
    </row>
    <row r="1508" customFormat="false" ht="15" hidden="false" customHeight="false" outlineLevel="0" collapsed="false">
      <c r="A1508" s="46"/>
      <c r="B1508" s="47"/>
      <c r="C1508" s="47"/>
      <c r="D1508" s="46"/>
      <c r="E1508" s="47"/>
      <c r="F1508" s="47"/>
      <c r="G1508" s="47"/>
      <c r="H1508" s="46"/>
      <c r="I1508" s="47"/>
      <c r="J1508" s="47"/>
      <c r="K1508" s="47"/>
      <c r="L1508" s="47"/>
      <c r="M1508" s="47"/>
      <c r="N1508" s="47"/>
      <c r="O1508" s="47"/>
      <c r="P1508" s="45" t="str">
        <f aca="false">IF($A1508="","",IF(COUNTIF(Accounts!$C$2:$C$201,$A1508)+COUNTIF('Service Principals'!$C$2:$C$201,$A1508)+COUNTIF('Managed Identities'!$C$2:$C$201,$A1508)&gt;0,"Yes","NOT IN INVENTORY"))</f>
        <v/>
      </c>
    </row>
    <row r="1509" customFormat="false" ht="15" hidden="false" customHeight="false" outlineLevel="0" collapsed="false">
      <c r="A1509" s="46"/>
      <c r="B1509" s="47"/>
      <c r="C1509" s="47"/>
      <c r="D1509" s="46"/>
      <c r="E1509" s="47"/>
      <c r="F1509" s="47"/>
      <c r="G1509" s="47"/>
      <c r="H1509" s="46"/>
      <c r="I1509" s="47"/>
      <c r="J1509" s="47"/>
      <c r="K1509" s="47"/>
      <c r="L1509" s="47"/>
      <c r="M1509" s="47"/>
      <c r="N1509" s="47"/>
      <c r="O1509" s="47"/>
      <c r="P1509" s="45" t="str">
        <f aca="false">IF($A1509="","",IF(COUNTIF(Accounts!$C$2:$C$201,$A1509)+COUNTIF('Service Principals'!$C$2:$C$201,$A1509)+COUNTIF('Managed Identities'!$C$2:$C$201,$A1509)&gt;0,"Yes","NOT IN INVENTORY"))</f>
        <v/>
      </c>
    </row>
    <row r="1510" customFormat="false" ht="15" hidden="false" customHeight="false" outlineLevel="0" collapsed="false">
      <c r="A1510" s="46"/>
      <c r="B1510" s="47"/>
      <c r="C1510" s="47"/>
      <c r="D1510" s="46"/>
      <c r="E1510" s="47"/>
      <c r="F1510" s="47"/>
      <c r="G1510" s="47"/>
      <c r="H1510" s="46"/>
      <c r="I1510" s="47"/>
      <c r="J1510" s="47"/>
      <c r="K1510" s="47"/>
      <c r="L1510" s="47"/>
      <c r="M1510" s="47"/>
      <c r="N1510" s="47"/>
      <c r="O1510" s="47"/>
      <c r="P1510" s="45" t="str">
        <f aca="false">IF($A1510="","",IF(COUNTIF(Accounts!$C$2:$C$201,$A1510)+COUNTIF('Service Principals'!$C$2:$C$201,$A1510)+COUNTIF('Managed Identities'!$C$2:$C$201,$A1510)&gt;0,"Yes","NOT IN INVENTORY"))</f>
        <v/>
      </c>
    </row>
    <row r="1511" customFormat="false" ht="15" hidden="false" customHeight="false" outlineLevel="0" collapsed="false">
      <c r="A1511" s="46"/>
      <c r="B1511" s="47"/>
      <c r="C1511" s="47"/>
      <c r="D1511" s="46"/>
      <c r="E1511" s="47"/>
      <c r="F1511" s="47"/>
      <c r="G1511" s="47"/>
      <c r="H1511" s="46"/>
      <c r="I1511" s="47"/>
      <c r="J1511" s="47"/>
      <c r="K1511" s="47"/>
      <c r="L1511" s="47"/>
      <c r="M1511" s="47"/>
      <c r="N1511" s="47"/>
      <c r="O1511" s="47"/>
      <c r="P1511" s="45" t="str">
        <f aca="false">IF($A1511="","",IF(COUNTIF(Accounts!$C$2:$C$201,$A1511)+COUNTIF('Service Principals'!$C$2:$C$201,$A1511)+COUNTIF('Managed Identities'!$C$2:$C$201,$A1511)&gt;0,"Yes","NOT IN INVENTORY"))</f>
        <v/>
      </c>
    </row>
    <row r="1512" customFormat="false" ht="15" hidden="false" customHeight="false" outlineLevel="0" collapsed="false">
      <c r="A1512" s="46"/>
      <c r="B1512" s="47"/>
      <c r="C1512" s="47"/>
      <c r="D1512" s="46"/>
      <c r="E1512" s="47"/>
      <c r="F1512" s="47"/>
      <c r="G1512" s="47"/>
      <c r="H1512" s="46"/>
      <c r="I1512" s="47"/>
      <c r="J1512" s="47"/>
      <c r="K1512" s="47"/>
      <c r="L1512" s="47"/>
      <c r="M1512" s="47"/>
      <c r="N1512" s="47"/>
      <c r="O1512" s="47"/>
      <c r="P1512" s="45" t="str">
        <f aca="false">IF($A1512="","",IF(COUNTIF(Accounts!$C$2:$C$201,$A1512)+COUNTIF('Service Principals'!$C$2:$C$201,$A1512)+COUNTIF('Managed Identities'!$C$2:$C$201,$A1512)&gt;0,"Yes","NOT IN INVENTORY"))</f>
        <v/>
      </c>
    </row>
    <row r="1513" customFormat="false" ht="15" hidden="false" customHeight="false" outlineLevel="0" collapsed="false">
      <c r="A1513" s="46"/>
      <c r="B1513" s="47"/>
      <c r="C1513" s="47"/>
      <c r="D1513" s="46"/>
      <c r="E1513" s="47"/>
      <c r="F1513" s="47"/>
      <c r="G1513" s="47"/>
      <c r="H1513" s="46"/>
      <c r="I1513" s="47"/>
      <c r="J1513" s="47"/>
      <c r="K1513" s="47"/>
      <c r="L1513" s="47"/>
      <c r="M1513" s="47"/>
      <c r="N1513" s="47"/>
      <c r="O1513" s="47"/>
      <c r="P1513" s="45" t="str">
        <f aca="false">IF($A1513="","",IF(COUNTIF(Accounts!$C$2:$C$201,$A1513)+COUNTIF('Service Principals'!$C$2:$C$201,$A1513)+COUNTIF('Managed Identities'!$C$2:$C$201,$A1513)&gt;0,"Yes","NOT IN INVENTORY"))</f>
        <v/>
      </c>
    </row>
    <row r="1514" customFormat="false" ht="15" hidden="false" customHeight="false" outlineLevel="0" collapsed="false">
      <c r="A1514" s="46"/>
      <c r="B1514" s="47"/>
      <c r="C1514" s="47"/>
      <c r="D1514" s="46"/>
      <c r="E1514" s="47"/>
      <c r="F1514" s="47"/>
      <c r="G1514" s="47"/>
      <c r="H1514" s="46"/>
      <c r="I1514" s="47"/>
      <c r="J1514" s="47"/>
      <c r="K1514" s="47"/>
      <c r="L1514" s="47"/>
      <c r="M1514" s="47"/>
      <c r="N1514" s="47"/>
      <c r="O1514" s="47"/>
      <c r="P1514" s="45" t="str">
        <f aca="false">IF($A1514="","",IF(COUNTIF(Accounts!$C$2:$C$201,$A1514)+COUNTIF('Service Principals'!$C$2:$C$201,$A1514)+COUNTIF('Managed Identities'!$C$2:$C$201,$A1514)&gt;0,"Yes","NOT IN INVENTORY"))</f>
        <v/>
      </c>
    </row>
    <row r="1515" customFormat="false" ht="15" hidden="false" customHeight="false" outlineLevel="0" collapsed="false">
      <c r="A1515" s="46"/>
      <c r="B1515" s="47"/>
      <c r="C1515" s="47"/>
      <c r="D1515" s="46"/>
      <c r="E1515" s="47"/>
      <c r="F1515" s="47"/>
      <c r="G1515" s="47"/>
      <c r="H1515" s="46"/>
      <c r="I1515" s="47"/>
      <c r="J1515" s="47"/>
      <c r="K1515" s="47"/>
      <c r="L1515" s="47"/>
      <c r="M1515" s="47"/>
      <c r="N1515" s="47"/>
      <c r="O1515" s="47"/>
      <c r="P1515" s="45" t="str">
        <f aca="false">IF($A1515="","",IF(COUNTIF(Accounts!$C$2:$C$201,$A1515)+COUNTIF('Service Principals'!$C$2:$C$201,$A1515)+COUNTIF('Managed Identities'!$C$2:$C$201,$A1515)&gt;0,"Yes","NOT IN INVENTORY"))</f>
        <v/>
      </c>
    </row>
    <row r="1516" customFormat="false" ht="15" hidden="false" customHeight="false" outlineLevel="0" collapsed="false">
      <c r="A1516" s="46"/>
      <c r="B1516" s="47"/>
      <c r="C1516" s="47"/>
      <c r="D1516" s="46"/>
      <c r="E1516" s="47"/>
      <c r="F1516" s="47"/>
      <c r="G1516" s="47"/>
      <c r="H1516" s="46"/>
      <c r="I1516" s="47"/>
      <c r="J1516" s="47"/>
      <c r="K1516" s="47"/>
      <c r="L1516" s="47"/>
      <c r="M1516" s="47"/>
      <c r="N1516" s="47"/>
      <c r="O1516" s="47"/>
      <c r="P1516" s="45" t="str">
        <f aca="false">IF($A1516="","",IF(COUNTIF(Accounts!$C$2:$C$201,$A1516)+COUNTIF('Service Principals'!$C$2:$C$201,$A1516)+COUNTIF('Managed Identities'!$C$2:$C$201,$A1516)&gt;0,"Yes","NOT IN INVENTORY"))</f>
        <v/>
      </c>
    </row>
    <row r="1517" customFormat="false" ht="15" hidden="false" customHeight="false" outlineLevel="0" collapsed="false">
      <c r="A1517" s="46"/>
      <c r="B1517" s="47"/>
      <c r="C1517" s="47"/>
      <c r="D1517" s="46"/>
      <c r="E1517" s="47"/>
      <c r="F1517" s="47"/>
      <c r="G1517" s="47"/>
      <c r="H1517" s="46"/>
      <c r="I1517" s="47"/>
      <c r="J1517" s="47"/>
      <c r="K1517" s="47"/>
      <c r="L1517" s="47"/>
      <c r="M1517" s="47"/>
      <c r="N1517" s="47"/>
      <c r="O1517" s="47"/>
      <c r="P1517" s="45" t="str">
        <f aca="false">IF($A1517="","",IF(COUNTIF(Accounts!$C$2:$C$201,$A1517)+COUNTIF('Service Principals'!$C$2:$C$201,$A1517)+COUNTIF('Managed Identities'!$C$2:$C$201,$A1517)&gt;0,"Yes","NOT IN INVENTORY"))</f>
        <v/>
      </c>
    </row>
    <row r="1518" customFormat="false" ht="15" hidden="false" customHeight="false" outlineLevel="0" collapsed="false">
      <c r="A1518" s="46"/>
      <c r="B1518" s="47"/>
      <c r="C1518" s="47"/>
      <c r="D1518" s="46"/>
      <c r="E1518" s="47"/>
      <c r="F1518" s="47"/>
      <c r="G1518" s="47"/>
      <c r="H1518" s="46"/>
      <c r="I1518" s="47"/>
      <c r="J1518" s="47"/>
      <c r="K1518" s="47"/>
      <c r="L1518" s="47"/>
      <c r="M1518" s="47"/>
      <c r="N1518" s="47"/>
      <c r="O1518" s="47"/>
      <c r="P1518" s="45" t="str">
        <f aca="false">IF($A1518="","",IF(COUNTIF(Accounts!$C$2:$C$201,$A1518)+COUNTIF('Service Principals'!$C$2:$C$201,$A1518)+COUNTIF('Managed Identities'!$C$2:$C$201,$A1518)&gt;0,"Yes","NOT IN INVENTORY"))</f>
        <v/>
      </c>
    </row>
    <row r="1519" customFormat="false" ht="15" hidden="false" customHeight="false" outlineLevel="0" collapsed="false">
      <c r="A1519" s="46"/>
      <c r="B1519" s="47"/>
      <c r="C1519" s="47"/>
      <c r="D1519" s="46"/>
      <c r="E1519" s="47"/>
      <c r="F1519" s="47"/>
      <c r="G1519" s="47"/>
      <c r="H1519" s="46"/>
      <c r="I1519" s="47"/>
      <c r="J1519" s="47"/>
      <c r="K1519" s="47"/>
      <c r="L1519" s="47"/>
      <c r="M1519" s="47"/>
      <c r="N1519" s="47"/>
      <c r="O1519" s="47"/>
      <c r="P1519" s="45" t="str">
        <f aca="false">IF($A1519="","",IF(COUNTIF(Accounts!$C$2:$C$201,$A1519)+COUNTIF('Service Principals'!$C$2:$C$201,$A1519)+COUNTIF('Managed Identities'!$C$2:$C$201,$A1519)&gt;0,"Yes","NOT IN INVENTORY"))</f>
        <v/>
      </c>
    </row>
    <row r="1520" customFormat="false" ht="15" hidden="false" customHeight="false" outlineLevel="0" collapsed="false">
      <c r="A1520" s="46"/>
      <c r="B1520" s="47"/>
      <c r="C1520" s="47"/>
      <c r="D1520" s="46"/>
      <c r="E1520" s="47"/>
      <c r="F1520" s="47"/>
      <c r="G1520" s="47"/>
      <c r="H1520" s="46"/>
      <c r="I1520" s="47"/>
      <c r="J1520" s="47"/>
      <c r="K1520" s="47"/>
      <c r="L1520" s="47"/>
      <c r="M1520" s="47"/>
      <c r="N1520" s="47"/>
      <c r="O1520" s="47"/>
      <c r="P1520" s="45" t="str">
        <f aca="false">IF($A1520="","",IF(COUNTIF(Accounts!$C$2:$C$201,$A1520)+COUNTIF('Service Principals'!$C$2:$C$201,$A1520)+COUNTIF('Managed Identities'!$C$2:$C$201,$A1520)&gt;0,"Yes","NOT IN INVENTORY"))</f>
        <v/>
      </c>
    </row>
    <row r="1521" customFormat="false" ht="15" hidden="false" customHeight="false" outlineLevel="0" collapsed="false">
      <c r="A1521" s="46"/>
      <c r="B1521" s="47"/>
      <c r="C1521" s="47"/>
      <c r="D1521" s="46"/>
      <c r="E1521" s="47"/>
      <c r="F1521" s="47"/>
      <c r="G1521" s="47"/>
      <c r="H1521" s="46"/>
      <c r="I1521" s="47"/>
      <c r="J1521" s="47"/>
      <c r="K1521" s="47"/>
      <c r="L1521" s="47"/>
      <c r="M1521" s="47"/>
      <c r="N1521" s="47"/>
      <c r="O1521" s="47"/>
      <c r="P1521" s="45" t="str">
        <f aca="false">IF($A1521="","",IF(COUNTIF(Accounts!$C$2:$C$201,$A1521)+COUNTIF('Service Principals'!$C$2:$C$201,$A1521)+COUNTIF('Managed Identities'!$C$2:$C$201,$A1521)&gt;0,"Yes","NOT IN INVENTORY"))</f>
        <v/>
      </c>
    </row>
    <row r="1522" customFormat="false" ht="15" hidden="false" customHeight="false" outlineLevel="0" collapsed="false">
      <c r="A1522" s="46"/>
      <c r="B1522" s="47"/>
      <c r="C1522" s="47"/>
      <c r="D1522" s="46"/>
      <c r="E1522" s="47"/>
      <c r="F1522" s="47"/>
      <c r="G1522" s="47"/>
      <c r="H1522" s="46"/>
      <c r="I1522" s="47"/>
      <c r="J1522" s="47"/>
      <c r="K1522" s="47"/>
      <c r="L1522" s="47"/>
      <c r="M1522" s="47"/>
      <c r="N1522" s="47"/>
      <c r="O1522" s="47"/>
      <c r="P1522" s="45" t="str">
        <f aca="false">IF($A1522="","",IF(COUNTIF(Accounts!$C$2:$C$201,$A1522)+COUNTIF('Service Principals'!$C$2:$C$201,$A1522)+COUNTIF('Managed Identities'!$C$2:$C$201,$A1522)&gt;0,"Yes","NOT IN INVENTORY"))</f>
        <v/>
      </c>
    </row>
    <row r="1523" customFormat="false" ht="15" hidden="false" customHeight="false" outlineLevel="0" collapsed="false">
      <c r="A1523" s="46"/>
      <c r="B1523" s="47"/>
      <c r="C1523" s="47"/>
      <c r="D1523" s="46"/>
      <c r="E1523" s="47"/>
      <c r="F1523" s="47"/>
      <c r="G1523" s="47"/>
      <c r="H1523" s="46"/>
      <c r="I1523" s="47"/>
      <c r="J1523" s="47"/>
      <c r="K1523" s="47"/>
      <c r="L1523" s="47"/>
      <c r="M1523" s="47"/>
      <c r="N1523" s="47"/>
      <c r="O1523" s="47"/>
      <c r="P1523" s="45" t="str">
        <f aca="false">IF($A1523="","",IF(COUNTIF(Accounts!$C$2:$C$201,$A1523)+COUNTIF('Service Principals'!$C$2:$C$201,$A1523)+COUNTIF('Managed Identities'!$C$2:$C$201,$A1523)&gt;0,"Yes","NOT IN INVENTORY"))</f>
        <v/>
      </c>
    </row>
    <row r="1524" customFormat="false" ht="15" hidden="false" customHeight="false" outlineLevel="0" collapsed="false">
      <c r="A1524" s="46"/>
      <c r="B1524" s="47"/>
      <c r="C1524" s="47"/>
      <c r="D1524" s="46"/>
      <c r="E1524" s="47"/>
      <c r="F1524" s="47"/>
      <c r="G1524" s="47"/>
      <c r="H1524" s="46"/>
      <c r="I1524" s="47"/>
      <c r="J1524" s="47"/>
      <c r="K1524" s="47"/>
      <c r="L1524" s="47"/>
      <c r="M1524" s="47"/>
      <c r="N1524" s="47"/>
      <c r="O1524" s="47"/>
      <c r="P1524" s="45" t="str">
        <f aca="false">IF($A1524="","",IF(COUNTIF(Accounts!$C$2:$C$201,$A1524)+COUNTIF('Service Principals'!$C$2:$C$201,$A1524)+COUNTIF('Managed Identities'!$C$2:$C$201,$A1524)&gt;0,"Yes","NOT IN INVENTORY"))</f>
        <v/>
      </c>
    </row>
    <row r="1525" customFormat="false" ht="15" hidden="false" customHeight="false" outlineLevel="0" collapsed="false">
      <c r="A1525" s="46"/>
      <c r="B1525" s="47"/>
      <c r="C1525" s="47"/>
      <c r="D1525" s="46"/>
      <c r="E1525" s="47"/>
      <c r="F1525" s="47"/>
      <c r="G1525" s="47"/>
      <c r="H1525" s="46"/>
      <c r="I1525" s="47"/>
      <c r="J1525" s="47"/>
      <c r="K1525" s="47"/>
      <c r="L1525" s="47"/>
      <c r="M1525" s="47"/>
      <c r="N1525" s="47"/>
      <c r="O1525" s="47"/>
      <c r="P1525" s="45" t="str">
        <f aca="false">IF($A1525="","",IF(COUNTIF(Accounts!$C$2:$C$201,$A1525)+COUNTIF('Service Principals'!$C$2:$C$201,$A1525)+COUNTIF('Managed Identities'!$C$2:$C$201,$A1525)&gt;0,"Yes","NOT IN INVENTORY"))</f>
        <v/>
      </c>
    </row>
    <row r="1526" customFormat="false" ht="15" hidden="false" customHeight="false" outlineLevel="0" collapsed="false">
      <c r="A1526" s="46"/>
      <c r="B1526" s="47"/>
      <c r="C1526" s="47"/>
      <c r="D1526" s="46"/>
      <c r="E1526" s="47"/>
      <c r="F1526" s="47"/>
      <c r="G1526" s="47"/>
      <c r="H1526" s="46"/>
      <c r="I1526" s="47"/>
      <c r="J1526" s="47"/>
      <c r="K1526" s="47"/>
      <c r="L1526" s="47"/>
      <c r="M1526" s="47"/>
      <c r="N1526" s="47"/>
      <c r="O1526" s="47"/>
      <c r="P1526" s="45" t="str">
        <f aca="false">IF($A1526="","",IF(COUNTIF(Accounts!$C$2:$C$201,$A1526)+COUNTIF('Service Principals'!$C$2:$C$201,$A1526)+COUNTIF('Managed Identities'!$C$2:$C$201,$A1526)&gt;0,"Yes","NOT IN INVENTORY"))</f>
        <v/>
      </c>
    </row>
    <row r="1527" customFormat="false" ht="15" hidden="false" customHeight="false" outlineLevel="0" collapsed="false">
      <c r="A1527" s="46"/>
      <c r="B1527" s="47"/>
      <c r="C1527" s="47"/>
      <c r="D1527" s="46"/>
      <c r="E1527" s="47"/>
      <c r="F1527" s="47"/>
      <c r="G1527" s="47"/>
      <c r="H1527" s="46"/>
      <c r="I1527" s="47"/>
      <c r="J1527" s="47"/>
      <c r="K1527" s="47"/>
      <c r="L1527" s="47"/>
      <c r="M1527" s="47"/>
      <c r="N1527" s="47"/>
      <c r="O1527" s="47"/>
      <c r="P1527" s="45" t="str">
        <f aca="false">IF($A1527="","",IF(COUNTIF(Accounts!$C$2:$C$201,$A1527)+COUNTIF('Service Principals'!$C$2:$C$201,$A1527)+COUNTIF('Managed Identities'!$C$2:$C$201,$A1527)&gt;0,"Yes","NOT IN INVENTORY"))</f>
        <v/>
      </c>
    </row>
    <row r="1528" customFormat="false" ht="15" hidden="false" customHeight="false" outlineLevel="0" collapsed="false">
      <c r="A1528" s="46"/>
      <c r="B1528" s="47"/>
      <c r="C1528" s="47"/>
      <c r="D1528" s="46"/>
      <c r="E1528" s="47"/>
      <c r="F1528" s="47"/>
      <c r="G1528" s="47"/>
      <c r="H1528" s="46"/>
      <c r="I1528" s="47"/>
      <c r="J1528" s="47"/>
      <c r="K1528" s="47"/>
      <c r="L1528" s="47"/>
      <c r="M1528" s="47"/>
      <c r="N1528" s="47"/>
      <c r="O1528" s="47"/>
      <c r="P1528" s="45" t="str">
        <f aca="false">IF($A1528="","",IF(COUNTIF(Accounts!$C$2:$C$201,$A1528)+COUNTIF('Service Principals'!$C$2:$C$201,$A1528)+COUNTIF('Managed Identities'!$C$2:$C$201,$A1528)&gt;0,"Yes","NOT IN INVENTORY"))</f>
        <v/>
      </c>
    </row>
    <row r="1529" customFormat="false" ht="15" hidden="false" customHeight="false" outlineLevel="0" collapsed="false">
      <c r="A1529" s="46"/>
      <c r="B1529" s="47"/>
      <c r="C1529" s="47"/>
      <c r="D1529" s="46"/>
      <c r="E1529" s="47"/>
      <c r="F1529" s="47"/>
      <c r="G1529" s="47"/>
      <c r="H1529" s="46"/>
      <c r="I1529" s="47"/>
      <c r="J1529" s="47"/>
      <c r="K1529" s="47"/>
      <c r="L1529" s="47"/>
      <c r="M1529" s="47"/>
      <c r="N1529" s="47"/>
      <c r="O1529" s="47"/>
      <c r="P1529" s="45" t="str">
        <f aca="false">IF($A1529="","",IF(COUNTIF(Accounts!$C$2:$C$201,$A1529)+COUNTIF('Service Principals'!$C$2:$C$201,$A1529)+COUNTIF('Managed Identities'!$C$2:$C$201,$A1529)&gt;0,"Yes","NOT IN INVENTORY"))</f>
        <v/>
      </c>
    </row>
    <row r="1530" customFormat="false" ht="15" hidden="false" customHeight="false" outlineLevel="0" collapsed="false">
      <c r="A1530" s="46"/>
      <c r="B1530" s="47"/>
      <c r="C1530" s="47"/>
      <c r="D1530" s="46"/>
      <c r="E1530" s="47"/>
      <c r="F1530" s="47"/>
      <c r="G1530" s="47"/>
      <c r="H1530" s="46"/>
      <c r="I1530" s="47"/>
      <c r="J1530" s="47"/>
      <c r="K1530" s="47"/>
      <c r="L1530" s="47"/>
      <c r="M1530" s="47"/>
      <c r="N1530" s="47"/>
      <c r="O1530" s="47"/>
      <c r="P1530" s="45" t="str">
        <f aca="false">IF($A1530="","",IF(COUNTIF(Accounts!$C$2:$C$201,$A1530)+COUNTIF('Service Principals'!$C$2:$C$201,$A1530)+COUNTIF('Managed Identities'!$C$2:$C$201,$A1530)&gt;0,"Yes","NOT IN INVENTORY"))</f>
        <v/>
      </c>
    </row>
    <row r="1531" customFormat="false" ht="15" hidden="false" customHeight="false" outlineLevel="0" collapsed="false">
      <c r="A1531" s="46"/>
      <c r="B1531" s="47"/>
      <c r="C1531" s="47"/>
      <c r="D1531" s="46"/>
      <c r="E1531" s="47"/>
      <c r="F1531" s="47"/>
      <c r="G1531" s="47"/>
      <c r="H1531" s="46"/>
      <c r="I1531" s="47"/>
      <c r="J1531" s="47"/>
      <c r="K1531" s="47"/>
      <c r="L1531" s="47"/>
      <c r="M1531" s="47"/>
      <c r="N1531" s="47"/>
      <c r="O1531" s="47"/>
      <c r="P1531" s="45" t="str">
        <f aca="false">IF($A1531="","",IF(COUNTIF(Accounts!$C$2:$C$201,$A1531)+COUNTIF('Service Principals'!$C$2:$C$201,$A1531)+COUNTIF('Managed Identities'!$C$2:$C$201,$A1531)&gt;0,"Yes","NOT IN INVENTORY"))</f>
        <v/>
      </c>
    </row>
    <row r="1532" customFormat="false" ht="15" hidden="false" customHeight="false" outlineLevel="0" collapsed="false">
      <c r="A1532" s="46"/>
      <c r="B1532" s="47"/>
      <c r="C1532" s="47"/>
      <c r="D1532" s="46"/>
      <c r="E1532" s="47"/>
      <c r="F1532" s="47"/>
      <c r="G1532" s="47"/>
      <c r="H1532" s="46"/>
      <c r="I1532" s="47"/>
      <c r="J1532" s="47"/>
      <c r="K1532" s="47"/>
      <c r="L1532" s="47"/>
      <c r="M1532" s="47"/>
      <c r="N1532" s="47"/>
      <c r="O1532" s="47"/>
      <c r="P1532" s="45" t="str">
        <f aca="false">IF($A1532="","",IF(COUNTIF(Accounts!$C$2:$C$201,$A1532)+COUNTIF('Service Principals'!$C$2:$C$201,$A1532)+COUNTIF('Managed Identities'!$C$2:$C$201,$A1532)&gt;0,"Yes","NOT IN INVENTORY"))</f>
        <v/>
      </c>
    </row>
    <row r="1533" customFormat="false" ht="15" hidden="false" customHeight="false" outlineLevel="0" collapsed="false">
      <c r="A1533" s="46"/>
      <c r="B1533" s="47"/>
      <c r="C1533" s="47"/>
      <c r="D1533" s="46"/>
      <c r="E1533" s="47"/>
      <c r="F1533" s="47"/>
      <c r="G1533" s="47"/>
      <c r="H1533" s="46"/>
      <c r="I1533" s="47"/>
      <c r="J1533" s="47"/>
      <c r="K1533" s="47"/>
      <c r="L1533" s="47"/>
      <c r="M1533" s="47"/>
      <c r="N1533" s="47"/>
      <c r="O1533" s="47"/>
      <c r="P1533" s="45" t="str">
        <f aca="false">IF($A1533="","",IF(COUNTIF(Accounts!$C$2:$C$201,$A1533)+COUNTIF('Service Principals'!$C$2:$C$201,$A1533)+COUNTIF('Managed Identities'!$C$2:$C$201,$A1533)&gt;0,"Yes","NOT IN INVENTORY"))</f>
        <v/>
      </c>
    </row>
    <row r="1534" customFormat="false" ht="15" hidden="false" customHeight="false" outlineLevel="0" collapsed="false">
      <c r="A1534" s="46"/>
      <c r="B1534" s="47"/>
      <c r="C1534" s="47"/>
      <c r="D1534" s="46"/>
      <c r="E1534" s="47"/>
      <c r="F1534" s="47"/>
      <c r="G1534" s="47"/>
      <c r="H1534" s="46"/>
      <c r="I1534" s="47"/>
      <c r="J1534" s="47"/>
      <c r="K1534" s="47"/>
      <c r="L1534" s="47"/>
      <c r="M1534" s="47"/>
      <c r="N1534" s="47"/>
      <c r="O1534" s="47"/>
      <c r="P1534" s="45" t="str">
        <f aca="false">IF($A1534="","",IF(COUNTIF(Accounts!$C$2:$C$201,$A1534)+COUNTIF('Service Principals'!$C$2:$C$201,$A1534)+COUNTIF('Managed Identities'!$C$2:$C$201,$A1534)&gt;0,"Yes","NOT IN INVENTORY"))</f>
        <v/>
      </c>
    </row>
    <row r="1535" customFormat="false" ht="15" hidden="false" customHeight="false" outlineLevel="0" collapsed="false">
      <c r="A1535" s="46"/>
      <c r="B1535" s="47"/>
      <c r="C1535" s="47"/>
      <c r="D1535" s="46"/>
      <c r="E1535" s="47"/>
      <c r="F1535" s="47"/>
      <c r="G1535" s="47"/>
      <c r="H1535" s="46"/>
      <c r="I1535" s="47"/>
      <c r="J1535" s="47"/>
      <c r="K1535" s="47"/>
      <c r="L1535" s="47"/>
      <c r="M1535" s="47"/>
      <c r="N1535" s="47"/>
      <c r="O1535" s="47"/>
      <c r="P1535" s="45" t="str">
        <f aca="false">IF($A1535="","",IF(COUNTIF(Accounts!$C$2:$C$201,$A1535)+COUNTIF('Service Principals'!$C$2:$C$201,$A1535)+COUNTIF('Managed Identities'!$C$2:$C$201,$A1535)&gt;0,"Yes","NOT IN INVENTORY"))</f>
        <v/>
      </c>
    </row>
    <row r="1536" customFormat="false" ht="15" hidden="false" customHeight="false" outlineLevel="0" collapsed="false">
      <c r="A1536" s="46"/>
      <c r="B1536" s="47"/>
      <c r="C1536" s="47"/>
      <c r="D1536" s="46"/>
      <c r="E1536" s="47"/>
      <c r="F1536" s="47"/>
      <c r="G1536" s="47"/>
      <c r="H1536" s="46"/>
      <c r="I1536" s="47"/>
      <c r="J1536" s="47"/>
      <c r="K1536" s="47"/>
      <c r="L1536" s="47"/>
      <c r="M1536" s="47"/>
      <c r="N1536" s="47"/>
      <c r="O1536" s="47"/>
      <c r="P1536" s="45" t="str">
        <f aca="false">IF($A1536="","",IF(COUNTIF(Accounts!$C$2:$C$201,$A1536)+COUNTIF('Service Principals'!$C$2:$C$201,$A1536)+COUNTIF('Managed Identities'!$C$2:$C$201,$A1536)&gt;0,"Yes","NOT IN INVENTORY"))</f>
        <v/>
      </c>
    </row>
    <row r="1537" customFormat="false" ht="15" hidden="false" customHeight="false" outlineLevel="0" collapsed="false">
      <c r="A1537" s="46"/>
      <c r="B1537" s="47"/>
      <c r="C1537" s="47"/>
      <c r="D1537" s="46"/>
      <c r="E1537" s="47"/>
      <c r="F1537" s="47"/>
      <c r="G1537" s="47"/>
      <c r="H1537" s="46"/>
      <c r="I1537" s="47"/>
      <c r="J1537" s="47"/>
      <c r="K1537" s="47"/>
      <c r="L1537" s="47"/>
      <c r="M1537" s="47"/>
      <c r="N1537" s="47"/>
      <c r="O1537" s="47"/>
      <c r="P1537" s="45" t="str">
        <f aca="false">IF($A1537="","",IF(COUNTIF(Accounts!$C$2:$C$201,$A1537)+COUNTIF('Service Principals'!$C$2:$C$201,$A1537)+COUNTIF('Managed Identities'!$C$2:$C$201,$A1537)&gt;0,"Yes","NOT IN INVENTORY"))</f>
        <v/>
      </c>
    </row>
    <row r="1538" customFormat="false" ht="15" hidden="false" customHeight="false" outlineLevel="0" collapsed="false">
      <c r="A1538" s="46"/>
      <c r="B1538" s="47"/>
      <c r="C1538" s="47"/>
      <c r="D1538" s="46"/>
      <c r="E1538" s="47"/>
      <c r="F1538" s="47"/>
      <c r="G1538" s="47"/>
      <c r="H1538" s="46"/>
      <c r="I1538" s="47"/>
      <c r="J1538" s="47"/>
      <c r="K1538" s="47"/>
      <c r="L1538" s="47"/>
      <c r="M1538" s="47"/>
      <c r="N1538" s="47"/>
      <c r="O1538" s="47"/>
      <c r="P1538" s="45" t="str">
        <f aca="false">IF($A1538="","",IF(COUNTIF(Accounts!$C$2:$C$201,$A1538)+COUNTIF('Service Principals'!$C$2:$C$201,$A1538)+COUNTIF('Managed Identities'!$C$2:$C$201,$A1538)&gt;0,"Yes","NOT IN INVENTORY"))</f>
        <v/>
      </c>
    </row>
    <row r="1539" customFormat="false" ht="15" hidden="false" customHeight="false" outlineLevel="0" collapsed="false">
      <c r="A1539" s="46"/>
      <c r="B1539" s="47"/>
      <c r="C1539" s="47"/>
      <c r="D1539" s="46"/>
      <c r="E1539" s="47"/>
      <c r="F1539" s="47"/>
      <c r="G1539" s="47"/>
      <c r="H1539" s="46"/>
      <c r="I1539" s="47"/>
      <c r="J1539" s="47"/>
      <c r="K1539" s="47"/>
      <c r="L1539" s="47"/>
      <c r="M1539" s="47"/>
      <c r="N1539" s="47"/>
      <c r="O1539" s="47"/>
      <c r="P1539" s="45" t="str">
        <f aca="false">IF($A1539="","",IF(COUNTIF(Accounts!$C$2:$C$201,$A1539)+COUNTIF('Service Principals'!$C$2:$C$201,$A1539)+COUNTIF('Managed Identities'!$C$2:$C$201,$A1539)&gt;0,"Yes","NOT IN INVENTORY"))</f>
        <v/>
      </c>
    </row>
    <row r="1540" customFormat="false" ht="15" hidden="false" customHeight="false" outlineLevel="0" collapsed="false">
      <c r="A1540" s="46"/>
      <c r="B1540" s="47"/>
      <c r="C1540" s="47"/>
      <c r="D1540" s="46"/>
      <c r="E1540" s="47"/>
      <c r="F1540" s="47"/>
      <c r="G1540" s="47"/>
      <c r="H1540" s="46"/>
      <c r="I1540" s="47"/>
      <c r="J1540" s="47"/>
      <c r="K1540" s="47"/>
      <c r="L1540" s="47"/>
      <c r="M1540" s="47"/>
      <c r="N1540" s="47"/>
      <c r="O1540" s="47"/>
      <c r="P1540" s="45" t="str">
        <f aca="false">IF($A1540="","",IF(COUNTIF(Accounts!$C$2:$C$201,$A1540)+COUNTIF('Service Principals'!$C$2:$C$201,$A1540)+COUNTIF('Managed Identities'!$C$2:$C$201,$A1540)&gt;0,"Yes","NOT IN INVENTORY"))</f>
        <v/>
      </c>
    </row>
    <row r="1541" customFormat="false" ht="15" hidden="false" customHeight="false" outlineLevel="0" collapsed="false">
      <c r="A1541" s="46"/>
      <c r="B1541" s="47"/>
      <c r="C1541" s="47"/>
      <c r="D1541" s="46"/>
      <c r="E1541" s="47"/>
      <c r="F1541" s="47"/>
      <c r="G1541" s="47"/>
      <c r="H1541" s="46"/>
      <c r="I1541" s="47"/>
      <c r="J1541" s="47"/>
      <c r="K1541" s="47"/>
      <c r="L1541" s="47"/>
      <c r="M1541" s="47"/>
      <c r="N1541" s="47"/>
      <c r="O1541" s="47"/>
      <c r="P1541" s="45" t="str">
        <f aca="false">IF($A1541="","",IF(COUNTIF(Accounts!$C$2:$C$201,$A1541)+COUNTIF('Service Principals'!$C$2:$C$201,$A1541)+COUNTIF('Managed Identities'!$C$2:$C$201,$A1541)&gt;0,"Yes","NOT IN INVENTORY"))</f>
        <v/>
      </c>
    </row>
    <row r="1542" customFormat="false" ht="15" hidden="false" customHeight="false" outlineLevel="0" collapsed="false">
      <c r="A1542" s="46"/>
      <c r="B1542" s="47"/>
      <c r="C1542" s="47"/>
      <c r="D1542" s="46"/>
      <c r="E1542" s="47"/>
      <c r="F1542" s="47"/>
      <c r="G1542" s="47"/>
      <c r="H1542" s="46"/>
      <c r="I1542" s="47"/>
      <c r="J1542" s="47"/>
      <c r="K1542" s="47"/>
      <c r="L1542" s="47"/>
      <c r="M1542" s="47"/>
      <c r="N1542" s="47"/>
      <c r="O1542" s="47"/>
      <c r="P1542" s="45" t="str">
        <f aca="false">IF($A1542="","",IF(COUNTIF(Accounts!$C$2:$C$201,$A1542)+COUNTIF('Service Principals'!$C$2:$C$201,$A1542)+COUNTIF('Managed Identities'!$C$2:$C$201,$A1542)&gt;0,"Yes","NOT IN INVENTORY"))</f>
        <v/>
      </c>
    </row>
    <row r="1543" customFormat="false" ht="15" hidden="false" customHeight="false" outlineLevel="0" collapsed="false">
      <c r="A1543" s="46"/>
      <c r="B1543" s="47"/>
      <c r="C1543" s="47"/>
      <c r="D1543" s="46"/>
      <c r="E1543" s="47"/>
      <c r="F1543" s="47"/>
      <c r="G1543" s="47"/>
      <c r="H1543" s="46"/>
      <c r="I1543" s="47"/>
      <c r="J1543" s="47"/>
      <c r="K1543" s="47"/>
      <c r="L1543" s="47"/>
      <c r="M1543" s="47"/>
      <c r="N1543" s="47"/>
      <c r="O1543" s="47"/>
      <c r="P1543" s="45" t="str">
        <f aca="false">IF($A1543="","",IF(COUNTIF(Accounts!$C$2:$C$201,$A1543)+COUNTIF('Service Principals'!$C$2:$C$201,$A1543)+COUNTIF('Managed Identities'!$C$2:$C$201,$A1543)&gt;0,"Yes","NOT IN INVENTORY"))</f>
        <v/>
      </c>
    </row>
    <row r="1544" customFormat="false" ht="15" hidden="false" customHeight="false" outlineLevel="0" collapsed="false">
      <c r="A1544" s="46"/>
      <c r="B1544" s="47"/>
      <c r="C1544" s="47"/>
      <c r="D1544" s="46"/>
      <c r="E1544" s="47"/>
      <c r="F1544" s="47"/>
      <c r="G1544" s="47"/>
      <c r="H1544" s="46"/>
      <c r="I1544" s="47"/>
      <c r="J1544" s="47"/>
      <c r="K1544" s="47"/>
      <c r="L1544" s="47"/>
      <c r="M1544" s="47"/>
      <c r="N1544" s="47"/>
      <c r="O1544" s="47"/>
      <c r="P1544" s="45" t="str">
        <f aca="false">IF($A1544="","",IF(COUNTIF(Accounts!$C$2:$C$201,$A1544)+COUNTIF('Service Principals'!$C$2:$C$201,$A1544)+COUNTIF('Managed Identities'!$C$2:$C$201,$A1544)&gt;0,"Yes","NOT IN INVENTORY"))</f>
        <v/>
      </c>
    </row>
    <row r="1545" customFormat="false" ht="15" hidden="false" customHeight="false" outlineLevel="0" collapsed="false">
      <c r="A1545" s="46"/>
      <c r="B1545" s="47"/>
      <c r="C1545" s="47"/>
      <c r="D1545" s="46"/>
      <c r="E1545" s="47"/>
      <c r="F1545" s="47"/>
      <c r="G1545" s="47"/>
      <c r="H1545" s="46"/>
      <c r="I1545" s="47"/>
      <c r="J1545" s="47"/>
      <c r="K1545" s="47"/>
      <c r="L1545" s="47"/>
      <c r="M1545" s="47"/>
      <c r="N1545" s="47"/>
      <c r="O1545" s="47"/>
      <c r="P1545" s="45" t="str">
        <f aca="false">IF($A1545="","",IF(COUNTIF(Accounts!$C$2:$C$201,$A1545)+COUNTIF('Service Principals'!$C$2:$C$201,$A1545)+COUNTIF('Managed Identities'!$C$2:$C$201,$A1545)&gt;0,"Yes","NOT IN INVENTORY"))</f>
        <v/>
      </c>
    </row>
    <row r="1546" customFormat="false" ht="15" hidden="false" customHeight="false" outlineLevel="0" collapsed="false">
      <c r="A1546" s="46"/>
      <c r="B1546" s="47"/>
      <c r="C1546" s="47"/>
      <c r="D1546" s="46"/>
      <c r="E1546" s="47"/>
      <c r="F1546" s="47"/>
      <c r="G1546" s="47"/>
      <c r="H1546" s="46"/>
      <c r="I1546" s="47"/>
      <c r="J1546" s="47"/>
      <c r="K1546" s="47"/>
      <c r="L1546" s="47"/>
      <c r="M1546" s="47"/>
      <c r="N1546" s="47"/>
      <c r="O1546" s="47"/>
      <c r="P1546" s="45" t="str">
        <f aca="false">IF($A1546="","",IF(COUNTIF(Accounts!$C$2:$C$201,$A1546)+COUNTIF('Service Principals'!$C$2:$C$201,$A1546)+COUNTIF('Managed Identities'!$C$2:$C$201,$A1546)&gt;0,"Yes","NOT IN INVENTORY"))</f>
        <v/>
      </c>
    </row>
    <row r="1547" customFormat="false" ht="15" hidden="false" customHeight="false" outlineLevel="0" collapsed="false">
      <c r="A1547" s="46"/>
      <c r="B1547" s="47"/>
      <c r="C1547" s="47"/>
      <c r="D1547" s="46"/>
      <c r="E1547" s="47"/>
      <c r="F1547" s="47"/>
      <c r="G1547" s="47"/>
      <c r="H1547" s="46"/>
      <c r="I1547" s="47"/>
      <c r="J1547" s="47"/>
      <c r="K1547" s="47"/>
      <c r="L1547" s="47"/>
      <c r="M1547" s="47"/>
      <c r="N1547" s="47"/>
      <c r="O1547" s="47"/>
      <c r="P1547" s="45" t="str">
        <f aca="false">IF($A1547="","",IF(COUNTIF(Accounts!$C$2:$C$201,$A1547)+COUNTIF('Service Principals'!$C$2:$C$201,$A1547)+COUNTIF('Managed Identities'!$C$2:$C$201,$A1547)&gt;0,"Yes","NOT IN INVENTORY"))</f>
        <v/>
      </c>
    </row>
    <row r="1548" customFormat="false" ht="15" hidden="false" customHeight="false" outlineLevel="0" collapsed="false">
      <c r="A1548" s="46"/>
      <c r="B1548" s="47"/>
      <c r="C1548" s="47"/>
      <c r="D1548" s="46"/>
      <c r="E1548" s="47"/>
      <c r="F1548" s="47"/>
      <c r="G1548" s="47"/>
      <c r="H1548" s="46"/>
      <c r="I1548" s="47"/>
      <c r="J1548" s="47"/>
      <c r="K1548" s="47"/>
      <c r="L1548" s="47"/>
      <c r="M1548" s="47"/>
      <c r="N1548" s="47"/>
      <c r="O1548" s="47"/>
      <c r="P1548" s="45" t="str">
        <f aca="false">IF($A1548="","",IF(COUNTIF(Accounts!$C$2:$C$201,$A1548)+COUNTIF('Service Principals'!$C$2:$C$201,$A1548)+COUNTIF('Managed Identities'!$C$2:$C$201,$A1548)&gt;0,"Yes","NOT IN INVENTORY"))</f>
        <v/>
      </c>
    </row>
    <row r="1549" customFormat="false" ht="15" hidden="false" customHeight="false" outlineLevel="0" collapsed="false">
      <c r="A1549" s="46"/>
      <c r="B1549" s="47"/>
      <c r="C1549" s="47"/>
      <c r="D1549" s="46"/>
      <c r="E1549" s="47"/>
      <c r="F1549" s="47"/>
      <c r="G1549" s="47"/>
      <c r="H1549" s="46"/>
      <c r="I1549" s="47"/>
      <c r="J1549" s="47"/>
      <c r="K1549" s="47"/>
      <c r="L1549" s="47"/>
      <c r="M1549" s="47"/>
      <c r="N1549" s="47"/>
      <c r="O1549" s="47"/>
      <c r="P1549" s="45" t="str">
        <f aca="false">IF($A1549="","",IF(COUNTIF(Accounts!$C$2:$C$201,$A1549)+COUNTIF('Service Principals'!$C$2:$C$201,$A1549)+COUNTIF('Managed Identities'!$C$2:$C$201,$A1549)&gt;0,"Yes","NOT IN INVENTORY"))</f>
        <v/>
      </c>
    </row>
    <row r="1550" customFormat="false" ht="15" hidden="false" customHeight="false" outlineLevel="0" collapsed="false">
      <c r="A1550" s="46"/>
      <c r="B1550" s="47"/>
      <c r="C1550" s="47"/>
      <c r="D1550" s="46"/>
      <c r="E1550" s="47"/>
      <c r="F1550" s="47"/>
      <c r="G1550" s="47"/>
      <c r="H1550" s="46"/>
      <c r="I1550" s="47"/>
      <c r="J1550" s="47"/>
      <c r="K1550" s="47"/>
      <c r="L1550" s="47"/>
      <c r="M1550" s="47"/>
      <c r="N1550" s="47"/>
      <c r="O1550" s="47"/>
      <c r="P1550" s="45" t="str">
        <f aca="false">IF($A1550="","",IF(COUNTIF(Accounts!$C$2:$C$201,$A1550)+COUNTIF('Service Principals'!$C$2:$C$201,$A1550)+COUNTIF('Managed Identities'!$C$2:$C$201,$A1550)&gt;0,"Yes","NOT IN INVENTORY"))</f>
        <v/>
      </c>
    </row>
    <row r="1551" customFormat="false" ht="15" hidden="false" customHeight="false" outlineLevel="0" collapsed="false">
      <c r="A1551" s="46"/>
      <c r="B1551" s="47"/>
      <c r="C1551" s="47"/>
      <c r="D1551" s="46"/>
      <c r="E1551" s="47"/>
      <c r="F1551" s="47"/>
      <c r="G1551" s="47"/>
      <c r="H1551" s="46"/>
      <c r="I1551" s="47"/>
      <c r="J1551" s="47"/>
      <c r="K1551" s="47"/>
      <c r="L1551" s="47"/>
      <c r="M1551" s="47"/>
      <c r="N1551" s="47"/>
      <c r="O1551" s="47"/>
      <c r="P1551" s="45" t="str">
        <f aca="false">IF($A1551="","",IF(COUNTIF(Accounts!$C$2:$C$201,$A1551)+COUNTIF('Service Principals'!$C$2:$C$201,$A1551)+COUNTIF('Managed Identities'!$C$2:$C$201,$A1551)&gt;0,"Yes","NOT IN INVENTORY"))</f>
        <v/>
      </c>
    </row>
    <row r="1552" customFormat="false" ht="15" hidden="false" customHeight="false" outlineLevel="0" collapsed="false">
      <c r="A1552" s="46"/>
      <c r="B1552" s="47"/>
      <c r="C1552" s="47"/>
      <c r="D1552" s="46"/>
      <c r="E1552" s="47"/>
      <c r="F1552" s="47"/>
      <c r="G1552" s="47"/>
      <c r="H1552" s="46"/>
      <c r="I1552" s="47"/>
      <c r="J1552" s="47"/>
      <c r="K1552" s="47"/>
      <c r="L1552" s="47"/>
      <c r="M1552" s="47"/>
      <c r="N1552" s="47"/>
      <c r="O1552" s="47"/>
      <c r="P1552" s="45" t="str">
        <f aca="false">IF($A1552="","",IF(COUNTIF(Accounts!$C$2:$C$201,$A1552)+COUNTIF('Service Principals'!$C$2:$C$201,$A1552)+COUNTIF('Managed Identities'!$C$2:$C$201,$A1552)&gt;0,"Yes","NOT IN INVENTORY"))</f>
        <v/>
      </c>
    </row>
    <row r="1553" customFormat="false" ht="15" hidden="false" customHeight="false" outlineLevel="0" collapsed="false">
      <c r="A1553" s="46"/>
      <c r="B1553" s="47"/>
      <c r="C1553" s="47"/>
      <c r="D1553" s="46"/>
      <c r="E1553" s="47"/>
      <c r="F1553" s="47"/>
      <c r="G1553" s="47"/>
      <c r="H1553" s="46"/>
      <c r="I1553" s="47"/>
      <c r="J1553" s="47"/>
      <c r="K1553" s="47"/>
      <c r="L1553" s="47"/>
      <c r="M1553" s="47"/>
      <c r="N1553" s="47"/>
      <c r="O1553" s="47"/>
      <c r="P1553" s="45" t="str">
        <f aca="false">IF($A1553="","",IF(COUNTIF(Accounts!$C$2:$C$201,$A1553)+COUNTIF('Service Principals'!$C$2:$C$201,$A1553)+COUNTIF('Managed Identities'!$C$2:$C$201,$A1553)&gt;0,"Yes","NOT IN INVENTORY"))</f>
        <v/>
      </c>
    </row>
    <row r="1554" customFormat="false" ht="15" hidden="false" customHeight="false" outlineLevel="0" collapsed="false">
      <c r="A1554" s="46"/>
      <c r="B1554" s="47"/>
      <c r="C1554" s="47"/>
      <c r="D1554" s="46"/>
      <c r="E1554" s="47"/>
      <c r="F1554" s="47"/>
      <c r="G1554" s="47"/>
      <c r="H1554" s="46"/>
      <c r="I1554" s="47"/>
      <c r="J1554" s="47"/>
      <c r="K1554" s="47"/>
      <c r="L1554" s="47"/>
      <c r="M1554" s="47"/>
      <c r="N1554" s="47"/>
      <c r="O1554" s="47"/>
      <c r="P1554" s="45" t="str">
        <f aca="false">IF($A1554="","",IF(COUNTIF(Accounts!$C$2:$C$201,$A1554)+COUNTIF('Service Principals'!$C$2:$C$201,$A1554)+COUNTIF('Managed Identities'!$C$2:$C$201,$A1554)&gt;0,"Yes","NOT IN INVENTORY"))</f>
        <v/>
      </c>
    </row>
    <row r="1555" customFormat="false" ht="15" hidden="false" customHeight="false" outlineLevel="0" collapsed="false">
      <c r="A1555" s="46"/>
      <c r="B1555" s="47"/>
      <c r="C1555" s="47"/>
      <c r="D1555" s="46"/>
      <c r="E1555" s="47"/>
      <c r="F1555" s="47"/>
      <c r="G1555" s="47"/>
      <c r="H1555" s="46"/>
      <c r="I1555" s="47"/>
      <c r="J1555" s="47"/>
      <c r="K1555" s="47"/>
      <c r="L1555" s="47"/>
      <c r="M1555" s="47"/>
      <c r="N1555" s="47"/>
      <c r="O1555" s="47"/>
      <c r="P1555" s="45" t="str">
        <f aca="false">IF($A1555="","",IF(COUNTIF(Accounts!$C$2:$C$201,$A1555)+COUNTIF('Service Principals'!$C$2:$C$201,$A1555)+COUNTIF('Managed Identities'!$C$2:$C$201,$A1555)&gt;0,"Yes","NOT IN INVENTORY"))</f>
        <v/>
      </c>
    </row>
    <row r="1556" customFormat="false" ht="15" hidden="false" customHeight="false" outlineLevel="0" collapsed="false">
      <c r="A1556" s="46"/>
      <c r="B1556" s="47"/>
      <c r="C1556" s="47"/>
      <c r="D1556" s="46"/>
      <c r="E1556" s="47"/>
      <c r="F1556" s="47"/>
      <c r="G1556" s="47"/>
      <c r="H1556" s="46"/>
      <c r="I1556" s="47"/>
      <c r="J1556" s="47"/>
      <c r="K1556" s="47"/>
      <c r="L1556" s="47"/>
      <c r="M1556" s="47"/>
      <c r="N1556" s="47"/>
      <c r="O1556" s="47"/>
      <c r="P1556" s="45" t="str">
        <f aca="false">IF($A1556="","",IF(COUNTIF(Accounts!$C$2:$C$201,$A1556)+COUNTIF('Service Principals'!$C$2:$C$201,$A1556)+COUNTIF('Managed Identities'!$C$2:$C$201,$A1556)&gt;0,"Yes","NOT IN INVENTORY"))</f>
        <v/>
      </c>
    </row>
    <row r="1557" customFormat="false" ht="15" hidden="false" customHeight="false" outlineLevel="0" collapsed="false">
      <c r="A1557" s="46"/>
      <c r="B1557" s="47"/>
      <c r="C1557" s="47"/>
      <c r="D1557" s="46"/>
      <c r="E1557" s="47"/>
      <c r="F1557" s="47"/>
      <c r="G1557" s="47"/>
      <c r="H1557" s="46"/>
      <c r="I1557" s="47"/>
      <c r="J1557" s="47"/>
      <c r="K1557" s="47"/>
      <c r="L1557" s="47"/>
      <c r="M1557" s="47"/>
      <c r="N1557" s="47"/>
      <c r="O1557" s="47"/>
      <c r="P1557" s="45" t="str">
        <f aca="false">IF($A1557="","",IF(COUNTIF(Accounts!$C$2:$C$201,$A1557)+COUNTIF('Service Principals'!$C$2:$C$201,$A1557)+COUNTIF('Managed Identities'!$C$2:$C$201,$A1557)&gt;0,"Yes","NOT IN INVENTORY"))</f>
        <v/>
      </c>
    </row>
    <row r="1558" customFormat="false" ht="15" hidden="false" customHeight="false" outlineLevel="0" collapsed="false">
      <c r="A1558" s="46"/>
      <c r="B1558" s="47"/>
      <c r="C1558" s="47"/>
      <c r="D1558" s="46"/>
      <c r="E1558" s="47"/>
      <c r="F1558" s="47"/>
      <c r="G1558" s="47"/>
      <c r="H1558" s="46"/>
      <c r="I1558" s="47"/>
      <c r="J1558" s="47"/>
      <c r="K1558" s="47"/>
      <c r="L1558" s="47"/>
      <c r="M1558" s="47"/>
      <c r="N1558" s="47"/>
      <c r="O1558" s="47"/>
      <c r="P1558" s="45" t="str">
        <f aca="false">IF($A1558="","",IF(COUNTIF(Accounts!$C$2:$C$201,$A1558)+COUNTIF('Service Principals'!$C$2:$C$201,$A1558)+COUNTIF('Managed Identities'!$C$2:$C$201,$A1558)&gt;0,"Yes","NOT IN INVENTORY"))</f>
        <v/>
      </c>
    </row>
    <row r="1559" customFormat="false" ht="15" hidden="false" customHeight="false" outlineLevel="0" collapsed="false">
      <c r="A1559" s="46"/>
      <c r="B1559" s="47"/>
      <c r="C1559" s="47"/>
      <c r="D1559" s="46"/>
      <c r="E1559" s="47"/>
      <c r="F1559" s="47"/>
      <c r="G1559" s="47"/>
      <c r="H1559" s="46"/>
      <c r="I1559" s="47"/>
      <c r="J1559" s="47"/>
      <c r="K1559" s="47"/>
      <c r="L1559" s="47"/>
      <c r="M1559" s="47"/>
      <c r="N1559" s="47"/>
      <c r="O1559" s="47"/>
      <c r="P1559" s="45" t="str">
        <f aca="false">IF($A1559="","",IF(COUNTIF(Accounts!$C$2:$C$201,$A1559)+COUNTIF('Service Principals'!$C$2:$C$201,$A1559)+COUNTIF('Managed Identities'!$C$2:$C$201,$A1559)&gt;0,"Yes","NOT IN INVENTORY"))</f>
        <v/>
      </c>
    </row>
    <row r="1560" customFormat="false" ht="15" hidden="false" customHeight="false" outlineLevel="0" collapsed="false">
      <c r="A1560" s="46"/>
      <c r="B1560" s="47"/>
      <c r="C1560" s="47"/>
      <c r="D1560" s="46"/>
      <c r="E1560" s="47"/>
      <c r="F1560" s="47"/>
      <c r="G1560" s="47"/>
      <c r="H1560" s="46"/>
      <c r="I1560" s="47"/>
      <c r="J1560" s="47"/>
      <c r="K1560" s="47"/>
      <c r="L1560" s="47"/>
      <c r="M1560" s="47"/>
      <c r="N1560" s="47"/>
      <c r="O1560" s="47"/>
      <c r="P1560" s="45" t="str">
        <f aca="false">IF($A1560="","",IF(COUNTIF(Accounts!$C$2:$C$201,$A1560)+COUNTIF('Service Principals'!$C$2:$C$201,$A1560)+COUNTIF('Managed Identities'!$C$2:$C$201,$A1560)&gt;0,"Yes","NOT IN INVENTORY"))</f>
        <v/>
      </c>
    </row>
    <row r="1561" customFormat="false" ht="15" hidden="false" customHeight="false" outlineLevel="0" collapsed="false">
      <c r="A1561" s="46"/>
      <c r="B1561" s="47"/>
      <c r="C1561" s="47"/>
      <c r="D1561" s="46"/>
      <c r="E1561" s="47"/>
      <c r="F1561" s="47"/>
      <c r="G1561" s="47"/>
      <c r="H1561" s="46"/>
      <c r="I1561" s="47"/>
      <c r="J1561" s="47"/>
      <c r="K1561" s="47"/>
      <c r="L1561" s="47"/>
      <c r="M1561" s="47"/>
      <c r="N1561" s="47"/>
      <c r="O1561" s="47"/>
      <c r="P1561" s="45" t="str">
        <f aca="false">IF($A1561="","",IF(COUNTIF(Accounts!$C$2:$C$201,$A1561)+COUNTIF('Service Principals'!$C$2:$C$201,$A1561)+COUNTIF('Managed Identities'!$C$2:$C$201,$A1561)&gt;0,"Yes","NOT IN INVENTORY"))</f>
        <v/>
      </c>
    </row>
    <row r="1562" customFormat="false" ht="15" hidden="false" customHeight="false" outlineLevel="0" collapsed="false">
      <c r="A1562" s="46"/>
      <c r="B1562" s="47"/>
      <c r="C1562" s="47"/>
      <c r="D1562" s="46"/>
      <c r="E1562" s="47"/>
      <c r="F1562" s="47"/>
      <c r="G1562" s="47"/>
      <c r="H1562" s="46"/>
      <c r="I1562" s="47"/>
      <c r="J1562" s="47"/>
      <c r="K1562" s="47"/>
      <c r="L1562" s="47"/>
      <c r="M1562" s="47"/>
      <c r="N1562" s="47"/>
      <c r="O1562" s="47"/>
      <c r="P1562" s="45" t="str">
        <f aca="false">IF($A1562="","",IF(COUNTIF(Accounts!$C$2:$C$201,$A1562)+COUNTIF('Service Principals'!$C$2:$C$201,$A1562)+COUNTIF('Managed Identities'!$C$2:$C$201,$A1562)&gt;0,"Yes","NOT IN INVENTORY"))</f>
        <v/>
      </c>
    </row>
    <row r="1563" customFormat="false" ht="15" hidden="false" customHeight="false" outlineLevel="0" collapsed="false">
      <c r="A1563" s="46"/>
      <c r="B1563" s="47"/>
      <c r="C1563" s="47"/>
      <c r="D1563" s="46"/>
      <c r="E1563" s="47"/>
      <c r="F1563" s="47"/>
      <c r="G1563" s="47"/>
      <c r="H1563" s="46"/>
      <c r="I1563" s="47"/>
      <c r="J1563" s="47"/>
      <c r="K1563" s="47"/>
      <c r="L1563" s="47"/>
      <c r="M1563" s="47"/>
      <c r="N1563" s="47"/>
      <c r="O1563" s="47"/>
      <c r="P1563" s="45" t="str">
        <f aca="false">IF($A1563="","",IF(COUNTIF(Accounts!$C$2:$C$201,$A1563)+COUNTIF('Service Principals'!$C$2:$C$201,$A1563)+COUNTIF('Managed Identities'!$C$2:$C$201,$A1563)&gt;0,"Yes","NOT IN INVENTORY"))</f>
        <v/>
      </c>
    </row>
    <row r="1564" customFormat="false" ht="15" hidden="false" customHeight="false" outlineLevel="0" collapsed="false">
      <c r="A1564" s="46"/>
      <c r="B1564" s="47"/>
      <c r="C1564" s="47"/>
      <c r="D1564" s="46"/>
      <c r="E1564" s="47"/>
      <c r="F1564" s="47"/>
      <c r="G1564" s="47"/>
      <c r="H1564" s="46"/>
      <c r="I1564" s="47"/>
      <c r="J1564" s="47"/>
      <c r="K1564" s="47"/>
      <c r="L1564" s="47"/>
      <c r="M1564" s="47"/>
      <c r="N1564" s="47"/>
      <c r="O1564" s="47"/>
      <c r="P1564" s="45" t="str">
        <f aca="false">IF($A1564="","",IF(COUNTIF(Accounts!$C$2:$C$201,$A1564)+COUNTIF('Service Principals'!$C$2:$C$201,$A1564)+COUNTIF('Managed Identities'!$C$2:$C$201,$A1564)&gt;0,"Yes","NOT IN INVENTORY"))</f>
        <v/>
      </c>
    </row>
    <row r="1565" customFormat="false" ht="15" hidden="false" customHeight="false" outlineLevel="0" collapsed="false">
      <c r="A1565" s="46"/>
      <c r="B1565" s="47"/>
      <c r="C1565" s="47"/>
      <c r="D1565" s="46"/>
      <c r="E1565" s="47"/>
      <c r="F1565" s="47"/>
      <c r="G1565" s="47"/>
      <c r="H1565" s="46"/>
      <c r="I1565" s="47"/>
      <c r="J1565" s="47"/>
      <c r="K1565" s="47"/>
      <c r="L1565" s="47"/>
      <c r="M1565" s="47"/>
      <c r="N1565" s="47"/>
      <c r="O1565" s="47"/>
      <c r="P1565" s="45" t="str">
        <f aca="false">IF($A1565="","",IF(COUNTIF(Accounts!$C$2:$C$201,$A1565)+COUNTIF('Service Principals'!$C$2:$C$201,$A1565)+COUNTIF('Managed Identities'!$C$2:$C$201,$A1565)&gt;0,"Yes","NOT IN INVENTORY"))</f>
        <v/>
      </c>
    </row>
    <row r="1566" customFormat="false" ht="15" hidden="false" customHeight="false" outlineLevel="0" collapsed="false">
      <c r="A1566" s="46"/>
      <c r="B1566" s="47"/>
      <c r="C1566" s="47"/>
      <c r="D1566" s="46"/>
      <c r="E1566" s="47"/>
      <c r="F1566" s="47"/>
      <c r="G1566" s="47"/>
      <c r="H1566" s="46"/>
      <c r="I1566" s="47"/>
      <c r="J1566" s="47"/>
      <c r="K1566" s="47"/>
      <c r="L1566" s="47"/>
      <c r="M1566" s="47"/>
      <c r="N1566" s="47"/>
      <c r="O1566" s="47"/>
      <c r="P1566" s="45" t="str">
        <f aca="false">IF($A1566="","",IF(COUNTIF(Accounts!$C$2:$C$201,$A1566)+COUNTIF('Service Principals'!$C$2:$C$201,$A1566)+COUNTIF('Managed Identities'!$C$2:$C$201,$A1566)&gt;0,"Yes","NOT IN INVENTORY"))</f>
        <v/>
      </c>
    </row>
    <row r="1567" customFormat="false" ht="15" hidden="false" customHeight="false" outlineLevel="0" collapsed="false">
      <c r="A1567" s="46"/>
      <c r="B1567" s="47"/>
      <c r="C1567" s="47"/>
      <c r="D1567" s="46"/>
      <c r="E1567" s="47"/>
      <c r="F1567" s="47"/>
      <c r="G1567" s="47"/>
      <c r="H1567" s="46"/>
      <c r="I1567" s="47"/>
      <c r="J1567" s="47"/>
      <c r="K1567" s="47"/>
      <c r="L1567" s="47"/>
      <c r="M1567" s="47"/>
      <c r="N1567" s="47"/>
      <c r="O1567" s="47"/>
      <c r="P1567" s="45" t="str">
        <f aca="false">IF($A1567="","",IF(COUNTIF(Accounts!$C$2:$C$201,$A1567)+COUNTIF('Service Principals'!$C$2:$C$201,$A1567)+COUNTIF('Managed Identities'!$C$2:$C$201,$A1567)&gt;0,"Yes","NOT IN INVENTORY"))</f>
        <v/>
      </c>
    </row>
    <row r="1568" customFormat="false" ht="15" hidden="false" customHeight="false" outlineLevel="0" collapsed="false">
      <c r="A1568" s="46"/>
      <c r="B1568" s="47"/>
      <c r="C1568" s="47"/>
      <c r="D1568" s="46"/>
      <c r="E1568" s="47"/>
      <c r="F1568" s="47"/>
      <c r="G1568" s="47"/>
      <c r="H1568" s="46"/>
      <c r="I1568" s="47"/>
      <c r="J1568" s="47"/>
      <c r="K1568" s="47"/>
      <c r="L1568" s="47"/>
      <c r="M1568" s="47"/>
      <c r="N1568" s="47"/>
      <c r="O1568" s="47"/>
      <c r="P1568" s="45" t="str">
        <f aca="false">IF($A1568="","",IF(COUNTIF(Accounts!$C$2:$C$201,$A1568)+COUNTIF('Service Principals'!$C$2:$C$201,$A1568)+COUNTIF('Managed Identities'!$C$2:$C$201,$A1568)&gt;0,"Yes","NOT IN INVENTORY"))</f>
        <v/>
      </c>
    </row>
    <row r="1569" customFormat="false" ht="15" hidden="false" customHeight="false" outlineLevel="0" collapsed="false">
      <c r="A1569" s="46"/>
      <c r="B1569" s="47"/>
      <c r="C1569" s="47"/>
      <c r="D1569" s="46"/>
      <c r="E1569" s="47"/>
      <c r="F1569" s="47"/>
      <c r="G1569" s="47"/>
      <c r="H1569" s="46"/>
      <c r="I1569" s="47"/>
      <c r="J1569" s="47"/>
      <c r="K1569" s="47"/>
      <c r="L1569" s="47"/>
      <c r="M1569" s="47"/>
      <c r="N1569" s="47"/>
      <c r="O1569" s="47"/>
      <c r="P1569" s="45" t="str">
        <f aca="false">IF($A1569="","",IF(COUNTIF(Accounts!$C$2:$C$201,$A1569)+COUNTIF('Service Principals'!$C$2:$C$201,$A1569)+COUNTIF('Managed Identities'!$C$2:$C$201,$A1569)&gt;0,"Yes","NOT IN INVENTORY"))</f>
        <v/>
      </c>
    </row>
    <row r="1570" customFormat="false" ht="15" hidden="false" customHeight="false" outlineLevel="0" collapsed="false">
      <c r="A1570" s="46"/>
      <c r="B1570" s="47"/>
      <c r="C1570" s="47"/>
      <c r="D1570" s="46"/>
      <c r="E1570" s="47"/>
      <c r="F1570" s="47"/>
      <c r="G1570" s="47"/>
      <c r="H1570" s="46"/>
      <c r="I1570" s="47"/>
      <c r="J1570" s="47"/>
      <c r="K1570" s="47"/>
      <c r="L1570" s="47"/>
      <c r="M1570" s="47"/>
      <c r="N1570" s="47"/>
      <c r="O1570" s="47"/>
      <c r="P1570" s="45" t="str">
        <f aca="false">IF($A1570="","",IF(COUNTIF(Accounts!$C$2:$C$201,$A1570)+COUNTIF('Service Principals'!$C$2:$C$201,$A1570)+COUNTIF('Managed Identities'!$C$2:$C$201,$A1570)&gt;0,"Yes","NOT IN INVENTORY"))</f>
        <v/>
      </c>
    </row>
    <row r="1571" customFormat="false" ht="15" hidden="false" customHeight="false" outlineLevel="0" collapsed="false">
      <c r="A1571" s="46"/>
      <c r="B1571" s="47"/>
      <c r="C1571" s="47"/>
      <c r="D1571" s="46"/>
      <c r="E1571" s="47"/>
      <c r="F1571" s="47"/>
      <c r="G1571" s="47"/>
      <c r="H1571" s="46"/>
      <c r="I1571" s="47"/>
      <c r="J1571" s="47"/>
      <c r="K1571" s="47"/>
      <c r="L1571" s="47"/>
      <c r="M1571" s="47"/>
      <c r="N1571" s="47"/>
      <c r="O1571" s="47"/>
      <c r="P1571" s="45" t="str">
        <f aca="false">IF($A1571="","",IF(COUNTIF(Accounts!$C$2:$C$201,$A1571)+COUNTIF('Service Principals'!$C$2:$C$201,$A1571)+COUNTIF('Managed Identities'!$C$2:$C$201,$A1571)&gt;0,"Yes","NOT IN INVENTORY"))</f>
        <v/>
      </c>
    </row>
    <row r="1572" customFormat="false" ht="15" hidden="false" customHeight="false" outlineLevel="0" collapsed="false">
      <c r="A1572" s="46"/>
      <c r="B1572" s="47"/>
      <c r="C1572" s="47"/>
      <c r="D1572" s="46"/>
      <c r="E1572" s="47"/>
      <c r="F1572" s="47"/>
      <c r="G1572" s="47"/>
      <c r="H1572" s="46"/>
      <c r="I1572" s="47"/>
      <c r="J1572" s="47"/>
      <c r="K1572" s="47"/>
      <c r="L1572" s="47"/>
      <c r="M1572" s="47"/>
      <c r="N1572" s="47"/>
      <c r="O1572" s="47"/>
      <c r="P1572" s="45" t="str">
        <f aca="false">IF($A1572="","",IF(COUNTIF(Accounts!$C$2:$C$201,$A1572)+COUNTIF('Service Principals'!$C$2:$C$201,$A1572)+COUNTIF('Managed Identities'!$C$2:$C$201,$A1572)&gt;0,"Yes","NOT IN INVENTORY"))</f>
        <v/>
      </c>
    </row>
    <row r="1573" customFormat="false" ht="15" hidden="false" customHeight="false" outlineLevel="0" collapsed="false">
      <c r="A1573" s="46"/>
      <c r="B1573" s="47"/>
      <c r="C1573" s="47"/>
      <c r="D1573" s="46"/>
      <c r="E1573" s="47"/>
      <c r="F1573" s="47"/>
      <c r="G1573" s="47"/>
      <c r="H1573" s="46"/>
      <c r="I1573" s="47"/>
      <c r="J1573" s="47"/>
      <c r="K1573" s="47"/>
      <c r="L1573" s="47"/>
      <c r="M1573" s="47"/>
      <c r="N1573" s="47"/>
      <c r="O1573" s="47"/>
      <c r="P1573" s="45" t="str">
        <f aca="false">IF($A1573="","",IF(COUNTIF(Accounts!$C$2:$C$201,$A1573)+COUNTIF('Service Principals'!$C$2:$C$201,$A1573)+COUNTIF('Managed Identities'!$C$2:$C$201,$A1573)&gt;0,"Yes","NOT IN INVENTORY"))</f>
        <v/>
      </c>
    </row>
    <row r="1574" customFormat="false" ht="15" hidden="false" customHeight="false" outlineLevel="0" collapsed="false">
      <c r="A1574" s="46"/>
      <c r="B1574" s="47"/>
      <c r="C1574" s="47"/>
      <c r="D1574" s="46"/>
      <c r="E1574" s="47"/>
      <c r="F1574" s="47"/>
      <c r="G1574" s="47"/>
      <c r="H1574" s="46"/>
      <c r="I1574" s="47"/>
      <c r="J1574" s="47"/>
      <c r="K1574" s="47"/>
      <c r="L1574" s="47"/>
      <c r="M1574" s="47"/>
      <c r="N1574" s="47"/>
      <c r="O1574" s="47"/>
      <c r="P1574" s="45" t="str">
        <f aca="false">IF($A1574="","",IF(COUNTIF(Accounts!$C$2:$C$201,$A1574)+COUNTIF('Service Principals'!$C$2:$C$201,$A1574)+COUNTIF('Managed Identities'!$C$2:$C$201,$A1574)&gt;0,"Yes","NOT IN INVENTORY"))</f>
        <v/>
      </c>
    </row>
    <row r="1575" customFormat="false" ht="15" hidden="false" customHeight="false" outlineLevel="0" collapsed="false">
      <c r="A1575" s="46"/>
      <c r="B1575" s="47"/>
      <c r="C1575" s="47"/>
      <c r="D1575" s="46"/>
      <c r="E1575" s="47"/>
      <c r="F1575" s="47"/>
      <c r="G1575" s="47"/>
      <c r="H1575" s="46"/>
      <c r="I1575" s="47"/>
      <c r="J1575" s="47"/>
      <c r="K1575" s="47"/>
      <c r="L1575" s="47"/>
      <c r="M1575" s="47"/>
      <c r="N1575" s="47"/>
      <c r="O1575" s="47"/>
      <c r="P1575" s="45" t="str">
        <f aca="false">IF($A1575="","",IF(COUNTIF(Accounts!$C$2:$C$201,$A1575)+COUNTIF('Service Principals'!$C$2:$C$201,$A1575)+COUNTIF('Managed Identities'!$C$2:$C$201,$A1575)&gt;0,"Yes","NOT IN INVENTORY"))</f>
        <v/>
      </c>
    </row>
    <row r="1576" customFormat="false" ht="15" hidden="false" customHeight="false" outlineLevel="0" collapsed="false">
      <c r="A1576" s="46"/>
      <c r="B1576" s="47"/>
      <c r="C1576" s="47"/>
      <c r="D1576" s="46"/>
      <c r="E1576" s="47"/>
      <c r="F1576" s="47"/>
      <c r="G1576" s="47"/>
      <c r="H1576" s="46"/>
      <c r="I1576" s="47"/>
      <c r="J1576" s="47"/>
      <c r="K1576" s="47"/>
      <c r="L1576" s="47"/>
      <c r="M1576" s="47"/>
      <c r="N1576" s="47"/>
      <c r="O1576" s="47"/>
      <c r="P1576" s="45" t="str">
        <f aca="false">IF($A1576="","",IF(COUNTIF(Accounts!$C$2:$C$201,$A1576)+COUNTIF('Service Principals'!$C$2:$C$201,$A1576)+COUNTIF('Managed Identities'!$C$2:$C$201,$A1576)&gt;0,"Yes","NOT IN INVENTORY"))</f>
        <v/>
      </c>
    </row>
    <row r="1577" customFormat="false" ht="15" hidden="false" customHeight="false" outlineLevel="0" collapsed="false">
      <c r="A1577" s="46"/>
      <c r="B1577" s="47"/>
      <c r="C1577" s="47"/>
      <c r="D1577" s="46"/>
      <c r="E1577" s="47"/>
      <c r="F1577" s="47"/>
      <c r="G1577" s="47"/>
      <c r="H1577" s="46"/>
      <c r="I1577" s="47"/>
      <c r="J1577" s="47"/>
      <c r="K1577" s="47"/>
      <c r="L1577" s="47"/>
      <c r="M1577" s="47"/>
      <c r="N1577" s="47"/>
      <c r="O1577" s="47"/>
      <c r="P1577" s="45" t="str">
        <f aca="false">IF($A1577="","",IF(COUNTIF(Accounts!$C$2:$C$201,$A1577)+COUNTIF('Service Principals'!$C$2:$C$201,$A1577)+COUNTIF('Managed Identities'!$C$2:$C$201,$A1577)&gt;0,"Yes","NOT IN INVENTORY"))</f>
        <v/>
      </c>
    </row>
    <row r="1578" customFormat="false" ht="15" hidden="false" customHeight="false" outlineLevel="0" collapsed="false">
      <c r="A1578" s="46"/>
      <c r="B1578" s="47"/>
      <c r="C1578" s="47"/>
      <c r="D1578" s="46"/>
      <c r="E1578" s="47"/>
      <c r="F1578" s="47"/>
      <c r="G1578" s="47"/>
      <c r="H1578" s="46"/>
      <c r="I1578" s="47"/>
      <c r="J1578" s="47"/>
      <c r="K1578" s="47"/>
      <c r="L1578" s="47"/>
      <c r="M1578" s="47"/>
      <c r="N1578" s="47"/>
      <c r="O1578" s="47"/>
      <c r="P1578" s="45" t="str">
        <f aca="false">IF($A1578="","",IF(COUNTIF(Accounts!$C$2:$C$201,$A1578)+COUNTIF('Service Principals'!$C$2:$C$201,$A1578)+COUNTIF('Managed Identities'!$C$2:$C$201,$A1578)&gt;0,"Yes","NOT IN INVENTORY"))</f>
        <v/>
      </c>
    </row>
    <row r="1579" customFormat="false" ht="15" hidden="false" customHeight="false" outlineLevel="0" collapsed="false">
      <c r="A1579" s="46"/>
      <c r="B1579" s="47"/>
      <c r="C1579" s="47"/>
      <c r="D1579" s="46"/>
      <c r="E1579" s="47"/>
      <c r="F1579" s="47"/>
      <c r="G1579" s="47"/>
      <c r="H1579" s="46"/>
      <c r="I1579" s="47"/>
      <c r="J1579" s="47"/>
      <c r="K1579" s="47"/>
      <c r="L1579" s="47"/>
      <c r="M1579" s="47"/>
      <c r="N1579" s="47"/>
      <c r="O1579" s="47"/>
      <c r="P1579" s="45" t="str">
        <f aca="false">IF($A1579="","",IF(COUNTIF(Accounts!$C$2:$C$201,$A1579)+COUNTIF('Service Principals'!$C$2:$C$201,$A1579)+COUNTIF('Managed Identities'!$C$2:$C$201,$A1579)&gt;0,"Yes","NOT IN INVENTORY"))</f>
        <v/>
      </c>
    </row>
    <row r="1580" customFormat="false" ht="15" hidden="false" customHeight="false" outlineLevel="0" collapsed="false">
      <c r="A1580" s="46"/>
      <c r="B1580" s="47"/>
      <c r="C1580" s="47"/>
      <c r="D1580" s="46"/>
      <c r="E1580" s="47"/>
      <c r="F1580" s="47"/>
      <c r="G1580" s="47"/>
      <c r="H1580" s="46"/>
      <c r="I1580" s="47"/>
      <c r="J1580" s="47"/>
      <c r="K1580" s="47"/>
      <c r="L1580" s="47"/>
      <c r="M1580" s="47"/>
      <c r="N1580" s="47"/>
      <c r="O1580" s="47"/>
      <c r="P1580" s="45" t="str">
        <f aca="false">IF($A1580="","",IF(COUNTIF(Accounts!$C$2:$C$201,$A1580)+COUNTIF('Service Principals'!$C$2:$C$201,$A1580)+COUNTIF('Managed Identities'!$C$2:$C$201,$A1580)&gt;0,"Yes","NOT IN INVENTORY"))</f>
        <v/>
      </c>
    </row>
    <row r="1581" customFormat="false" ht="15" hidden="false" customHeight="false" outlineLevel="0" collapsed="false">
      <c r="A1581" s="46"/>
      <c r="B1581" s="47"/>
      <c r="C1581" s="47"/>
      <c r="D1581" s="46"/>
      <c r="E1581" s="47"/>
      <c r="F1581" s="47"/>
      <c r="G1581" s="47"/>
      <c r="H1581" s="46"/>
      <c r="I1581" s="47"/>
      <c r="J1581" s="47"/>
      <c r="K1581" s="47"/>
      <c r="L1581" s="47"/>
      <c r="M1581" s="47"/>
      <c r="N1581" s="47"/>
      <c r="O1581" s="47"/>
      <c r="P1581" s="45" t="str">
        <f aca="false">IF($A1581="","",IF(COUNTIF(Accounts!$C$2:$C$201,$A1581)+COUNTIF('Service Principals'!$C$2:$C$201,$A1581)+COUNTIF('Managed Identities'!$C$2:$C$201,$A1581)&gt;0,"Yes","NOT IN INVENTORY"))</f>
        <v/>
      </c>
    </row>
    <row r="1582" customFormat="false" ht="15" hidden="false" customHeight="false" outlineLevel="0" collapsed="false">
      <c r="A1582" s="46"/>
      <c r="B1582" s="47"/>
      <c r="C1582" s="47"/>
      <c r="D1582" s="46"/>
      <c r="E1582" s="47"/>
      <c r="F1582" s="47"/>
      <c r="G1582" s="47"/>
      <c r="H1582" s="46"/>
      <c r="I1582" s="47"/>
      <c r="J1582" s="47"/>
      <c r="K1582" s="47"/>
      <c r="L1582" s="47"/>
      <c r="M1582" s="47"/>
      <c r="N1582" s="47"/>
      <c r="O1582" s="47"/>
      <c r="P1582" s="45" t="str">
        <f aca="false">IF($A1582="","",IF(COUNTIF(Accounts!$C$2:$C$201,$A1582)+COUNTIF('Service Principals'!$C$2:$C$201,$A1582)+COUNTIF('Managed Identities'!$C$2:$C$201,$A1582)&gt;0,"Yes","NOT IN INVENTORY"))</f>
        <v/>
      </c>
    </row>
    <row r="1583" customFormat="false" ht="15" hidden="false" customHeight="false" outlineLevel="0" collapsed="false">
      <c r="A1583" s="46"/>
      <c r="B1583" s="47"/>
      <c r="C1583" s="47"/>
      <c r="D1583" s="46"/>
      <c r="E1583" s="47"/>
      <c r="F1583" s="47"/>
      <c r="G1583" s="47"/>
      <c r="H1583" s="46"/>
      <c r="I1583" s="47"/>
      <c r="J1583" s="47"/>
      <c r="K1583" s="47"/>
      <c r="L1583" s="47"/>
      <c r="M1583" s="47"/>
      <c r="N1583" s="47"/>
      <c r="O1583" s="47"/>
      <c r="P1583" s="45" t="str">
        <f aca="false">IF($A1583="","",IF(COUNTIF(Accounts!$C$2:$C$201,$A1583)+COUNTIF('Service Principals'!$C$2:$C$201,$A1583)+COUNTIF('Managed Identities'!$C$2:$C$201,$A1583)&gt;0,"Yes","NOT IN INVENTORY"))</f>
        <v/>
      </c>
    </row>
    <row r="1584" customFormat="false" ht="15" hidden="false" customHeight="false" outlineLevel="0" collapsed="false">
      <c r="A1584" s="46"/>
      <c r="B1584" s="47"/>
      <c r="C1584" s="47"/>
      <c r="D1584" s="46"/>
      <c r="E1584" s="47"/>
      <c r="F1584" s="47"/>
      <c r="G1584" s="47"/>
      <c r="H1584" s="46"/>
      <c r="I1584" s="47"/>
      <c r="J1584" s="47"/>
      <c r="K1584" s="47"/>
      <c r="L1584" s="47"/>
      <c r="M1584" s="47"/>
      <c r="N1584" s="47"/>
      <c r="O1584" s="47"/>
      <c r="P1584" s="45" t="str">
        <f aca="false">IF($A1584="","",IF(COUNTIF(Accounts!$C$2:$C$201,$A1584)+COUNTIF('Service Principals'!$C$2:$C$201,$A1584)+COUNTIF('Managed Identities'!$C$2:$C$201,$A1584)&gt;0,"Yes","NOT IN INVENTORY"))</f>
        <v/>
      </c>
    </row>
    <row r="1585" customFormat="false" ht="15" hidden="false" customHeight="false" outlineLevel="0" collapsed="false">
      <c r="A1585" s="46"/>
      <c r="B1585" s="47"/>
      <c r="C1585" s="47"/>
      <c r="D1585" s="46"/>
      <c r="E1585" s="47"/>
      <c r="F1585" s="47"/>
      <c r="G1585" s="47"/>
      <c r="H1585" s="46"/>
      <c r="I1585" s="47"/>
      <c r="J1585" s="47"/>
      <c r="K1585" s="47"/>
      <c r="L1585" s="47"/>
      <c r="M1585" s="47"/>
      <c r="N1585" s="47"/>
      <c r="O1585" s="47"/>
      <c r="P1585" s="45" t="str">
        <f aca="false">IF($A1585="","",IF(COUNTIF(Accounts!$C$2:$C$201,$A1585)+COUNTIF('Service Principals'!$C$2:$C$201,$A1585)+COUNTIF('Managed Identities'!$C$2:$C$201,$A1585)&gt;0,"Yes","NOT IN INVENTORY"))</f>
        <v/>
      </c>
    </row>
    <row r="1586" customFormat="false" ht="15" hidden="false" customHeight="false" outlineLevel="0" collapsed="false">
      <c r="A1586" s="46"/>
      <c r="B1586" s="47"/>
      <c r="C1586" s="47"/>
      <c r="D1586" s="46"/>
      <c r="E1586" s="47"/>
      <c r="F1586" s="47"/>
      <c r="G1586" s="47"/>
      <c r="H1586" s="46"/>
      <c r="I1586" s="47"/>
      <c r="J1586" s="47"/>
      <c r="K1586" s="47"/>
      <c r="L1586" s="47"/>
      <c r="M1586" s="47"/>
      <c r="N1586" s="47"/>
      <c r="O1586" s="47"/>
      <c r="P1586" s="45" t="str">
        <f aca="false">IF($A1586="","",IF(COUNTIF(Accounts!$C$2:$C$201,$A1586)+COUNTIF('Service Principals'!$C$2:$C$201,$A1586)+COUNTIF('Managed Identities'!$C$2:$C$201,$A1586)&gt;0,"Yes","NOT IN INVENTORY"))</f>
        <v/>
      </c>
    </row>
    <row r="1587" customFormat="false" ht="15" hidden="false" customHeight="false" outlineLevel="0" collapsed="false">
      <c r="A1587" s="46"/>
      <c r="B1587" s="47"/>
      <c r="C1587" s="47"/>
      <c r="D1587" s="46"/>
      <c r="E1587" s="47"/>
      <c r="F1587" s="47"/>
      <c r="G1587" s="47"/>
      <c r="H1587" s="46"/>
      <c r="I1587" s="47"/>
      <c r="J1587" s="47"/>
      <c r="K1587" s="47"/>
      <c r="L1587" s="47"/>
      <c r="M1587" s="47"/>
      <c r="N1587" s="47"/>
      <c r="O1587" s="47"/>
      <c r="P1587" s="45" t="str">
        <f aca="false">IF($A1587="","",IF(COUNTIF(Accounts!$C$2:$C$201,$A1587)+COUNTIF('Service Principals'!$C$2:$C$201,$A1587)+COUNTIF('Managed Identities'!$C$2:$C$201,$A1587)&gt;0,"Yes","NOT IN INVENTORY"))</f>
        <v/>
      </c>
    </row>
    <row r="1588" customFormat="false" ht="15" hidden="false" customHeight="false" outlineLevel="0" collapsed="false">
      <c r="A1588" s="46"/>
      <c r="B1588" s="47"/>
      <c r="C1588" s="47"/>
      <c r="D1588" s="46"/>
      <c r="E1588" s="47"/>
      <c r="F1588" s="47"/>
      <c r="G1588" s="47"/>
      <c r="H1588" s="46"/>
      <c r="I1588" s="47"/>
      <c r="J1588" s="47"/>
      <c r="K1588" s="47"/>
      <c r="L1588" s="47"/>
      <c r="M1588" s="47"/>
      <c r="N1588" s="47"/>
      <c r="O1588" s="47"/>
      <c r="P1588" s="45" t="str">
        <f aca="false">IF($A1588="","",IF(COUNTIF(Accounts!$C$2:$C$201,$A1588)+COUNTIF('Service Principals'!$C$2:$C$201,$A1588)+COUNTIF('Managed Identities'!$C$2:$C$201,$A1588)&gt;0,"Yes","NOT IN INVENTORY"))</f>
        <v/>
      </c>
    </row>
    <row r="1589" customFormat="false" ht="15" hidden="false" customHeight="false" outlineLevel="0" collapsed="false">
      <c r="A1589" s="46"/>
      <c r="B1589" s="47"/>
      <c r="C1589" s="47"/>
      <c r="D1589" s="46"/>
      <c r="E1589" s="47"/>
      <c r="F1589" s="47"/>
      <c r="G1589" s="47"/>
      <c r="H1589" s="46"/>
      <c r="I1589" s="47"/>
      <c r="J1589" s="47"/>
      <c r="K1589" s="47"/>
      <c r="L1589" s="47"/>
      <c r="M1589" s="47"/>
      <c r="N1589" s="47"/>
      <c r="O1589" s="47"/>
      <c r="P1589" s="45" t="str">
        <f aca="false">IF($A1589="","",IF(COUNTIF(Accounts!$C$2:$C$201,$A1589)+COUNTIF('Service Principals'!$C$2:$C$201,$A1589)+COUNTIF('Managed Identities'!$C$2:$C$201,$A1589)&gt;0,"Yes","NOT IN INVENTORY"))</f>
        <v/>
      </c>
    </row>
    <row r="1590" customFormat="false" ht="15" hidden="false" customHeight="false" outlineLevel="0" collapsed="false">
      <c r="A1590" s="46"/>
      <c r="B1590" s="47"/>
      <c r="C1590" s="47"/>
      <c r="D1590" s="46"/>
      <c r="E1590" s="47"/>
      <c r="F1590" s="47"/>
      <c r="G1590" s="47"/>
      <c r="H1590" s="46"/>
      <c r="I1590" s="47"/>
      <c r="J1590" s="47"/>
      <c r="K1590" s="47"/>
      <c r="L1590" s="47"/>
      <c r="M1590" s="47"/>
      <c r="N1590" s="47"/>
      <c r="O1590" s="47"/>
      <c r="P1590" s="45" t="str">
        <f aca="false">IF($A1590="","",IF(COUNTIF(Accounts!$C$2:$C$201,$A1590)+COUNTIF('Service Principals'!$C$2:$C$201,$A1590)+COUNTIF('Managed Identities'!$C$2:$C$201,$A1590)&gt;0,"Yes","NOT IN INVENTORY"))</f>
        <v/>
      </c>
    </row>
    <row r="1591" customFormat="false" ht="15" hidden="false" customHeight="false" outlineLevel="0" collapsed="false">
      <c r="A1591" s="46"/>
      <c r="B1591" s="47"/>
      <c r="C1591" s="47"/>
      <c r="D1591" s="46"/>
      <c r="E1591" s="47"/>
      <c r="F1591" s="47"/>
      <c r="G1591" s="47"/>
      <c r="H1591" s="46"/>
      <c r="I1591" s="47"/>
      <c r="J1591" s="47"/>
      <c r="K1591" s="47"/>
      <c r="L1591" s="47"/>
      <c r="M1591" s="47"/>
      <c r="N1591" s="47"/>
      <c r="O1591" s="47"/>
      <c r="P1591" s="45" t="str">
        <f aca="false">IF($A1591="","",IF(COUNTIF(Accounts!$C$2:$C$201,$A1591)+COUNTIF('Service Principals'!$C$2:$C$201,$A1591)+COUNTIF('Managed Identities'!$C$2:$C$201,$A1591)&gt;0,"Yes","NOT IN INVENTORY"))</f>
        <v/>
      </c>
    </row>
    <row r="1592" customFormat="false" ht="15" hidden="false" customHeight="false" outlineLevel="0" collapsed="false">
      <c r="A1592" s="46"/>
      <c r="B1592" s="47"/>
      <c r="C1592" s="47"/>
      <c r="D1592" s="46"/>
      <c r="E1592" s="47"/>
      <c r="F1592" s="47"/>
      <c r="G1592" s="47"/>
      <c r="H1592" s="46"/>
      <c r="I1592" s="47"/>
      <c r="J1592" s="47"/>
      <c r="K1592" s="47"/>
      <c r="L1592" s="47"/>
      <c r="M1592" s="47"/>
      <c r="N1592" s="47"/>
      <c r="O1592" s="47"/>
      <c r="P1592" s="45" t="str">
        <f aca="false">IF($A1592="","",IF(COUNTIF(Accounts!$C$2:$C$201,$A1592)+COUNTIF('Service Principals'!$C$2:$C$201,$A1592)+COUNTIF('Managed Identities'!$C$2:$C$201,$A1592)&gt;0,"Yes","NOT IN INVENTORY"))</f>
        <v/>
      </c>
    </row>
    <row r="1593" customFormat="false" ht="15" hidden="false" customHeight="false" outlineLevel="0" collapsed="false">
      <c r="A1593" s="46"/>
      <c r="B1593" s="47"/>
      <c r="C1593" s="47"/>
      <c r="D1593" s="46"/>
      <c r="E1593" s="47"/>
      <c r="F1593" s="47"/>
      <c r="G1593" s="47"/>
      <c r="H1593" s="46"/>
      <c r="I1593" s="47"/>
      <c r="J1593" s="47"/>
      <c r="K1593" s="47"/>
      <c r="L1593" s="47"/>
      <c r="M1593" s="47"/>
      <c r="N1593" s="47"/>
      <c r="O1593" s="47"/>
      <c r="P1593" s="45" t="str">
        <f aca="false">IF($A1593="","",IF(COUNTIF(Accounts!$C$2:$C$201,$A1593)+COUNTIF('Service Principals'!$C$2:$C$201,$A1593)+COUNTIF('Managed Identities'!$C$2:$C$201,$A1593)&gt;0,"Yes","NOT IN INVENTORY"))</f>
        <v/>
      </c>
    </row>
    <row r="1594" customFormat="false" ht="15" hidden="false" customHeight="false" outlineLevel="0" collapsed="false">
      <c r="A1594" s="46"/>
      <c r="B1594" s="47"/>
      <c r="C1594" s="47"/>
      <c r="D1594" s="46"/>
      <c r="E1594" s="47"/>
      <c r="F1594" s="47"/>
      <c r="G1594" s="47"/>
      <c r="H1594" s="46"/>
      <c r="I1594" s="47"/>
      <c r="J1594" s="47"/>
      <c r="K1594" s="47"/>
      <c r="L1594" s="47"/>
      <c r="M1594" s="47"/>
      <c r="N1594" s="47"/>
      <c r="O1594" s="47"/>
      <c r="P1594" s="45" t="str">
        <f aca="false">IF($A1594="","",IF(COUNTIF(Accounts!$C$2:$C$201,$A1594)+COUNTIF('Service Principals'!$C$2:$C$201,$A1594)+COUNTIF('Managed Identities'!$C$2:$C$201,$A1594)&gt;0,"Yes","NOT IN INVENTORY"))</f>
        <v/>
      </c>
    </row>
    <row r="1595" customFormat="false" ht="15" hidden="false" customHeight="false" outlineLevel="0" collapsed="false">
      <c r="A1595" s="46"/>
      <c r="B1595" s="47"/>
      <c r="C1595" s="47"/>
      <c r="D1595" s="46"/>
      <c r="E1595" s="47"/>
      <c r="F1595" s="47"/>
      <c r="G1595" s="47"/>
      <c r="H1595" s="46"/>
      <c r="I1595" s="47"/>
      <c r="J1595" s="47"/>
      <c r="K1595" s="47"/>
      <c r="L1595" s="47"/>
      <c r="M1595" s="47"/>
      <c r="N1595" s="47"/>
      <c r="O1595" s="47"/>
      <c r="P1595" s="45" t="str">
        <f aca="false">IF($A1595="","",IF(COUNTIF(Accounts!$C$2:$C$201,$A1595)+COUNTIF('Service Principals'!$C$2:$C$201,$A1595)+COUNTIF('Managed Identities'!$C$2:$C$201,$A1595)&gt;0,"Yes","NOT IN INVENTORY"))</f>
        <v/>
      </c>
    </row>
    <row r="1596" customFormat="false" ht="15" hidden="false" customHeight="false" outlineLevel="0" collapsed="false">
      <c r="A1596" s="46"/>
      <c r="B1596" s="47"/>
      <c r="C1596" s="47"/>
      <c r="D1596" s="46"/>
      <c r="E1596" s="47"/>
      <c r="F1596" s="47"/>
      <c r="G1596" s="47"/>
      <c r="H1596" s="46"/>
      <c r="I1596" s="47"/>
      <c r="J1596" s="47"/>
      <c r="K1596" s="47"/>
      <c r="L1596" s="47"/>
      <c r="M1596" s="47"/>
      <c r="N1596" s="47"/>
      <c r="O1596" s="47"/>
      <c r="P1596" s="45" t="str">
        <f aca="false">IF($A1596="","",IF(COUNTIF(Accounts!$C$2:$C$201,$A1596)+COUNTIF('Service Principals'!$C$2:$C$201,$A1596)+COUNTIF('Managed Identities'!$C$2:$C$201,$A1596)&gt;0,"Yes","NOT IN INVENTORY"))</f>
        <v/>
      </c>
    </row>
    <row r="1597" customFormat="false" ht="15" hidden="false" customHeight="false" outlineLevel="0" collapsed="false">
      <c r="A1597" s="46"/>
      <c r="B1597" s="47"/>
      <c r="C1597" s="47"/>
      <c r="D1597" s="46"/>
      <c r="E1597" s="47"/>
      <c r="F1597" s="47"/>
      <c r="G1597" s="47"/>
      <c r="H1597" s="46"/>
      <c r="I1597" s="47"/>
      <c r="J1597" s="47"/>
      <c r="K1597" s="47"/>
      <c r="L1597" s="47"/>
      <c r="M1597" s="47"/>
      <c r="N1597" s="47"/>
      <c r="O1597" s="47"/>
      <c r="P1597" s="45" t="str">
        <f aca="false">IF($A1597="","",IF(COUNTIF(Accounts!$C$2:$C$201,$A1597)+COUNTIF('Service Principals'!$C$2:$C$201,$A1597)+COUNTIF('Managed Identities'!$C$2:$C$201,$A1597)&gt;0,"Yes","NOT IN INVENTORY"))</f>
        <v/>
      </c>
    </row>
    <row r="1598" customFormat="false" ht="15" hidden="false" customHeight="false" outlineLevel="0" collapsed="false">
      <c r="A1598" s="46"/>
      <c r="B1598" s="47"/>
      <c r="C1598" s="47"/>
      <c r="D1598" s="46"/>
      <c r="E1598" s="47"/>
      <c r="F1598" s="47"/>
      <c r="G1598" s="47"/>
      <c r="H1598" s="46"/>
      <c r="I1598" s="47"/>
      <c r="J1598" s="47"/>
      <c r="K1598" s="47"/>
      <c r="L1598" s="47"/>
      <c r="M1598" s="47"/>
      <c r="N1598" s="47"/>
      <c r="O1598" s="47"/>
      <c r="P1598" s="45" t="str">
        <f aca="false">IF($A1598="","",IF(COUNTIF(Accounts!$C$2:$C$201,$A1598)+COUNTIF('Service Principals'!$C$2:$C$201,$A1598)+COUNTIF('Managed Identities'!$C$2:$C$201,$A1598)&gt;0,"Yes","NOT IN INVENTORY"))</f>
        <v/>
      </c>
    </row>
    <row r="1599" customFormat="false" ht="15" hidden="false" customHeight="false" outlineLevel="0" collapsed="false">
      <c r="A1599" s="46"/>
      <c r="B1599" s="47"/>
      <c r="C1599" s="47"/>
      <c r="D1599" s="46"/>
      <c r="E1599" s="47"/>
      <c r="F1599" s="47"/>
      <c r="G1599" s="47"/>
      <c r="H1599" s="46"/>
      <c r="I1599" s="47"/>
      <c r="J1599" s="47"/>
      <c r="K1599" s="47"/>
      <c r="L1599" s="47"/>
      <c r="M1599" s="47"/>
      <c r="N1599" s="47"/>
      <c r="O1599" s="47"/>
      <c r="P1599" s="45" t="str">
        <f aca="false">IF($A1599="","",IF(COUNTIF(Accounts!$C$2:$C$201,$A1599)+COUNTIF('Service Principals'!$C$2:$C$201,$A1599)+COUNTIF('Managed Identities'!$C$2:$C$201,$A1599)&gt;0,"Yes","NOT IN INVENTORY"))</f>
        <v/>
      </c>
    </row>
    <row r="1600" customFormat="false" ht="15" hidden="false" customHeight="false" outlineLevel="0" collapsed="false">
      <c r="A1600" s="46"/>
      <c r="B1600" s="47"/>
      <c r="C1600" s="47"/>
      <c r="D1600" s="46"/>
      <c r="E1600" s="47"/>
      <c r="F1600" s="47"/>
      <c r="G1600" s="47"/>
      <c r="H1600" s="46"/>
      <c r="I1600" s="47"/>
      <c r="J1600" s="47"/>
      <c r="K1600" s="47"/>
      <c r="L1600" s="47"/>
      <c r="M1600" s="47"/>
      <c r="N1600" s="47"/>
      <c r="O1600" s="47"/>
      <c r="P1600" s="45" t="str">
        <f aca="false">IF($A1600="","",IF(COUNTIF(Accounts!$C$2:$C$201,$A1600)+COUNTIF('Service Principals'!$C$2:$C$201,$A1600)+COUNTIF('Managed Identities'!$C$2:$C$201,$A1600)&gt;0,"Yes","NOT IN INVENTORY"))</f>
        <v/>
      </c>
    </row>
    <row r="1601" customFormat="false" ht="15" hidden="false" customHeight="false" outlineLevel="0" collapsed="false">
      <c r="A1601" s="46"/>
      <c r="B1601" s="47"/>
      <c r="C1601" s="47"/>
      <c r="D1601" s="46"/>
      <c r="E1601" s="47"/>
      <c r="F1601" s="47"/>
      <c r="G1601" s="47"/>
      <c r="H1601" s="46"/>
      <c r="I1601" s="47"/>
      <c r="J1601" s="47"/>
      <c r="K1601" s="47"/>
      <c r="L1601" s="47"/>
      <c r="M1601" s="47"/>
      <c r="N1601" s="47"/>
      <c r="O1601" s="47"/>
      <c r="P1601" s="45" t="str">
        <f aca="false">IF($A1601="","",IF(COUNTIF(Accounts!$C$2:$C$201,$A1601)+COUNTIF('Service Principals'!$C$2:$C$201,$A1601)+COUNTIF('Managed Identities'!$C$2:$C$201,$A1601)&gt;0,"Yes","NOT IN INVENTORY"))</f>
        <v/>
      </c>
    </row>
    <row r="1602" customFormat="false" ht="15" hidden="false" customHeight="false" outlineLevel="0" collapsed="false">
      <c r="A1602" s="46"/>
      <c r="B1602" s="47"/>
      <c r="C1602" s="47"/>
      <c r="D1602" s="46"/>
      <c r="E1602" s="47"/>
      <c r="F1602" s="47"/>
      <c r="G1602" s="47"/>
      <c r="H1602" s="46"/>
      <c r="I1602" s="47"/>
      <c r="J1602" s="47"/>
      <c r="K1602" s="47"/>
      <c r="L1602" s="47"/>
      <c r="M1602" s="47"/>
      <c r="N1602" s="47"/>
      <c r="O1602" s="47"/>
      <c r="P1602" s="45" t="str">
        <f aca="false">IF($A1602="","",IF(COUNTIF(Accounts!$C$2:$C$201,$A1602)+COUNTIF('Service Principals'!$C$2:$C$201,$A1602)+COUNTIF('Managed Identities'!$C$2:$C$201,$A1602)&gt;0,"Yes","NOT IN INVENTORY"))</f>
        <v/>
      </c>
    </row>
    <row r="1603" customFormat="false" ht="15" hidden="false" customHeight="false" outlineLevel="0" collapsed="false">
      <c r="A1603" s="46"/>
      <c r="B1603" s="47"/>
      <c r="C1603" s="47"/>
      <c r="D1603" s="46"/>
      <c r="E1603" s="47"/>
      <c r="F1603" s="47"/>
      <c r="G1603" s="47"/>
      <c r="H1603" s="46"/>
      <c r="I1603" s="47"/>
      <c r="J1603" s="47"/>
      <c r="K1603" s="47"/>
      <c r="L1603" s="47"/>
      <c r="M1603" s="47"/>
      <c r="N1603" s="47"/>
      <c r="O1603" s="47"/>
      <c r="P1603" s="45" t="str">
        <f aca="false">IF($A1603="","",IF(COUNTIF(Accounts!$C$2:$C$201,$A1603)+COUNTIF('Service Principals'!$C$2:$C$201,$A1603)+COUNTIF('Managed Identities'!$C$2:$C$201,$A1603)&gt;0,"Yes","NOT IN INVENTORY"))</f>
        <v/>
      </c>
    </row>
    <row r="1604" customFormat="false" ht="15" hidden="false" customHeight="false" outlineLevel="0" collapsed="false">
      <c r="A1604" s="46"/>
      <c r="B1604" s="47"/>
      <c r="C1604" s="47"/>
      <c r="D1604" s="46"/>
      <c r="E1604" s="47"/>
      <c r="F1604" s="47"/>
      <c r="G1604" s="47"/>
      <c r="H1604" s="46"/>
      <c r="I1604" s="47"/>
      <c r="J1604" s="47"/>
      <c r="K1604" s="47"/>
      <c r="L1604" s="47"/>
      <c r="M1604" s="47"/>
      <c r="N1604" s="47"/>
      <c r="O1604" s="47"/>
      <c r="P1604" s="45" t="str">
        <f aca="false">IF($A1604="","",IF(COUNTIF(Accounts!$C$2:$C$201,$A1604)+COUNTIF('Service Principals'!$C$2:$C$201,$A1604)+COUNTIF('Managed Identities'!$C$2:$C$201,$A1604)&gt;0,"Yes","NOT IN INVENTORY"))</f>
        <v/>
      </c>
    </row>
    <row r="1605" customFormat="false" ht="15" hidden="false" customHeight="false" outlineLevel="0" collapsed="false">
      <c r="A1605" s="46"/>
      <c r="B1605" s="47"/>
      <c r="C1605" s="47"/>
      <c r="D1605" s="46"/>
      <c r="E1605" s="47"/>
      <c r="F1605" s="47"/>
      <c r="G1605" s="47"/>
      <c r="H1605" s="46"/>
      <c r="I1605" s="47"/>
      <c r="J1605" s="47"/>
      <c r="K1605" s="47"/>
      <c r="L1605" s="47"/>
      <c r="M1605" s="47"/>
      <c r="N1605" s="47"/>
      <c r="O1605" s="47"/>
      <c r="P1605" s="45" t="str">
        <f aca="false">IF($A1605="","",IF(COUNTIF(Accounts!$C$2:$C$201,$A1605)+COUNTIF('Service Principals'!$C$2:$C$201,$A1605)+COUNTIF('Managed Identities'!$C$2:$C$201,$A1605)&gt;0,"Yes","NOT IN INVENTORY"))</f>
        <v/>
      </c>
    </row>
    <row r="1606" customFormat="false" ht="15" hidden="false" customHeight="false" outlineLevel="0" collapsed="false">
      <c r="A1606" s="46"/>
      <c r="B1606" s="47"/>
      <c r="C1606" s="47"/>
      <c r="D1606" s="46"/>
      <c r="E1606" s="47"/>
      <c r="F1606" s="47"/>
      <c r="G1606" s="47"/>
      <c r="H1606" s="46"/>
      <c r="I1606" s="47"/>
      <c r="J1606" s="47"/>
      <c r="K1606" s="47"/>
      <c r="L1606" s="47"/>
      <c r="M1606" s="47"/>
      <c r="N1606" s="47"/>
      <c r="O1606" s="47"/>
      <c r="P1606" s="45" t="str">
        <f aca="false">IF($A1606="","",IF(COUNTIF(Accounts!$C$2:$C$201,$A1606)+COUNTIF('Service Principals'!$C$2:$C$201,$A1606)+COUNTIF('Managed Identities'!$C$2:$C$201,$A1606)&gt;0,"Yes","NOT IN INVENTORY"))</f>
        <v/>
      </c>
    </row>
    <row r="1607" customFormat="false" ht="15" hidden="false" customHeight="false" outlineLevel="0" collapsed="false">
      <c r="A1607" s="46"/>
      <c r="B1607" s="47"/>
      <c r="C1607" s="47"/>
      <c r="D1607" s="46"/>
      <c r="E1607" s="47"/>
      <c r="F1607" s="47"/>
      <c r="G1607" s="47"/>
      <c r="H1607" s="46"/>
      <c r="I1607" s="47"/>
      <c r="J1607" s="47"/>
      <c r="K1607" s="47"/>
      <c r="L1607" s="47"/>
      <c r="M1607" s="47"/>
      <c r="N1607" s="47"/>
      <c r="O1607" s="47"/>
      <c r="P1607" s="45" t="str">
        <f aca="false">IF($A1607="","",IF(COUNTIF(Accounts!$C$2:$C$201,$A1607)+COUNTIF('Service Principals'!$C$2:$C$201,$A1607)+COUNTIF('Managed Identities'!$C$2:$C$201,$A1607)&gt;0,"Yes","NOT IN INVENTORY"))</f>
        <v/>
      </c>
    </row>
    <row r="1608" customFormat="false" ht="15" hidden="false" customHeight="false" outlineLevel="0" collapsed="false">
      <c r="A1608" s="46"/>
      <c r="B1608" s="47"/>
      <c r="C1608" s="47"/>
      <c r="D1608" s="46"/>
      <c r="E1608" s="47"/>
      <c r="F1608" s="47"/>
      <c r="G1608" s="47"/>
      <c r="H1608" s="46"/>
      <c r="I1608" s="47"/>
      <c r="J1608" s="47"/>
      <c r="K1608" s="47"/>
      <c r="L1608" s="47"/>
      <c r="M1608" s="47"/>
      <c r="N1608" s="47"/>
      <c r="O1608" s="47"/>
      <c r="P1608" s="45" t="str">
        <f aca="false">IF($A1608="","",IF(COUNTIF(Accounts!$C$2:$C$201,$A1608)+COUNTIF('Service Principals'!$C$2:$C$201,$A1608)+COUNTIF('Managed Identities'!$C$2:$C$201,$A1608)&gt;0,"Yes","NOT IN INVENTORY"))</f>
        <v/>
      </c>
    </row>
    <row r="1609" customFormat="false" ht="15" hidden="false" customHeight="false" outlineLevel="0" collapsed="false">
      <c r="A1609" s="46"/>
      <c r="B1609" s="47"/>
      <c r="C1609" s="47"/>
      <c r="D1609" s="46"/>
      <c r="E1609" s="47"/>
      <c r="F1609" s="47"/>
      <c r="G1609" s="47"/>
      <c r="H1609" s="46"/>
      <c r="I1609" s="47"/>
      <c r="J1609" s="47"/>
      <c r="K1609" s="47"/>
      <c r="L1609" s="47"/>
      <c r="M1609" s="47"/>
      <c r="N1609" s="47"/>
      <c r="O1609" s="47"/>
      <c r="P1609" s="45" t="str">
        <f aca="false">IF($A1609="","",IF(COUNTIF(Accounts!$C$2:$C$201,$A1609)+COUNTIF('Service Principals'!$C$2:$C$201,$A1609)+COUNTIF('Managed Identities'!$C$2:$C$201,$A1609)&gt;0,"Yes","NOT IN INVENTORY"))</f>
        <v/>
      </c>
    </row>
    <row r="1610" customFormat="false" ht="15" hidden="false" customHeight="false" outlineLevel="0" collapsed="false">
      <c r="A1610" s="46"/>
      <c r="B1610" s="47"/>
      <c r="C1610" s="47"/>
      <c r="D1610" s="46"/>
      <c r="E1610" s="47"/>
      <c r="F1610" s="47"/>
      <c r="G1610" s="47"/>
      <c r="H1610" s="46"/>
      <c r="I1610" s="47"/>
      <c r="J1610" s="47"/>
      <c r="K1610" s="47"/>
      <c r="L1610" s="47"/>
      <c r="M1610" s="47"/>
      <c r="N1610" s="47"/>
      <c r="O1610" s="47"/>
      <c r="P1610" s="45" t="str">
        <f aca="false">IF($A1610="","",IF(COUNTIF(Accounts!$C$2:$C$201,$A1610)+COUNTIF('Service Principals'!$C$2:$C$201,$A1610)+COUNTIF('Managed Identities'!$C$2:$C$201,$A1610)&gt;0,"Yes","NOT IN INVENTORY"))</f>
        <v/>
      </c>
    </row>
    <row r="1611" customFormat="false" ht="15" hidden="false" customHeight="false" outlineLevel="0" collapsed="false">
      <c r="A1611" s="46"/>
      <c r="B1611" s="47"/>
      <c r="C1611" s="47"/>
      <c r="D1611" s="46"/>
      <c r="E1611" s="47"/>
      <c r="F1611" s="47"/>
      <c r="G1611" s="47"/>
      <c r="H1611" s="46"/>
      <c r="I1611" s="47"/>
      <c r="J1611" s="47"/>
      <c r="K1611" s="47"/>
      <c r="L1611" s="47"/>
      <c r="M1611" s="47"/>
      <c r="N1611" s="47"/>
      <c r="O1611" s="47"/>
      <c r="P1611" s="45" t="str">
        <f aca="false">IF($A1611="","",IF(COUNTIF(Accounts!$C$2:$C$201,$A1611)+COUNTIF('Service Principals'!$C$2:$C$201,$A1611)+COUNTIF('Managed Identities'!$C$2:$C$201,$A1611)&gt;0,"Yes","NOT IN INVENTORY"))</f>
        <v/>
      </c>
    </row>
    <row r="1612" customFormat="false" ht="15" hidden="false" customHeight="false" outlineLevel="0" collapsed="false">
      <c r="A1612" s="46"/>
      <c r="B1612" s="47"/>
      <c r="C1612" s="47"/>
      <c r="D1612" s="46"/>
      <c r="E1612" s="47"/>
      <c r="F1612" s="47"/>
      <c r="G1612" s="47"/>
      <c r="H1612" s="46"/>
      <c r="I1612" s="47"/>
      <c r="J1612" s="47"/>
      <c r="K1612" s="47"/>
      <c r="L1612" s="47"/>
      <c r="M1612" s="47"/>
      <c r="N1612" s="47"/>
      <c r="O1612" s="47"/>
      <c r="P1612" s="45" t="str">
        <f aca="false">IF($A1612="","",IF(COUNTIF(Accounts!$C$2:$C$201,$A1612)+COUNTIF('Service Principals'!$C$2:$C$201,$A1612)+COUNTIF('Managed Identities'!$C$2:$C$201,$A1612)&gt;0,"Yes","NOT IN INVENTORY"))</f>
        <v/>
      </c>
    </row>
    <row r="1613" customFormat="false" ht="15" hidden="false" customHeight="false" outlineLevel="0" collapsed="false">
      <c r="A1613" s="46"/>
      <c r="B1613" s="47"/>
      <c r="C1613" s="47"/>
      <c r="D1613" s="46"/>
      <c r="E1613" s="47"/>
      <c r="F1613" s="47"/>
      <c r="G1613" s="47"/>
      <c r="H1613" s="46"/>
      <c r="I1613" s="47"/>
      <c r="J1613" s="47"/>
      <c r="K1613" s="47"/>
      <c r="L1613" s="47"/>
      <c r="M1613" s="47"/>
      <c r="N1613" s="47"/>
      <c r="O1613" s="47"/>
      <c r="P1613" s="45" t="str">
        <f aca="false">IF($A1613="","",IF(COUNTIF(Accounts!$C$2:$C$201,$A1613)+COUNTIF('Service Principals'!$C$2:$C$201,$A1613)+COUNTIF('Managed Identities'!$C$2:$C$201,$A1613)&gt;0,"Yes","NOT IN INVENTORY"))</f>
        <v/>
      </c>
    </row>
    <row r="1614" customFormat="false" ht="15" hidden="false" customHeight="false" outlineLevel="0" collapsed="false">
      <c r="A1614" s="46"/>
      <c r="B1614" s="47"/>
      <c r="C1614" s="47"/>
      <c r="D1614" s="46"/>
      <c r="E1614" s="47"/>
      <c r="F1614" s="47"/>
      <c r="G1614" s="47"/>
      <c r="H1614" s="46"/>
      <c r="I1614" s="47"/>
      <c r="J1614" s="47"/>
      <c r="K1614" s="47"/>
      <c r="L1614" s="47"/>
      <c r="M1614" s="47"/>
      <c r="N1614" s="47"/>
      <c r="O1614" s="47"/>
      <c r="P1614" s="45" t="str">
        <f aca="false">IF($A1614="","",IF(COUNTIF(Accounts!$C$2:$C$201,$A1614)+COUNTIF('Service Principals'!$C$2:$C$201,$A1614)+COUNTIF('Managed Identities'!$C$2:$C$201,$A1614)&gt;0,"Yes","NOT IN INVENTORY"))</f>
        <v/>
      </c>
    </row>
    <row r="1615" customFormat="false" ht="15" hidden="false" customHeight="false" outlineLevel="0" collapsed="false">
      <c r="A1615" s="46"/>
      <c r="B1615" s="47"/>
      <c r="C1615" s="47"/>
      <c r="D1615" s="46"/>
      <c r="E1615" s="47"/>
      <c r="F1615" s="47"/>
      <c r="G1615" s="47"/>
      <c r="H1615" s="46"/>
      <c r="I1615" s="47"/>
      <c r="J1615" s="47"/>
      <c r="K1615" s="47"/>
      <c r="L1615" s="47"/>
      <c r="M1615" s="47"/>
      <c r="N1615" s="47"/>
      <c r="O1615" s="47"/>
      <c r="P1615" s="45" t="str">
        <f aca="false">IF($A1615="","",IF(COUNTIF(Accounts!$C$2:$C$201,$A1615)+COUNTIF('Service Principals'!$C$2:$C$201,$A1615)+COUNTIF('Managed Identities'!$C$2:$C$201,$A1615)&gt;0,"Yes","NOT IN INVENTORY"))</f>
        <v/>
      </c>
    </row>
    <row r="1616" customFormat="false" ht="15" hidden="false" customHeight="false" outlineLevel="0" collapsed="false">
      <c r="A1616" s="46"/>
      <c r="B1616" s="47"/>
      <c r="C1616" s="47"/>
      <c r="D1616" s="46"/>
      <c r="E1616" s="47"/>
      <c r="F1616" s="47"/>
      <c r="G1616" s="47"/>
      <c r="H1616" s="46"/>
      <c r="I1616" s="47"/>
      <c r="J1616" s="47"/>
      <c r="K1616" s="47"/>
      <c r="L1616" s="47"/>
      <c r="M1616" s="47"/>
      <c r="N1616" s="47"/>
      <c r="O1616" s="47"/>
      <c r="P1616" s="45" t="str">
        <f aca="false">IF($A1616="","",IF(COUNTIF(Accounts!$C$2:$C$201,$A1616)+COUNTIF('Service Principals'!$C$2:$C$201,$A1616)+COUNTIF('Managed Identities'!$C$2:$C$201,$A1616)&gt;0,"Yes","NOT IN INVENTORY"))</f>
        <v/>
      </c>
    </row>
    <row r="1617" customFormat="false" ht="15" hidden="false" customHeight="false" outlineLevel="0" collapsed="false">
      <c r="A1617" s="46"/>
      <c r="B1617" s="47"/>
      <c r="C1617" s="47"/>
      <c r="D1617" s="46"/>
      <c r="E1617" s="47"/>
      <c r="F1617" s="47"/>
      <c r="G1617" s="47"/>
      <c r="H1617" s="46"/>
      <c r="I1617" s="47"/>
      <c r="J1617" s="47"/>
      <c r="K1617" s="47"/>
      <c r="L1617" s="47"/>
      <c r="M1617" s="47"/>
      <c r="N1617" s="47"/>
      <c r="O1617" s="47"/>
      <c r="P1617" s="45" t="str">
        <f aca="false">IF($A1617="","",IF(COUNTIF(Accounts!$C$2:$C$201,$A1617)+COUNTIF('Service Principals'!$C$2:$C$201,$A1617)+COUNTIF('Managed Identities'!$C$2:$C$201,$A1617)&gt;0,"Yes","NOT IN INVENTORY"))</f>
        <v/>
      </c>
    </row>
    <row r="1618" customFormat="false" ht="15" hidden="false" customHeight="false" outlineLevel="0" collapsed="false">
      <c r="A1618" s="46"/>
      <c r="B1618" s="47"/>
      <c r="C1618" s="47"/>
      <c r="D1618" s="46"/>
      <c r="E1618" s="47"/>
      <c r="F1618" s="47"/>
      <c r="G1618" s="47"/>
      <c r="H1618" s="46"/>
      <c r="I1618" s="47"/>
      <c r="J1618" s="47"/>
      <c r="K1618" s="47"/>
      <c r="L1618" s="47"/>
      <c r="M1618" s="47"/>
      <c r="N1618" s="47"/>
      <c r="O1618" s="47"/>
      <c r="P1618" s="45" t="str">
        <f aca="false">IF($A1618="","",IF(COUNTIF(Accounts!$C$2:$C$201,$A1618)+COUNTIF('Service Principals'!$C$2:$C$201,$A1618)+COUNTIF('Managed Identities'!$C$2:$C$201,$A1618)&gt;0,"Yes","NOT IN INVENTORY"))</f>
        <v/>
      </c>
    </row>
    <row r="1619" customFormat="false" ht="15" hidden="false" customHeight="false" outlineLevel="0" collapsed="false">
      <c r="A1619" s="46"/>
      <c r="B1619" s="47"/>
      <c r="C1619" s="47"/>
      <c r="D1619" s="46"/>
      <c r="E1619" s="47"/>
      <c r="F1619" s="47"/>
      <c r="G1619" s="47"/>
      <c r="H1619" s="46"/>
      <c r="I1619" s="47"/>
      <c r="J1619" s="47"/>
      <c r="K1619" s="47"/>
      <c r="L1619" s="47"/>
      <c r="M1619" s="47"/>
      <c r="N1619" s="47"/>
      <c r="O1619" s="47"/>
      <c r="P1619" s="45" t="str">
        <f aca="false">IF($A1619="","",IF(COUNTIF(Accounts!$C$2:$C$201,$A1619)+COUNTIF('Service Principals'!$C$2:$C$201,$A1619)+COUNTIF('Managed Identities'!$C$2:$C$201,$A1619)&gt;0,"Yes","NOT IN INVENTORY"))</f>
        <v/>
      </c>
    </row>
    <row r="1620" customFormat="false" ht="15" hidden="false" customHeight="false" outlineLevel="0" collapsed="false">
      <c r="A1620" s="46"/>
      <c r="B1620" s="47"/>
      <c r="C1620" s="47"/>
      <c r="D1620" s="46"/>
      <c r="E1620" s="47"/>
      <c r="F1620" s="47"/>
      <c r="G1620" s="47"/>
      <c r="H1620" s="46"/>
      <c r="I1620" s="47"/>
      <c r="J1620" s="47"/>
      <c r="K1620" s="47"/>
      <c r="L1620" s="47"/>
      <c r="M1620" s="47"/>
      <c r="N1620" s="47"/>
      <c r="O1620" s="47"/>
      <c r="P1620" s="45" t="str">
        <f aca="false">IF($A1620="","",IF(COUNTIF(Accounts!$C$2:$C$201,$A1620)+COUNTIF('Service Principals'!$C$2:$C$201,$A1620)+COUNTIF('Managed Identities'!$C$2:$C$201,$A1620)&gt;0,"Yes","NOT IN INVENTORY"))</f>
        <v/>
      </c>
    </row>
    <row r="1621" customFormat="false" ht="15" hidden="false" customHeight="false" outlineLevel="0" collapsed="false">
      <c r="A1621" s="46"/>
      <c r="B1621" s="47"/>
      <c r="C1621" s="47"/>
      <c r="D1621" s="46"/>
      <c r="E1621" s="47"/>
      <c r="F1621" s="47"/>
      <c r="G1621" s="47"/>
      <c r="H1621" s="46"/>
      <c r="I1621" s="47"/>
      <c r="J1621" s="47"/>
      <c r="K1621" s="47"/>
      <c r="L1621" s="47"/>
      <c r="M1621" s="47"/>
      <c r="N1621" s="47"/>
      <c r="O1621" s="47"/>
      <c r="P1621" s="45" t="str">
        <f aca="false">IF($A1621="","",IF(COUNTIF(Accounts!$C$2:$C$201,$A1621)+COUNTIF('Service Principals'!$C$2:$C$201,$A1621)+COUNTIF('Managed Identities'!$C$2:$C$201,$A1621)&gt;0,"Yes","NOT IN INVENTORY"))</f>
        <v/>
      </c>
    </row>
    <row r="1622" customFormat="false" ht="15" hidden="false" customHeight="false" outlineLevel="0" collapsed="false">
      <c r="A1622" s="46"/>
      <c r="B1622" s="47"/>
      <c r="C1622" s="47"/>
      <c r="D1622" s="46"/>
      <c r="E1622" s="47"/>
      <c r="F1622" s="47"/>
      <c r="G1622" s="47"/>
      <c r="H1622" s="46"/>
      <c r="I1622" s="47"/>
      <c r="J1622" s="47"/>
      <c r="K1622" s="47"/>
      <c r="L1622" s="47"/>
      <c r="M1622" s="47"/>
      <c r="N1622" s="47"/>
      <c r="O1622" s="47"/>
      <c r="P1622" s="45" t="str">
        <f aca="false">IF($A1622="","",IF(COUNTIF(Accounts!$C$2:$C$201,$A1622)+COUNTIF('Service Principals'!$C$2:$C$201,$A1622)+COUNTIF('Managed Identities'!$C$2:$C$201,$A1622)&gt;0,"Yes","NOT IN INVENTORY"))</f>
        <v/>
      </c>
    </row>
    <row r="1623" customFormat="false" ht="15" hidden="false" customHeight="false" outlineLevel="0" collapsed="false">
      <c r="A1623" s="46"/>
      <c r="B1623" s="47"/>
      <c r="C1623" s="47"/>
      <c r="D1623" s="46"/>
      <c r="E1623" s="47"/>
      <c r="F1623" s="47"/>
      <c r="G1623" s="47"/>
      <c r="H1623" s="46"/>
      <c r="I1623" s="47"/>
      <c r="J1623" s="47"/>
      <c r="K1623" s="47"/>
      <c r="L1623" s="47"/>
      <c r="M1623" s="47"/>
      <c r="N1623" s="47"/>
      <c r="O1623" s="47"/>
      <c r="P1623" s="45" t="str">
        <f aca="false">IF($A1623="","",IF(COUNTIF(Accounts!$C$2:$C$201,$A1623)+COUNTIF('Service Principals'!$C$2:$C$201,$A1623)+COUNTIF('Managed Identities'!$C$2:$C$201,$A1623)&gt;0,"Yes","NOT IN INVENTORY"))</f>
        <v/>
      </c>
    </row>
    <row r="1624" customFormat="false" ht="15" hidden="false" customHeight="false" outlineLevel="0" collapsed="false">
      <c r="A1624" s="46"/>
      <c r="B1624" s="47"/>
      <c r="C1624" s="47"/>
      <c r="D1624" s="46"/>
      <c r="E1624" s="47"/>
      <c r="F1624" s="47"/>
      <c r="G1624" s="47"/>
      <c r="H1624" s="46"/>
      <c r="I1624" s="47"/>
      <c r="J1624" s="47"/>
      <c r="K1624" s="47"/>
      <c r="L1624" s="47"/>
      <c r="M1624" s="47"/>
      <c r="N1624" s="47"/>
      <c r="O1624" s="47"/>
      <c r="P1624" s="45" t="str">
        <f aca="false">IF($A1624="","",IF(COUNTIF(Accounts!$C$2:$C$201,$A1624)+COUNTIF('Service Principals'!$C$2:$C$201,$A1624)+COUNTIF('Managed Identities'!$C$2:$C$201,$A1624)&gt;0,"Yes","NOT IN INVENTORY"))</f>
        <v/>
      </c>
    </row>
    <row r="1625" customFormat="false" ht="15" hidden="false" customHeight="false" outlineLevel="0" collapsed="false">
      <c r="A1625" s="46"/>
      <c r="B1625" s="47"/>
      <c r="C1625" s="47"/>
      <c r="D1625" s="46"/>
      <c r="E1625" s="47"/>
      <c r="F1625" s="47"/>
      <c r="G1625" s="47"/>
      <c r="H1625" s="46"/>
      <c r="I1625" s="47"/>
      <c r="J1625" s="47"/>
      <c r="K1625" s="47"/>
      <c r="L1625" s="47"/>
      <c r="M1625" s="47"/>
      <c r="N1625" s="47"/>
      <c r="O1625" s="47"/>
      <c r="P1625" s="45" t="str">
        <f aca="false">IF($A1625="","",IF(COUNTIF(Accounts!$C$2:$C$201,$A1625)+COUNTIF('Service Principals'!$C$2:$C$201,$A1625)+COUNTIF('Managed Identities'!$C$2:$C$201,$A1625)&gt;0,"Yes","NOT IN INVENTORY"))</f>
        <v/>
      </c>
    </row>
    <row r="1626" customFormat="false" ht="15" hidden="false" customHeight="false" outlineLevel="0" collapsed="false">
      <c r="A1626" s="46"/>
      <c r="B1626" s="47"/>
      <c r="C1626" s="47"/>
      <c r="D1626" s="46"/>
      <c r="E1626" s="47"/>
      <c r="F1626" s="47"/>
      <c r="G1626" s="47"/>
      <c r="H1626" s="46"/>
      <c r="I1626" s="47"/>
      <c r="J1626" s="47"/>
      <c r="K1626" s="47"/>
      <c r="L1626" s="47"/>
      <c r="M1626" s="47"/>
      <c r="N1626" s="47"/>
      <c r="O1626" s="47"/>
      <c r="P1626" s="45" t="str">
        <f aca="false">IF($A1626="","",IF(COUNTIF(Accounts!$C$2:$C$201,$A1626)+COUNTIF('Service Principals'!$C$2:$C$201,$A1626)+COUNTIF('Managed Identities'!$C$2:$C$201,$A1626)&gt;0,"Yes","NOT IN INVENTORY"))</f>
        <v/>
      </c>
    </row>
    <row r="1627" customFormat="false" ht="15" hidden="false" customHeight="false" outlineLevel="0" collapsed="false">
      <c r="A1627" s="46"/>
      <c r="B1627" s="47"/>
      <c r="C1627" s="47"/>
      <c r="D1627" s="46"/>
      <c r="E1627" s="47"/>
      <c r="F1627" s="47"/>
      <c r="G1627" s="47"/>
      <c r="H1627" s="46"/>
      <c r="I1627" s="47"/>
      <c r="J1627" s="47"/>
      <c r="K1627" s="47"/>
      <c r="L1627" s="47"/>
      <c r="M1627" s="47"/>
      <c r="N1627" s="47"/>
      <c r="O1627" s="47"/>
      <c r="P1627" s="45" t="str">
        <f aca="false">IF($A1627="","",IF(COUNTIF(Accounts!$C$2:$C$201,$A1627)+COUNTIF('Service Principals'!$C$2:$C$201,$A1627)+COUNTIF('Managed Identities'!$C$2:$C$201,$A1627)&gt;0,"Yes","NOT IN INVENTORY"))</f>
        <v/>
      </c>
    </row>
    <row r="1628" customFormat="false" ht="15" hidden="false" customHeight="false" outlineLevel="0" collapsed="false">
      <c r="A1628" s="46"/>
      <c r="B1628" s="47"/>
      <c r="C1628" s="47"/>
      <c r="D1628" s="46"/>
      <c r="E1628" s="47"/>
      <c r="F1628" s="47"/>
      <c r="G1628" s="47"/>
      <c r="H1628" s="46"/>
      <c r="I1628" s="47"/>
      <c r="J1628" s="47"/>
      <c r="K1628" s="47"/>
      <c r="L1628" s="47"/>
      <c r="M1628" s="47"/>
      <c r="N1628" s="47"/>
      <c r="O1628" s="47"/>
      <c r="P1628" s="45" t="str">
        <f aca="false">IF($A1628="","",IF(COUNTIF(Accounts!$C$2:$C$201,$A1628)+COUNTIF('Service Principals'!$C$2:$C$201,$A1628)+COUNTIF('Managed Identities'!$C$2:$C$201,$A1628)&gt;0,"Yes","NOT IN INVENTORY"))</f>
        <v/>
      </c>
    </row>
    <row r="1629" customFormat="false" ht="15" hidden="false" customHeight="false" outlineLevel="0" collapsed="false">
      <c r="A1629" s="46"/>
      <c r="B1629" s="47"/>
      <c r="C1629" s="47"/>
      <c r="D1629" s="46"/>
      <c r="E1629" s="47"/>
      <c r="F1629" s="47"/>
      <c r="G1629" s="47"/>
      <c r="H1629" s="46"/>
      <c r="I1629" s="47"/>
      <c r="J1629" s="47"/>
      <c r="K1629" s="47"/>
      <c r="L1629" s="47"/>
      <c r="M1629" s="47"/>
      <c r="N1629" s="47"/>
      <c r="O1629" s="47"/>
      <c r="P1629" s="45" t="str">
        <f aca="false">IF($A1629="","",IF(COUNTIF(Accounts!$C$2:$C$201,$A1629)+COUNTIF('Service Principals'!$C$2:$C$201,$A1629)+COUNTIF('Managed Identities'!$C$2:$C$201,$A1629)&gt;0,"Yes","NOT IN INVENTORY"))</f>
        <v/>
      </c>
    </row>
    <row r="1630" customFormat="false" ht="15" hidden="false" customHeight="false" outlineLevel="0" collapsed="false">
      <c r="A1630" s="46"/>
      <c r="B1630" s="47"/>
      <c r="C1630" s="47"/>
      <c r="D1630" s="46"/>
      <c r="E1630" s="47"/>
      <c r="F1630" s="47"/>
      <c r="G1630" s="47"/>
      <c r="H1630" s="46"/>
      <c r="I1630" s="47"/>
      <c r="J1630" s="47"/>
      <c r="K1630" s="47"/>
      <c r="L1630" s="47"/>
      <c r="M1630" s="47"/>
      <c r="N1630" s="47"/>
      <c r="O1630" s="47"/>
      <c r="P1630" s="45" t="str">
        <f aca="false">IF($A1630="","",IF(COUNTIF(Accounts!$C$2:$C$201,$A1630)+COUNTIF('Service Principals'!$C$2:$C$201,$A1630)+COUNTIF('Managed Identities'!$C$2:$C$201,$A1630)&gt;0,"Yes","NOT IN INVENTORY"))</f>
        <v/>
      </c>
    </row>
    <row r="1631" customFormat="false" ht="15" hidden="false" customHeight="false" outlineLevel="0" collapsed="false">
      <c r="A1631" s="46"/>
      <c r="B1631" s="47"/>
      <c r="C1631" s="47"/>
      <c r="D1631" s="46"/>
      <c r="E1631" s="47"/>
      <c r="F1631" s="47"/>
      <c r="G1631" s="47"/>
      <c r="H1631" s="46"/>
      <c r="I1631" s="47"/>
      <c r="J1631" s="47"/>
      <c r="K1631" s="47"/>
      <c r="L1631" s="47"/>
      <c r="M1631" s="47"/>
      <c r="N1631" s="47"/>
      <c r="O1631" s="47"/>
      <c r="P1631" s="45" t="str">
        <f aca="false">IF($A1631="","",IF(COUNTIF(Accounts!$C$2:$C$201,$A1631)+COUNTIF('Service Principals'!$C$2:$C$201,$A1631)+COUNTIF('Managed Identities'!$C$2:$C$201,$A1631)&gt;0,"Yes","NOT IN INVENTORY"))</f>
        <v/>
      </c>
    </row>
    <row r="1632" customFormat="false" ht="15" hidden="false" customHeight="false" outlineLevel="0" collapsed="false">
      <c r="A1632" s="46"/>
      <c r="B1632" s="47"/>
      <c r="C1632" s="47"/>
      <c r="D1632" s="46"/>
      <c r="E1632" s="47"/>
      <c r="F1632" s="47"/>
      <c r="G1632" s="47"/>
      <c r="H1632" s="46"/>
      <c r="I1632" s="47"/>
      <c r="J1632" s="47"/>
      <c r="K1632" s="47"/>
      <c r="L1632" s="47"/>
      <c r="M1632" s="47"/>
      <c r="N1632" s="47"/>
      <c r="O1632" s="47"/>
      <c r="P1632" s="45" t="str">
        <f aca="false">IF($A1632="","",IF(COUNTIF(Accounts!$C$2:$C$201,$A1632)+COUNTIF('Service Principals'!$C$2:$C$201,$A1632)+COUNTIF('Managed Identities'!$C$2:$C$201,$A1632)&gt;0,"Yes","NOT IN INVENTORY"))</f>
        <v/>
      </c>
    </row>
    <row r="1633" customFormat="false" ht="15" hidden="false" customHeight="false" outlineLevel="0" collapsed="false">
      <c r="A1633" s="46"/>
      <c r="B1633" s="47"/>
      <c r="C1633" s="47"/>
      <c r="D1633" s="46"/>
      <c r="E1633" s="47"/>
      <c r="F1633" s="47"/>
      <c r="G1633" s="47"/>
      <c r="H1633" s="46"/>
      <c r="I1633" s="47"/>
      <c r="J1633" s="47"/>
      <c r="K1633" s="47"/>
      <c r="L1633" s="47"/>
      <c r="M1633" s="47"/>
      <c r="N1633" s="47"/>
      <c r="O1633" s="47"/>
      <c r="P1633" s="45" t="str">
        <f aca="false">IF($A1633="","",IF(COUNTIF(Accounts!$C$2:$C$201,$A1633)+COUNTIF('Service Principals'!$C$2:$C$201,$A1633)+COUNTIF('Managed Identities'!$C$2:$C$201,$A1633)&gt;0,"Yes","NOT IN INVENTORY"))</f>
        <v/>
      </c>
    </row>
    <row r="1634" customFormat="false" ht="15" hidden="false" customHeight="false" outlineLevel="0" collapsed="false">
      <c r="A1634" s="46"/>
      <c r="B1634" s="47"/>
      <c r="C1634" s="47"/>
      <c r="D1634" s="46"/>
      <c r="E1634" s="47"/>
      <c r="F1634" s="47"/>
      <c r="G1634" s="47"/>
      <c r="H1634" s="46"/>
      <c r="I1634" s="47"/>
      <c r="J1634" s="47"/>
      <c r="K1634" s="47"/>
      <c r="L1634" s="47"/>
      <c r="M1634" s="47"/>
      <c r="N1634" s="47"/>
      <c r="O1634" s="47"/>
      <c r="P1634" s="45" t="str">
        <f aca="false">IF($A1634="","",IF(COUNTIF(Accounts!$C$2:$C$201,$A1634)+COUNTIF('Service Principals'!$C$2:$C$201,$A1634)+COUNTIF('Managed Identities'!$C$2:$C$201,$A1634)&gt;0,"Yes","NOT IN INVENTORY"))</f>
        <v/>
      </c>
    </row>
    <row r="1635" customFormat="false" ht="15" hidden="false" customHeight="false" outlineLevel="0" collapsed="false">
      <c r="A1635" s="46"/>
      <c r="B1635" s="47"/>
      <c r="C1635" s="47"/>
      <c r="D1635" s="46"/>
      <c r="E1635" s="47"/>
      <c r="F1635" s="47"/>
      <c r="G1635" s="47"/>
      <c r="H1635" s="46"/>
      <c r="I1635" s="47"/>
      <c r="J1635" s="47"/>
      <c r="K1635" s="47"/>
      <c r="L1635" s="47"/>
      <c r="M1635" s="47"/>
      <c r="N1635" s="47"/>
      <c r="O1635" s="47"/>
      <c r="P1635" s="45" t="str">
        <f aca="false">IF($A1635="","",IF(COUNTIF(Accounts!$C$2:$C$201,$A1635)+COUNTIF('Service Principals'!$C$2:$C$201,$A1635)+COUNTIF('Managed Identities'!$C$2:$C$201,$A1635)&gt;0,"Yes","NOT IN INVENTORY"))</f>
        <v/>
      </c>
    </row>
    <row r="1636" customFormat="false" ht="15" hidden="false" customHeight="false" outlineLevel="0" collapsed="false">
      <c r="A1636" s="46"/>
      <c r="B1636" s="47"/>
      <c r="C1636" s="47"/>
      <c r="D1636" s="46"/>
      <c r="E1636" s="47"/>
      <c r="F1636" s="47"/>
      <c r="G1636" s="47"/>
      <c r="H1636" s="46"/>
      <c r="I1636" s="47"/>
      <c r="J1636" s="47"/>
      <c r="K1636" s="47"/>
      <c r="L1636" s="47"/>
      <c r="M1636" s="47"/>
      <c r="N1636" s="47"/>
      <c r="O1636" s="47"/>
      <c r="P1636" s="45" t="str">
        <f aca="false">IF($A1636="","",IF(COUNTIF(Accounts!$C$2:$C$201,$A1636)+COUNTIF('Service Principals'!$C$2:$C$201,$A1636)+COUNTIF('Managed Identities'!$C$2:$C$201,$A1636)&gt;0,"Yes","NOT IN INVENTORY"))</f>
        <v/>
      </c>
    </row>
    <row r="1637" customFormat="false" ht="15" hidden="false" customHeight="false" outlineLevel="0" collapsed="false">
      <c r="A1637" s="46"/>
      <c r="B1637" s="47"/>
      <c r="C1637" s="47"/>
      <c r="D1637" s="46"/>
      <c r="E1637" s="47"/>
      <c r="F1637" s="47"/>
      <c r="G1637" s="47"/>
      <c r="H1637" s="46"/>
      <c r="I1637" s="47"/>
      <c r="J1637" s="47"/>
      <c r="K1637" s="47"/>
      <c r="L1637" s="47"/>
      <c r="M1637" s="47"/>
      <c r="N1637" s="47"/>
      <c r="O1637" s="47"/>
      <c r="P1637" s="45" t="str">
        <f aca="false">IF($A1637="","",IF(COUNTIF(Accounts!$C$2:$C$201,$A1637)+COUNTIF('Service Principals'!$C$2:$C$201,$A1637)+COUNTIF('Managed Identities'!$C$2:$C$201,$A1637)&gt;0,"Yes","NOT IN INVENTORY"))</f>
        <v/>
      </c>
    </row>
    <row r="1638" customFormat="false" ht="15" hidden="false" customHeight="false" outlineLevel="0" collapsed="false">
      <c r="A1638" s="46"/>
      <c r="B1638" s="47"/>
      <c r="C1638" s="47"/>
      <c r="D1638" s="46"/>
      <c r="E1638" s="47"/>
      <c r="F1638" s="47"/>
      <c r="G1638" s="47"/>
      <c r="H1638" s="46"/>
      <c r="I1638" s="47"/>
      <c r="J1638" s="47"/>
      <c r="K1638" s="47"/>
      <c r="L1638" s="47"/>
      <c r="M1638" s="47"/>
      <c r="N1638" s="47"/>
      <c r="O1638" s="47"/>
      <c r="P1638" s="45" t="str">
        <f aca="false">IF($A1638="","",IF(COUNTIF(Accounts!$C$2:$C$201,$A1638)+COUNTIF('Service Principals'!$C$2:$C$201,$A1638)+COUNTIF('Managed Identities'!$C$2:$C$201,$A1638)&gt;0,"Yes","NOT IN INVENTORY"))</f>
        <v/>
      </c>
    </row>
    <row r="1639" customFormat="false" ht="15" hidden="false" customHeight="false" outlineLevel="0" collapsed="false">
      <c r="A1639" s="46"/>
      <c r="B1639" s="47"/>
      <c r="C1639" s="47"/>
      <c r="D1639" s="46"/>
      <c r="E1639" s="47"/>
      <c r="F1639" s="47"/>
      <c r="G1639" s="47"/>
      <c r="H1639" s="46"/>
      <c r="I1639" s="47"/>
      <c r="J1639" s="47"/>
      <c r="K1639" s="47"/>
      <c r="L1639" s="47"/>
      <c r="M1639" s="47"/>
      <c r="N1639" s="47"/>
      <c r="O1639" s="47"/>
      <c r="P1639" s="45" t="str">
        <f aca="false">IF($A1639="","",IF(COUNTIF(Accounts!$C$2:$C$201,$A1639)+COUNTIF('Service Principals'!$C$2:$C$201,$A1639)+COUNTIF('Managed Identities'!$C$2:$C$201,$A1639)&gt;0,"Yes","NOT IN INVENTORY"))</f>
        <v/>
      </c>
    </row>
    <row r="1640" customFormat="false" ht="15" hidden="false" customHeight="false" outlineLevel="0" collapsed="false">
      <c r="A1640" s="46"/>
      <c r="B1640" s="47"/>
      <c r="C1640" s="47"/>
      <c r="D1640" s="46"/>
      <c r="E1640" s="47"/>
      <c r="F1640" s="47"/>
      <c r="G1640" s="47"/>
      <c r="H1640" s="46"/>
      <c r="I1640" s="47"/>
      <c r="J1640" s="47"/>
      <c r="K1640" s="47"/>
      <c r="L1640" s="47"/>
      <c r="M1640" s="47"/>
      <c r="N1640" s="47"/>
      <c r="O1640" s="47"/>
      <c r="P1640" s="45" t="str">
        <f aca="false">IF($A1640="","",IF(COUNTIF(Accounts!$C$2:$C$201,$A1640)+COUNTIF('Service Principals'!$C$2:$C$201,$A1640)+COUNTIF('Managed Identities'!$C$2:$C$201,$A1640)&gt;0,"Yes","NOT IN INVENTORY"))</f>
        <v/>
      </c>
    </row>
    <row r="1641" customFormat="false" ht="15" hidden="false" customHeight="false" outlineLevel="0" collapsed="false">
      <c r="A1641" s="46"/>
      <c r="B1641" s="47"/>
      <c r="C1641" s="47"/>
      <c r="D1641" s="46"/>
      <c r="E1641" s="47"/>
      <c r="F1641" s="47"/>
      <c r="G1641" s="47"/>
      <c r="H1641" s="46"/>
      <c r="I1641" s="47"/>
      <c r="J1641" s="47"/>
      <c r="K1641" s="47"/>
      <c r="L1641" s="47"/>
      <c r="M1641" s="47"/>
      <c r="N1641" s="47"/>
      <c r="O1641" s="47"/>
      <c r="P1641" s="45" t="str">
        <f aca="false">IF($A1641="","",IF(COUNTIF(Accounts!$C$2:$C$201,$A1641)+COUNTIF('Service Principals'!$C$2:$C$201,$A1641)+COUNTIF('Managed Identities'!$C$2:$C$201,$A1641)&gt;0,"Yes","NOT IN INVENTORY"))</f>
        <v/>
      </c>
    </row>
    <row r="1642" customFormat="false" ht="15" hidden="false" customHeight="false" outlineLevel="0" collapsed="false">
      <c r="A1642" s="46"/>
      <c r="B1642" s="47"/>
      <c r="C1642" s="47"/>
      <c r="D1642" s="46"/>
      <c r="E1642" s="47"/>
      <c r="F1642" s="47"/>
      <c r="G1642" s="47"/>
      <c r="H1642" s="46"/>
      <c r="I1642" s="47"/>
      <c r="J1642" s="47"/>
      <c r="K1642" s="47"/>
      <c r="L1642" s="47"/>
      <c r="M1642" s="47"/>
      <c r="N1642" s="47"/>
      <c r="O1642" s="47"/>
      <c r="P1642" s="45" t="str">
        <f aca="false">IF($A1642="","",IF(COUNTIF(Accounts!$C$2:$C$201,$A1642)+COUNTIF('Service Principals'!$C$2:$C$201,$A1642)+COUNTIF('Managed Identities'!$C$2:$C$201,$A1642)&gt;0,"Yes","NOT IN INVENTORY"))</f>
        <v/>
      </c>
    </row>
    <row r="1643" customFormat="false" ht="15" hidden="false" customHeight="false" outlineLevel="0" collapsed="false">
      <c r="A1643" s="46"/>
      <c r="B1643" s="47"/>
      <c r="C1643" s="47"/>
      <c r="D1643" s="46"/>
      <c r="E1643" s="47"/>
      <c r="F1643" s="47"/>
      <c r="G1643" s="47"/>
      <c r="H1643" s="46"/>
      <c r="I1643" s="47"/>
      <c r="J1643" s="47"/>
      <c r="K1643" s="47"/>
      <c r="L1643" s="47"/>
      <c r="M1643" s="47"/>
      <c r="N1643" s="47"/>
      <c r="O1643" s="47"/>
      <c r="P1643" s="45" t="str">
        <f aca="false">IF($A1643="","",IF(COUNTIF(Accounts!$C$2:$C$201,$A1643)+COUNTIF('Service Principals'!$C$2:$C$201,$A1643)+COUNTIF('Managed Identities'!$C$2:$C$201,$A1643)&gt;0,"Yes","NOT IN INVENTORY"))</f>
        <v/>
      </c>
    </row>
    <row r="1644" customFormat="false" ht="15" hidden="false" customHeight="false" outlineLevel="0" collapsed="false">
      <c r="A1644" s="46"/>
      <c r="B1644" s="47"/>
      <c r="C1644" s="47"/>
      <c r="D1644" s="46"/>
      <c r="E1644" s="47"/>
      <c r="F1644" s="47"/>
      <c r="G1644" s="47"/>
      <c r="H1644" s="46"/>
      <c r="I1644" s="47"/>
      <c r="J1644" s="47"/>
      <c r="K1644" s="47"/>
      <c r="L1644" s="47"/>
      <c r="M1644" s="47"/>
      <c r="N1644" s="47"/>
      <c r="O1644" s="47"/>
      <c r="P1644" s="45" t="str">
        <f aca="false">IF($A1644="","",IF(COUNTIF(Accounts!$C$2:$C$201,$A1644)+COUNTIF('Service Principals'!$C$2:$C$201,$A1644)+COUNTIF('Managed Identities'!$C$2:$C$201,$A1644)&gt;0,"Yes","NOT IN INVENTORY"))</f>
        <v/>
      </c>
    </row>
    <row r="1645" customFormat="false" ht="15" hidden="false" customHeight="false" outlineLevel="0" collapsed="false">
      <c r="A1645" s="46"/>
      <c r="B1645" s="47"/>
      <c r="C1645" s="47"/>
      <c r="D1645" s="46"/>
      <c r="E1645" s="47"/>
      <c r="F1645" s="47"/>
      <c r="G1645" s="47"/>
      <c r="H1645" s="46"/>
      <c r="I1645" s="47"/>
      <c r="J1645" s="47"/>
      <c r="K1645" s="47"/>
      <c r="L1645" s="47"/>
      <c r="M1645" s="47"/>
      <c r="N1645" s="47"/>
      <c r="O1645" s="47"/>
      <c r="P1645" s="45" t="str">
        <f aca="false">IF($A1645="","",IF(COUNTIF(Accounts!$C$2:$C$201,$A1645)+COUNTIF('Service Principals'!$C$2:$C$201,$A1645)+COUNTIF('Managed Identities'!$C$2:$C$201,$A1645)&gt;0,"Yes","NOT IN INVENTORY"))</f>
        <v/>
      </c>
    </row>
    <row r="1646" customFormat="false" ht="15" hidden="false" customHeight="false" outlineLevel="0" collapsed="false">
      <c r="A1646" s="46"/>
      <c r="B1646" s="47"/>
      <c r="C1646" s="47"/>
      <c r="D1646" s="46"/>
      <c r="E1646" s="47"/>
      <c r="F1646" s="47"/>
      <c r="G1646" s="47"/>
      <c r="H1646" s="46"/>
      <c r="I1646" s="47"/>
      <c r="J1646" s="47"/>
      <c r="K1646" s="47"/>
      <c r="L1646" s="47"/>
      <c r="M1646" s="47"/>
      <c r="N1646" s="47"/>
      <c r="O1646" s="47"/>
      <c r="P1646" s="45" t="str">
        <f aca="false">IF($A1646="","",IF(COUNTIF(Accounts!$C$2:$C$201,$A1646)+COUNTIF('Service Principals'!$C$2:$C$201,$A1646)+COUNTIF('Managed Identities'!$C$2:$C$201,$A1646)&gt;0,"Yes","NOT IN INVENTORY"))</f>
        <v/>
      </c>
    </row>
    <row r="1647" customFormat="false" ht="15" hidden="false" customHeight="false" outlineLevel="0" collapsed="false">
      <c r="A1647" s="46"/>
      <c r="B1647" s="47"/>
      <c r="C1647" s="47"/>
      <c r="D1647" s="46"/>
      <c r="E1647" s="47"/>
      <c r="F1647" s="47"/>
      <c r="G1647" s="47"/>
      <c r="H1647" s="46"/>
      <c r="I1647" s="47"/>
      <c r="J1647" s="47"/>
      <c r="K1647" s="47"/>
      <c r="L1647" s="47"/>
      <c r="M1647" s="47"/>
      <c r="N1647" s="47"/>
      <c r="O1647" s="47"/>
      <c r="P1647" s="45" t="str">
        <f aca="false">IF($A1647="","",IF(COUNTIF(Accounts!$C$2:$C$201,$A1647)+COUNTIF('Service Principals'!$C$2:$C$201,$A1647)+COUNTIF('Managed Identities'!$C$2:$C$201,$A1647)&gt;0,"Yes","NOT IN INVENTORY"))</f>
        <v/>
      </c>
    </row>
    <row r="1648" customFormat="false" ht="15" hidden="false" customHeight="false" outlineLevel="0" collapsed="false">
      <c r="A1648" s="46"/>
      <c r="B1648" s="47"/>
      <c r="C1648" s="47"/>
      <c r="D1648" s="46"/>
      <c r="E1648" s="47"/>
      <c r="F1648" s="47"/>
      <c r="G1648" s="47"/>
      <c r="H1648" s="46"/>
      <c r="I1648" s="47"/>
      <c r="J1648" s="47"/>
      <c r="K1648" s="47"/>
      <c r="L1648" s="47"/>
      <c r="M1648" s="47"/>
      <c r="N1648" s="47"/>
      <c r="O1648" s="47"/>
      <c r="P1648" s="45" t="str">
        <f aca="false">IF($A1648="","",IF(COUNTIF(Accounts!$C$2:$C$201,$A1648)+COUNTIF('Service Principals'!$C$2:$C$201,$A1648)+COUNTIF('Managed Identities'!$C$2:$C$201,$A1648)&gt;0,"Yes","NOT IN INVENTORY"))</f>
        <v/>
      </c>
    </row>
    <row r="1649" customFormat="false" ht="15" hidden="false" customHeight="false" outlineLevel="0" collapsed="false">
      <c r="A1649" s="46"/>
      <c r="B1649" s="47"/>
      <c r="C1649" s="47"/>
      <c r="D1649" s="46"/>
      <c r="E1649" s="47"/>
      <c r="F1649" s="47"/>
      <c r="G1649" s="47"/>
      <c r="H1649" s="46"/>
      <c r="I1649" s="47"/>
      <c r="J1649" s="47"/>
      <c r="K1649" s="47"/>
      <c r="L1649" s="47"/>
      <c r="M1649" s="47"/>
      <c r="N1649" s="47"/>
      <c r="O1649" s="47"/>
      <c r="P1649" s="45" t="str">
        <f aca="false">IF($A1649="","",IF(COUNTIF(Accounts!$C$2:$C$201,$A1649)+COUNTIF('Service Principals'!$C$2:$C$201,$A1649)+COUNTIF('Managed Identities'!$C$2:$C$201,$A1649)&gt;0,"Yes","NOT IN INVENTORY"))</f>
        <v/>
      </c>
    </row>
    <row r="1650" customFormat="false" ht="15" hidden="false" customHeight="false" outlineLevel="0" collapsed="false">
      <c r="A1650" s="46"/>
      <c r="B1650" s="47"/>
      <c r="C1650" s="47"/>
      <c r="D1650" s="46"/>
      <c r="E1650" s="47"/>
      <c r="F1650" s="47"/>
      <c r="G1650" s="47"/>
      <c r="H1650" s="46"/>
      <c r="I1650" s="47"/>
      <c r="J1650" s="47"/>
      <c r="K1650" s="47"/>
      <c r="L1650" s="47"/>
      <c r="M1650" s="47"/>
      <c r="N1650" s="47"/>
      <c r="O1650" s="47"/>
      <c r="P1650" s="45" t="str">
        <f aca="false">IF($A1650="","",IF(COUNTIF(Accounts!$C$2:$C$201,$A1650)+COUNTIF('Service Principals'!$C$2:$C$201,$A1650)+COUNTIF('Managed Identities'!$C$2:$C$201,$A1650)&gt;0,"Yes","NOT IN INVENTORY"))</f>
        <v/>
      </c>
    </row>
    <row r="1651" customFormat="false" ht="15" hidden="false" customHeight="false" outlineLevel="0" collapsed="false">
      <c r="A1651" s="46"/>
      <c r="B1651" s="47"/>
      <c r="C1651" s="47"/>
      <c r="D1651" s="46"/>
      <c r="E1651" s="47"/>
      <c r="F1651" s="47"/>
      <c r="G1651" s="47"/>
      <c r="H1651" s="46"/>
      <c r="I1651" s="47"/>
      <c r="J1651" s="47"/>
      <c r="K1651" s="47"/>
      <c r="L1651" s="47"/>
      <c r="M1651" s="47"/>
      <c r="N1651" s="47"/>
      <c r="O1651" s="47"/>
      <c r="P1651" s="45" t="str">
        <f aca="false">IF($A1651="","",IF(COUNTIF(Accounts!$C$2:$C$201,$A1651)+COUNTIF('Service Principals'!$C$2:$C$201,$A1651)+COUNTIF('Managed Identities'!$C$2:$C$201,$A1651)&gt;0,"Yes","NOT IN INVENTORY"))</f>
        <v/>
      </c>
    </row>
    <row r="1652" customFormat="false" ht="15" hidden="false" customHeight="false" outlineLevel="0" collapsed="false">
      <c r="A1652" s="46"/>
      <c r="B1652" s="47"/>
      <c r="C1652" s="47"/>
      <c r="D1652" s="46"/>
      <c r="E1652" s="47"/>
      <c r="F1652" s="47"/>
      <c r="G1652" s="47"/>
      <c r="H1652" s="46"/>
      <c r="I1652" s="47"/>
      <c r="J1652" s="47"/>
      <c r="K1652" s="47"/>
      <c r="L1652" s="47"/>
      <c r="M1652" s="47"/>
      <c r="N1652" s="47"/>
      <c r="O1652" s="47"/>
      <c r="P1652" s="45" t="str">
        <f aca="false">IF($A1652="","",IF(COUNTIF(Accounts!$C$2:$C$201,$A1652)+COUNTIF('Service Principals'!$C$2:$C$201,$A1652)+COUNTIF('Managed Identities'!$C$2:$C$201,$A1652)&gt;0,"Yes","NOT IN INVENTORY"))</f>
        <v/>
      </c>
    </row>
    <row r="1653" customFormat="false" ht="15" hidden="false" customHeight="false" outlineLevel="0" collapsed="false">
      <c r="A1653" s="46"/>
      <c r="B1653" s="47"/>
      <c r="C1653" s="47"/>
      <c r="D1653" s="46"/>
      <c r="E1653" s="47"/>
      <c r="F1653" s="47"/>
      <c r="G1653" s="47"/>
      <c r="H1653" s="46"/>
      <c r="I1653" s="47"/>
      <c r="J1653" s="47"/>
      <c r="K1653" s="47"/>
      <c r="L1653" s="47"/>
      <c r="M1653" s="47"/>
      <c r="N1653" s="47"/>
      <c r="O1653" s="47"/>
      <c r="P1653" s="45" t="str">
        <f aca="false">IF($A1653="","",IF(COUNTIF(Accounts!$C$2:$C$201,$A1653)+COUNTIF('Service Principals'!$C$2:$C$201,$A1653)+COUNTIF('Managed Identities'!$C$2:$C$201,$A1653)&gt;0,"Yes","NOT IN INVENTORY"))</f>
        <v/>
      </c>
    </row>
    <row r="1654" customFormat="false" ht="15" hidden="false" customHeight="false" outlineLevel="0" collapsed="false">
      <c r="A1654" s="46"/>
      <c r="B1654" s="47"/>
      <c r="C1654" s="47"/>
      <c r="D1654" s="46"/>
      <c r="E1654" s="47"/>
      <c r="F1654" s="47"/>
      <c r="G1654" s="47"/>
      <c r="H1654" s="46"/>
      <c r="I1654" s="47"/>
      <c r="J1654" s="47"/>
      <c r="K1654" s="47"/>
      <c r="L1654" s="47"/>
      <c r="M1654" s="47"/>
      <c r="N1654" s="47"/>
      <c r="O1654" s="47"/>
      <c r="P1654" s="45" t="str">
        <f aca="false">IF($A1654="","",IF(COUNTIF(Accounts!$C$2:$C$201,$A1654)+COUNTIF('Service Principals'!$C$2:$C$201,$A1654)+COUNTIF('Managed Identities'!$C$2:$C$201,$A1654)&gt;0,"Yes","NOT IN INVENTORY"))</f>
        <v/>
      </c>
    </row>
    <row r="1655" customFormat="false" ht="15" hidden="false" customHeight="false" outlineLevel="0" collapsed="false">
      <c r="A1655" s="46"/>
      <c r="B1655" s="47"/>
      <c r="C1655" s="47"/>
      <c r="D1655" s="46"/>
      <c r="E1655" s="47"/>
      <c r="F1655" s="47"/>
      <c r="G1655" s="47"/>
      <c r="H1655" s="46"/>
      <c r="I1655" s="47"/>
      <c r="J1655" s="47"/>
      <c r="K1655" s="47"/>
      <c r="L1655" s="47"/>
      <c r="M1655" s="47"/>
      <c r="N1655" s="47"/>
      <c r="O1655" s="47"/>
      <c r="P1655" s="45" t="str">
        <f aca="false">IF($A1655="","",IF(COUNTIF(Accounts!$C$2:$C$201,$A1655)+COUNTIF('Service Principals'!$C$2:$C$201,$A1655)+COUNTIF('Managed Identities'!$C$2:$C$201,$A1655)&gt;0,"Yes","NOT IN INVENTORY"))</f>
        <v/>
      </c>
    </row>
    <row r="1656" customFormat="false" ht="15" hidden="false" customHeight="false" outlineLevel="0" collapsed="false">
      <c r="A1656" s="46"/>
      <c r="B1656" s="47"/>
      <c r="C1656" s="47"/>
      <c r="D1656" s="46"/>
      <c r="E1656" s="47"/>
      <c r="F1656" s="47"/>
      <c r="G1656" s="47"/>
      <c r="H1656" s="46"/>
      <c r="I1656" s="47"/>
      <c r="J1656" s="47"/>
      <c r="K1656" s="47"/>
      <c r="L1656" s="47"/>
      <c r="M1656" s="47"/>
      <c r="N1656" s="47"/>
      <c r="O1656" s="47"/>
      <c r="P1656" s="45" t="str">
        <f aca="false">IF($A1656="","",IF(COUNTIF(Accounts!$C$2:$C$201,$A1656)+COUNTIF('Service Principals'!$C$2:$C$201,$A1656)+COUNTIF('Managed Identities'!$C$2:$C$201,$A1656)&gt;0,"Yes","NOT IN INVENTORY"))</f>
        <v/>
      </c>
    </row>
    <row r="1657" customFormat="false" ht="15" hidden="false" customHeight="false" outlineLevel="0" collapsed="false">
      <c r="A1657" s="46"/>
      <c r="B1657" s="47"/>
      <c r="C1657" s="47"/>
      <c r="D1657" s="46"/>
      <c r="E1657" s="47"/>
      <c r="F1657" s="47"/>
      <c r="G1657" s="47"/>
      <c r="H1657" s="46"/>
      <c r="I1657" s="47"/>
      <c r="J1657" s="47"/>
      <c r="K1657" s="47"/>
      <c r="L1657" s="47"/>
      <c r="M1657" s="47"/>
      <c r="N1657" s="47"/>
      <c r="O1657" s="47"/>
      <c r="P1657" s="45" t="str">
        <f aca="false">IF($A1657="","",IF(COUNTIF(Accounts!$C$2:$C$201,$A1657)+COUNTIF('Service Principals'!$C$2:$C$201,$A1657)+COUNTIF('Managed Identities'!$C$2:$C$201,$A1657)&gt;0,"Yes","NOT IN INVENTORY"))</f>
        <v/>
      </c>
    </row>
    <row r="1658" customFormat="false" ht="15" hidden="false" customHeight="false" outlineLevel="0" collapsed="false">
      <c r="A1658" s="46"/>
      <c r="B1658" s="47"/>
      <c r="C1658" s="47"/>
      <c r="D1658" s="46"/>
      <c r="E1658" s="47"/>
      <c r="F1658" s="47"/>
      <c r="G1658" s="47"/>
      <c r="H1658" s="46"/>
      <c r="I1658" s="47"/>
      <c r="J1658" s="47"/>
      <c r="K1658" s="47"/>
      <c r="L1658" s="47"/>
      <c r="M1658" s="47"/>
      <c r="N1658" s="47"/>
      <c r="O1658" s="47"/>
      <c r="P1658" s="45" t="str">
        <f aca="false">IF($A1658="","",IF(COUNTIF(Accounts!$C$2:$C$201,$A1658)+COUNTIF('Service Principals'!$C$2:$C$201,$A1658)+COUNTIF('Managed Identities'!$C$2:$C$201,$A1658)&gt;0,"Yes","NOT IN INVENTORY"))</f>
        <v/>
      </c>
    </row>
    <row r="1659" customFormat="false" ht="15" hidden="false" customHeight="false" outlineLevel="0" collapsed="false">
      <c r="A1659" s="46"/>
      <c r="B1659" s="47"/>
      <c r="C1659" s="47"/>
      <c r="D1659" s="46"/>
      <c r="E1659" s="47"/>
      <c r="F1659" s="47"/>
      <c r="G1659" s="47"/>
      <c r="H1659" s="46"/>
      <c r="I1659" s="47"/>
      <c r="J1659" s="47"/>
      <c r="K1659" s="47"/>
      <c r="L1659" s="47"/>
      <c r="M1659" s="47"/>
      <c r="N1659" s="47"/>
      <c r="O1659" s="47"/>
      <c r="P1659" s="45" t="str">
        <f aca="false">IF($A1659="","",IF(COUNTIF(Accounts!$C$2:$C$201,$A1659)+COUNTIF('Service Principals'!$C$2:$C$201,$A1659)+COUNTIF('Managed Identities'!$C$2:$C$201,$A1659)&gt;0,"Yes","NOT IN INVENTORY"))</f>
        <v/>
      </c>
    </row>
    <row r="1660" customFormat="false" ht="15" hidden="false" customHeight="false" outlineLevel="0" collapsed="false">
      <c r="A1660" s="46"/>
      <c r="B1660" s="47"/>
      <c r="C1660" s="47"/>
      <c r="D1660" s="46"/>
      <c r="E1660" s="47"/>
      <c r="F1660" s="47"/>
      <c r="G1660" s="47"/>
      <c r="H1660" s="46"/>
      <c r="I1660" s="47"/>
      <c r="J1660" s="47"/>
      <c r="K1660" s="47"/>
      <c r="L1660" s="47"/>
      <c r="M1660" s="47"/>
      <c r="N1660" s="47"/>
      <c r="O1660" s="47"/>
      <c r="P1660" s="45" t="str">
        <f aca="false">IF($A1660="","",IF(COUNTIF(Accounts!$C$2:$C$201,$A1660)+COUNTIF('Service Principals'!$C$2:$C$201,$A1660)+COUNTIF('Managed Identities'!$C$2:$C$201,$A1660)&gt;0,"Yes","NOT IN INVENTORY"))</f>
        <v/>
      </c>
    </row>
    <row r="1661" customFormat="false" ht="15" hidden="false" customHeight="false" outlineLevel="0" collapsed="false">
      <c r="A1661" s="46"/>
      <c r="B1661" s="47"/>
      <c r="C1661" s="47"/>
      <c r="D1661" s="46"/>
      <c r="E1661" s="47"/>
      <c r="F1661" s="47"/>
      <c r="G1661" s="47"/>
      <c r="H1661" s="46"/>
      <c r="I1661" s="47"/>
      <c r="J1661" s="47"/>
      <c r="K1661" s="47"/>
      <c r="L1661" s="47"/>
      <c r="M1661" s="47"/>
      <c r="N1661" s="47"/>
      <c r="O1661" s="47"/>
      <c r="P1661" s="45" t="str">
        <f aca="false">IF($A1661="","",IF(COUNTIF(Accounts!$C$2:$C$201,$A1661)+COUNTIF('Service Principals'!$C$2:$C$201,$A1661)+COUNTIF('Managed Identities'!$C$2:$C$201,$A1661)&gt;0,"Yes","NOT IN INVENTORY"))</f>
        <v/>
      </c>
    </row>
    <row r="1662" customFormat="false" ht="15" hidden="false" customHeight="false" outlineLevel="0" collapsed="false">
      <c r="A1662" s="46"/>
      <c r="B1662" s="47"/>
      <c r="C1662" s="47"/>
      <c r="D1662" s="46"/>
      <c r="E1662" s="47"/>
      <c r="F1662" s="47"/>
      <c r="G1662" s="47"/>
      <c r="H1662" s="46"/>
      <c r="I1662" s="47"/>
      <c r="J1662" s="47"/>
      <c r="K1662" s="47"/>
      <c r="L1662" s="47"/>
      <c r="M1662" s="47"/>
      <c r="N1662" s="47"/>
      <c r="O1662" s="47"/>
      <c r="P1662" s="45" t="str">
        <f aca="false">IF($A1662="","",IF(COUNTIF(Accounts!$C$2:$C$201,$A1662)+COUNTIF('Service Principals'!$C$2:$C$201,$A1662)+COUNTIF('Managed Identities'!$C$2:$C$201,$A1662)&gt;0,"Yes","NOT IN INVENTORY"))</f>
        <v/>
      </c>
    </row>
    <row r="1663" customFormat="false" ht="15" hidden="false" customHeight="false" outlineLevel="0" collapsed="false">
      <c r="A1663" s="46"/>
      <c r="B1663" s="47"/>
      <c r="C1663" s="47"/>
      <c r="D1663" s="46"/>
      <c r="E1663" s="47"/>
      <c r="F1663" s="47"/>
      <c r="G1663" s="47"/>
      <c r="H1663" s="46"/>
      <c r="I1663" s="47"/>
      <c r="J1663" s="47"/>
      <c r="K1663" s="47"/>
      <c r="L1663" s="47"/>
      <c r="M1663" s="47"/>
      <c r="N1663" s="47"/>
      <c r="O1663" s="47"/>
      <c r="P1663" s="45" t="str">
        <f aca="false">IF($A1663="","",IF(COUNTIF(Accounts!$C$2:$C$201,$A1663)+COUNTIF('Service Principals'!$C$2:$C$201,$A1663)+COUNTIF('Managed Identities'!$C$2:$C$201,$A1663)&gt;0,"Yes","NOT IN INVENTORY"))</f>
        <v/>
      </c>
    </row>
    <row r="1664" customFormat="false" ht="15" hidden="false" customHeight="false" outlineLevel="0" collapsed="false">
      <c r="A1664" s="46"/>
      <c r="B1664" s="47"/>
      <c r="C1664" s="47"/>
      <c r="D1664" s="46"/>
      <c r="E1664" s="47"/>
      <c r="F1664" s="47"/>
      <c r="G1664" s="47"/>
      <c r="H1664" s="46"/>
      <c r="I1664" s="47"/>
      <c r="J1664" s="47"/>
      <c r="K1664" s="47"/>
      <c r="L1664" s="47"/>
      <c r="M1664" s="47"/>
      <c r="N1664" s="47"/>
      <c r="O1664" s="47"/>
      <c r="P1664" s="45" t="str">
        <f aca="false">IF($A1664="","",IF(COUNTIF(Accounts!$C$2:$C$201,$A1664)+COUNTIF('Service Principals'!$C$2:$C$201,$A1664)+COUNTIF('Managed Identities'!$C$2:$C$201,$A1664)&gt;0,"Yes","NOT IN INVENTORY"))</f>
        <v/>
      </c>
    </row>
    <row r="1665" customFormat="false" ht="15" hidden="false" customHeight="false" outlineLevel="0" collapsed="false">
      <c r="A1665" s="46"/>
      <c r="B1665" s="47"/>
      <c r="C1665" s="47"/>
      <c r="D1665" s="46"/>
      <c r="E1665" s="47"/>
      <c r="F1665" s="47"/>
      <c r="G1665" s="47"/>
      <c r="H1665" s="46"/>
      <c r="I1665" s="47"/>
      <c r="J1665" s="47"/>
      <c r="K1665" s="47"/>
      <c r="L1665" s="47"/>
      <c r="M1665" s="47"/>
      <c r="N1665" s="47"/>
      <c r="O1665" s="47"/>
      <c r="P1665" s="45" t="str">
        <f aca="false">IF($A1665="","",IF(COUNTIF(Accounts!$C$2:$C$201,$A1665)+COUNTIF('Service Principals'!$C$2:$C$201,$A1665)+COUNTIF('Managed Identities'!$C$2:$C$201,$A1665)&gt;0,"Yes","NOT IN INVENTORY"))</f>
        <v/>
      </c>
    </row>
    <row r="1666" customFormat="false" ht="15" hidden="false" customHeight="false" outlineLevel="0" collapsed="false">
      <c r="A1666" s="46"/>
      <c r="B1666" s="47"/>
      <c r="C1666" s="47"/>
      <c r="D1666" s="46"/>
      <c r="E1666" s="47"/>
      <c r="F1666" s="47"/>
      <c r="G1666" s="47"/>
      <c r="H1666" s="46"/>
      <c r="I1666" s="47"/>
      <c r="J1666" s="47"/>
      <c r="K1666" s="47"/>
      <c r="L1666" s="47"/>
      <c r="M1666" s="47"/>
      <c r="N1666" s="47"/>
      <c r="O1666" s="47"/>
      <c r="P1666" s="45" t="str">
        <f aca="false">IF($A1666="","",IF(COUNTIF(Accounts!$C$2:$C$201,$A1666)+COUNTIF('Service Principals'!$C$2:$C$201,$A1666)+COUNTIF('Managed Identities'!$C$2:$C$201,$A1666)&gt;0,"Yes","NOT IN INVENTORY"))</f>
        <v/>
      </c>
    </row>
    <row r="1667" customFormat="false" ht="15" hidden="false" customHeight="false" outlineLevel="0" collapsed="false">
      <c r="A1667" s="46"/>
      <c r="B1667" s="47"/>
      <c r="C1667" s="47"/>
      <c r="D1667" s="46"/>
      <c r="E1667" s="47"/>
      <c r="F1667" s="47"/>
      <c r="G1667" s="47"/>
      <c r="H1667" s="46"/>
      <c r="I1667" s="47"/>
      <c r="J1667" s="47"/>
      <c r="K1667" s="47"/>
      <c r="L1667" s="47"/>
      <c r="M1667" s="47"/>
      <c r="N1667" s="47"/>
      <c r="O1667" s="47"/>
      <c r="P1667" s="45" t="str">
        <f aca="false">IF($A1667="","",IF(COUNTIF(Accounts!$C$2:$C$201,$A1667)+COUNTIF('Service Principals'!$C$2:$C$201,$A1667)+COUNTIF('Managed Identities'!$C$2:$C$201,$A1667)&gt;0,"Yes","NOT IN INVENTORY"))</f>
        <v/>
      </c>
    </row>
    <row r="1668" customFormat="false" ht="15" hidden="false" customHeight="false" outlineLevel="0" collapsed="false">
      <c r="A1668" s="46"/>
      <c r="B1668" s="47"/>
      <c r="C1668" s="47"/>
      <c r="D1668" s="46"/>
      <c r="E1668" s="47"/>
      <c r="F1668" s="47"/>
      <c r="G1668" s="47"/>
      <c r="H1668" s="46"/>
      <c r="I1668" s="47"/>
      <c r="J1668" s="47"/>
      <c r="K1668" s="47"/>
      <c r="L1668" s="47"/>
      <c r="M1668" s="47"/>
      <c r="N1668" s="47"/>
      <c r="O1668" s="47"/>
      <c r="P1668" s="45" t="str">
        <f aca="false">IF($A1668="","",IF(COUNTIF(Accounts!$C$2:$C$201,$A1668)+COUNTIF('Service Principals'!$C$2:$C$201,$A1668)+COUNTIF('Managed Identities'!$C$2:$C$201,$A1668)&gt;0,"Yes","NOT IN INVENTORY"))</f>
        <v/>
      </c>
    </row>
    <row r="1669" customFormat="false" ht="15" hidden="false" customHeight="false" outlineLevel="0" collapsed="false">
      <c r="A1669" s="46"/>
      <c r="B1669" s="47"/>
      <c r="C1669" s="47"/>
      <c r="D1669" s="46"/>
      <c r="E1669" s="47"/>
      <c r="F1669" s="47"/>
      <c r="G1669" s="47"/>
      <c r="H1669" s="46"/>
      <c r="I1669" s="47"/>
      <c r="J1669" s="47"/>
      <c r="K1669" s="47"/>
      <c r="L1669" s="47"/>
      <c r="M1669" s="47"/>
      <c r="N1669" s="47"/>
      <c r="O1669" s="47"/>
      <c r="P1669" s="45" t="str">
        <f aca="false">IF($A1669="","",IF(COUNTIF(Accounts!$C$2:$C$201,$A1669)+COUNTIF('Service Principals'!$C$2:$C$201,$A1669)+COUNTIF('Managed Identities'!$C$2:$C$201,$A1669)&gt;0,"Yes","NOT IN INVENTORY"))</f>
        <v/>
      </c>
    </row>
    <row r="1670" customFormat="false" ht="15" hidden="false" customHeight="false" outlineLevel="0" collapsed="false">
      <c r="A1670" s="46"/>
      <c r="B1670" s="47"/>
      <c r="C1670" s="47"/>
      <c r="D1670" s="46"/>
      <c r="E1670" s="47"/>
      <c r="F1670" s="47"/>
      <c r="G1670" s="47"/>
      <c r="H1670" s="46"/>
      <c r="I1670" s="47"/>
      <c r="J1670" s="47"/>
      <c r="K1670" s="47"/>
      <c r="L1670" s="47"/>
      <c r="M1670" s="47"/>
      <c r="N1670" s="47"/>
      <c r="O1670" s="47"/>
      <c r="P1670" s="45" t="str">
        <f aca="false">IF($A1670="","",IF(COUNTIF(Accounts!$C$2:$C$201,$A1670)+COUNTIF('Service Principals'!$C$2:$C$201,$A1670)+COUNTIF('Managed Identities'!$C$2:$C$201,$A1670)&gt;0,"Yes","NOT IN INVENTORY"))</f>
        <v/>
      </c>
    </row>
    <row r="1671" customFormat="false" ht="15" hidden="false" customHeight="false" outlineLevel="0" collapsed="false">
      <c r="A1671" s="46"/>
      <c r="B1671" s="47"/>
      <c r="C1671" s="47"/>
      <c r="D1671" s="46"/>
      <c r="E1671" s="47"/>
      <c r="F1671" s="47"/>
      <c r="G1671" s="47"/>
      <c r="H1671" s="46"/>
      <c r="I1671" s="47"/>
      <c r="J1671" s="47"/>
      <c r="K1671" s="47"/>
      <c r="L1671" s="47"/>
      <c r="M1671" s="47"/>
      <c r="N1671" s="47"/>
      <c r="O1671" s="47"/>
      <c r="P1671" s="45" t="str">
        <f aca="false">IF($A1671="","",IF(COUNTIF(Accounts!$C$2:$C$201,$A1671)+COUNTIF('Service Principals'!$C$2:$C$201,$A1671)+COUNTIF('Managed Identities'!$C$2:$C$201,$A1671)&gt;0,"Yes","NOT IN INVENTORY"))</f>
        <v/>
      </c>
    </row>
    <row r="1672" customFormat="false" ht="15" hidden="false" customHeight="false" outlineLevel="0" collapsed="false">
      <c r="A1672" s="46"/>
      <c r="B1672" s="47"/>
      <c r="C1672" s="47"/>
      <c r="D1672" s="46"/>
      <c r="E1672" s="47"/>
      <c r="F1672" s="47"/>
      <c r="G1672" s="47"/>
      <c r="H1672" s="46"/>
      <c r="I1672" s="47"/>
      <c r="J1672" s="47"/>
      <c r="K1672" s="47"/>
      <c r="L1672" s="47"/>
      <c r="M1672" s="47"/>
      <c r="N1672" s="47"/>
      <c r="O1672" s="47"/>
      <c r="P1672" s="45" t="str">
        <f aca="false">IF($A1672="","",IF(COUNTIF(Accounts!$C$2:$C$201,$A1672)+COUNTIF('Service Principals'!$C$2:$C$201,$A1672)+COUNTIF('Managed Identities'!$C$2:$C$201,$A1672)&gt;0,"Yes","NOT IN INVENTORY"))</f>
        <v/>
      </c>
    </row>
    <row r="1673" customFormat="false" ht="15" hidden="false" customHeight="false" outlineLevel="0" collapsed="false">
      <c r="A1673" s="46"/>
      <c r="B1673" s="47"/>
      <c r="C1673" s="47"/>
      <c r="D1673" s="46"/>
      <c r="E1673" s="47"/>
      <c r="F1673" s="47"/>
      <c r="G1673" s="47"/>
      <c r="H1673" s="46"/>
      <c r="I1673" s="47"/>
      <c r="J1673" s="47"/>
      <c r="K1673" s="47"/>
      <c r="L1673" s="47"/>
      <c r="M1673" s="47"/>
      <c r="N1673" s="47"/>
      <c r="O1673" s="47"/>
      <c r="P1673" s="45" t="str">
        <f aca="false">IF($A1673="","",IF(COUNTIF(Accounts!$C$2:$C$201,$A1673)+COUNTIF('Service Principals'!$C$2:$C$201,$A1673)+COUNTIF('Managed Identities'!$C$2:$C$201,$A1673)&gt;0,"Yes","NOT IN INVENTORY"))</f>
        <v/>
      </c>
    </row>
    <row r="1674" customFormat="false" ht="15" hidden="false" customHeight="false" outlineLevel="0" collapsed="false">
      <c r="A1674" s="46"/>
      <c r="B1674" s="47"/>
      <c r="C1674" s="47"/>
      <c r="D1674" s="46"/>
      <c r="E1674" s="47"/>
      <c r="F1674" s="47"/>
      <c r="G1674" s="47"/>
      <c r="H1674" s="46"/>
      <c r="I1674" s="47"/>
      <c r="J1674" s="47"/>
      <c r="K1674" s="47"/>
      <c r="L1674" s="47"/>
      <c r="M1674" s="47"/>
      <c r="N1674" s="47"/>
      <c r="O1674" s="47"/>
      <c r="P1674" s="45" t="str">
        <f aca="false">IF($A1674="","",IF(COUNTIF(Accounts!$C$2:$C$201,$A1674)+COUNTIF('Service Principals'!$C$2:$C$201,$A1674)+COUNTIF('Managed Identities'!$C$2:$C$201,$A1674)&gt;0,"Yes","NOT IN INVENTORY"))</f>
        <v/>
      </c>
    </row>
    <row r="1675" customFormat="false" ht="15" hidden="false" customHeight="false" outlineLevel="0" collapsed="false">
      <c r="A1675" s="46"/>
      <c r="B1675" s="47"/>
      <c r="C1675" s="47"/>
      <c r="D1675" s="46"/>
      <c r="E1675" s="47"/>
      <c r="F1675" s="47"/>
      <c r="G1675" s="47"/>
      <c r="H1675" s="46"/>
      <c r="I1675" s="47"/>
      <c r="J1675" s="47"/>
      <c r="K1675" s="47"/>
      <c r="L1675" s="47"/>
      <c r="M1675" s="47"/>
      <c r="N1675" s="47"/>
      <c r="O1675" s="47"/>
      <c r="P1675" s="45" t="str">
        <f aca="false">IF($A1675="","",IF(COUNTIF(Accounts!$C$2:$C$201,$A1675)+COUNTIF('Service Principals'!$C$2:$C$201,$A1675)+COUNTIF('Managed Identities'!$C$2:$C$201,$A1675)&gt;0,"Yes","NOT IN INVENTORY"))</f>
        <v/>
      </c>
    </row>
    <row r="1676" customFormat="false" ht="15" hidden="false" customHeight="false" outlineLevel="0" collapsed="false">
      <c r="A1676" s="46"/>
      <c r="B1676" s="47"/>
      <c r="C1676" s="47"/>
      <c r="D1676" s="46"/>
      <c r="E1676" s="47"/>
      <c r="F1676" s="47"/>
      <c r="G1676" s="47"/>
      <c r="H1676" s="46"/>
      <c r="I1676" s="47"/>
      <c r="J1676" s="47"/>
      <c r="K1676" s="47"/>
      <c r="L1676" s="47"/>
      <c r="M1676" s="47"/>
      <c r="N1676" s="47"/>
      <c r="O1676" s="47"/>
      <c r="P1676" s="45" t="str">
        <f aca="false">IF($A1676="","",IF(COUNTIF(Accounts!$C$2:$C$201,$A1676)+COUNTIF('Service Principals'!$C$2:$C$201,$A1676)+COUNTIF('Managed Identities'!$C$2:$C$201,$A1676)&gt;0,"Yes","NOT IN INVENTORY"))</f>
        <v/>
      </c>
    </row>
    <row r="1677" customFormat="false" ht="15" hidden="false" customHeight="false" outlineLevel="0" collapsed="false">
      <c r="A1677" s="46"/>
      <c r="B1677" s="47"/>
      <c r="C1677" s="47"/>
      <c r="D1677" s="46"/>
      <c r="E1677" s="47"/>
      <c r="F1677" s="47"/>
      <c r="G1677" s="47"/>
      <c r="H1677" s="46"/>
      <c r="I1677" s="47"/>
      <c r="J1677" s="47"/>
      <c r="K1677" s="47"/>
      <c r="L1677" s="47"/>
      <c r="M1677" s="47"/>
      <c r="N1677" s="47"/>
      <c r="O1677" s="47"/>
      <c r="P1677" s="45" t="str">
        <f aca="false">IF($A1677="","",IF(COUNTIF(Accounts!$C$2:$C$201,$A1677)+COUNTIF('Service Principals'!$C$2:$C$201,$A1677)+COUNTIF('Managed Identities'!$C$2:$C$201,$A1677)&gt;0,"Yes","NOT IN INVENTORY"))</f>
        <v/>
      </c>
    </row>
    <row r="1678" customFormat="false" ht="15" hidden="false" customHeight="false" outlineLevel="0" collapsed="false">
      <c r="A1678" s="46"/>
      <c r="B1678" s="47"/>
      <c r="C1678" s="47"/>
      <c r="D1678" s="46"/>
      <c r="E1678" s="47"/>
      <c r="F1678" s="47"/>
      <c r="G1678" s="47"/>
      <c r="H1678" s="46"/>
      <c r="I1678" s="47"/>
      <c r="J1678" s="47"/>
      <c r="K1678" s="47"/>
      <c r="L1678" s="47"/>
      <c r="M1678" s="47"/>
      <c r="N1678" s="47"/>
      <c r="O1678" s="47"/>
      <c r="P1678" s="45" t="str">
        <f aca="false">IF($A1678="","",IF(COUNTIF(Accounts!$C$2:$C$201,$A1678)+COUNTIF('Service Principals'!$C$2:$C$201,$A1678)+COUNTIF('Managed Identities'!$C$2:$C$201,$A1678)&gt;0,"Yes","NOT IN INVENTORY"))</f>
        <v/>
      </c>
    </row>
    <row r="1679" customFormat="false" ht="15" hidden="false" customHeight="false" outlineLevel="0" collapsed="false">
      <c r="A1679" s="46"/>
      <c r="B1679" s="47"/>
      <c r="C1679" s="47"/>
      <c r="D1679" s="46"/>
      <c r="E1679" s="47"/>
      <c r="F1679" s="47"/>
      <c r="G1679" s="47"/>
      <c r="H1679" s="46"/>
      <c r="I1679" s="47"/>
      <c r="J1679" s="47"/>
      <c r="K1679" s="47"/>
      <c r="L1679" s="47"/>
      <c r="M1679" s="47"/>
      <c r="N1679" s="47"/>
      <c r="O1679" s="47"/>
      <c r="P1679" s="45" t="str">
        <f aca="false">IF($A1679="","",IF(COUNTIF(Accounts!$C$2:$C$201,$A1679)+COUNTIF('Service Principals'!$C$2:$C$201,$A1679)+COUNTIF('Managed Identities'!$C$2:$C$201,$A1679)&gt;0,"Yes","NOT IN INVENTORY"))</f>
        <v/>
      </c>
    </row>
    <row r="1680" customFormat="false" ht="15" hidden="false" customHeight="false" outlineLevel="0" collapsed="false">
      <c r="A1680" s="46"/>
      <c r="B1680" s="47"/>
      <c r="C1680" s="47"/>
      <c r="D1680" s="46"/>
      <c r="E1680" s="47"/>
      <c r="F1680" s="47"/>
      <c r="G1680" s="47"/>
      <c r="H1680" s="46"/>
      <c r="I1680" s="47"/>
      <c r="J1680" s="47"/>
      <c r="K1680" s="47"/>
      <c r="L1680" s="47"/>
      <c r="M1680" s="47"/>
      <c r="N1680" s="47"/>
      <c r="O1680" s="47"/>
      <c r="P1680" s="45" t="str">
        <f aca="false">IF($A1680="","",IF(COUNTIF(Accounts!$C$2:$C$201,$A1680)+COUNTIF('Service Principals'!$C$2:$C$201,$A1680)+COUNTIF('Managed Identities'!$C$2:$C$201,$A1680)&gt;0,"Yes","NOT IN INVENTORY"))</f>
        <v/>
      </c>
    </row>
    <row r="1681" customFormat="false" ht="15" hidden="false" customHeight="false" outlineLevel="0" collapsed="false">
      <c r="A1681" s="46"/>
      <c r="B1681" s="47"/>
      <c r="C1681" s="47"/>
      <c r="D1681" s="46"/>
      <c r="E1681" s="47"/>
      <c r="F1681" s="47"/>
      <c r="G1681" s="47"/>
      <c r="H1681" s="46"/>
      <c r="I1681" s="47"/>
      <c r="J1681" s="47"/>
      <c r="K1681" s="47"/>
      <c r="L1681" s="47"/>
      <c r="M1681" s="47"/>
      <c r="N1681" s="47"/>
      <c r="O1681" s="47"/>
      <c r="P1681" s="45" t="str">
        <f aca="false">IF($A1681="","",IF(COUNTIF(Accounts!$C$2:$C$201,$A1681)+COUNTIF('Service Principals'!$C$2:$C$201,$A1681)+COUNTIF('Managed Identities'!$C$2:$C$201,$A1681)&gt;0,"Yes","NOT IN INVENTORY"))</f>
        <v/>
      </c>
    </row>
    <row r="1682" customFormat="false" ht="15" hidden="false" customHeight="false" outlineLevel="0" collapsed="false">
      <c r="A1682" s="46"/>
      <c r="B1682" s="47"/>
      <c r="C1682" s="47"/>
      <c r="D1682" s="46"/>
      <c r="E1682" s="47"/>
      <c r="F1682" s="47"/>
      <c r="G1682" s="47"/>
      <c r="H1682" s="46"/>
      <c r="I1682" s="47"/>
      <c r="J1682" s="47"/>
      <c r="K1682" s="47"/>
      <c r="L1682" s="47"/>
      <c r="M1682" s="47"/>
      <c r="N1682" s="47"/>
      <c r="O1682" s="47"/>
      <c r="P1682" s="45" t="str">
        <f aca="false">IF($A1682="","",IF(COUNTIF(Accounts!$C$2:$C$201,$A1682)+COUNTIF('Service Principals'!$C$2:$C$201,$A1682)+COUNTIF('Managed Identities'!$C$2:$C$201,$A1682)&gt;0,"Yes","NOT IN INVENTORY"))</f>
        <v/>
      </c>
    </row>
    <row r="1683" customFormat="false" ht="15" hidden="false" customHeight="false" outlineLevel="0" collapsed="false">
      <c r="A1683" s="46"/>
      <c r="B1683" s="47"/>
      <c r="C1683" s="47"/>
      <c r="D1683" s="46"/>
      <c r="E1683" s="47"/>
      <c r="F1683" s="47"/>
      <c r="G1683" s="47"/>
      <c r="H1683" s="46"/>
      <c r="I1683" s="47"/>
      <c r="J1683" s="47"/>
      <c r="K1683" s="47"/>
      <c r="L1683" s="47"/>
      <c r="M1683" s="47"/>
      <c r="N1683" s="47"/>
      <c r="O1683" s="47"/>
      <c r="P1683" s="45" t="str">
        <f aca="false">IF($A1683="","",IF(COUNTIF(Accounts!$C$2:$C$201,$A1683)+COUNTIF('Service Principals'!$C$2:$C$201,$A1683)+COUNTIF('Managed Identities'!$C$2:$C$201,$A1683)&gt;0,"Yes","NOT IN INVENTORY"))</f>
        <v/>
      </c>
    </row>
    <row r="1684" customFormat="false" ht="15" hidden="false" customHeight="false" outlineLevel="0" collapsed="false">
      <c r="A1684" s="46"/>
      <c r="B1684" s="47"/>
      <c r="C1684" s="47"/>
      <c r="D1684" s="46"/>
      <c r="E1684" s="47"/>
      <c r="F1684" s="47"/>
      <c r="G1684" s="47"/>
      <c r="H1684" s="46"/>
      <c r="I1684" s="47"/>
      <c r="J1684" s="47"/>
      <c r="K1684" s="47"/>
      <c r="L1684" s="47"/>
      <c r="M1684" s="47"/>
      <c r="N1684" s="47"/>
      <c r="O1684" s="47"/>
      <c r="P1684" s="45" t="str">
        <f aca="false">IF($A1684="","",IF(COUNTIF(Accounts!$C$2:$C$201,$A1684)+COUNTIF('Service Principals'!$C$2:$C$201,$A1684)+COUNTIF('Managed Identities'!$C$2:$C$201,$A1684)&gt;0,"Yes","NOT IN INVENTORY"))</f>
        <v/>
      </c>
    </row>
    <row r="1685" customFormat="false" ht="15" hidden="false" customHeight="false" outlineLevel="0" collapsed="false">
      <c r="A1685" s="46"/>
      <c r="B1685" s="47"/>
      <c r="C1685" s="47"/>
      <c r="D1685" s="46"/>
      <c r="E1685" s="47"/>
      <c r="F1685" s="47"/>
      <c r="G1685" s="47"/>
      <c r="H1685" s="46"/>
      <c r="I1685" s="47"/>
      <c r="J1685" s="47"/>
      <c r="K1685" s="47"/>
      <c r="L1685" s="47"/>
      <c r="M1685" s="47"/>
      <c r="N1685" s="47"/>
      <c r="O1685" s="47"/>
      <c r="P1685" s="45" t="str">
        <f aca="false">IF($A1685="","",IF(COUNTIF(Accounts!$C$2:$C$201,$A1685)+COUNTIF('Service Principals'!$C$2:$C$201,$A1685)+COUNTIF('Managed Identities'!$C$2:$C$201,$A1685)&gt;0,"Yes","NOT IN INVENTORY"))</f>
        <v/>
      </c>
    </row>
    <row r="1686" customFormat="false" ht="15" hidden="false" customHeight="false" outlineLevel="0" collapsed="false">
      <c r="A1686" s="46"/>
      <c r="B1686" s="47"/>
      <c r="C1686" s="47"/>
      <c r="D1686" s="46"/>
      <c r="E1686" s="47"/>
      <c r="F1686" s="47"/>
      <c r="G1686" s="47"/>
      <c r="H1686" s="46"/>
      <c r="I1686" s="47"/>
      <c r="J1686" s="47"/>
      <c r="K1686" s="47"/>
      <c r="L1686" s="47"/>
      <c r="M1686" s="47"/>
      <c r="N1686" s="47"/>
      <c r="O1686" s="47"/>
      <c r="P1686" s="45" t="str">
        <f aca="false">IF($A1686="","",IF(COUNTIF(Accounts!$C$2:$C$201,$A1686)+COUNTIF('Service Principals'!$C$2:$C$201,$A1686)+COUNTIF('Managed Identities'!$C$2:$C$201,$A1686)&gt;0,"Yes","NOT IN INVENTORY"))</f>
        <v/>
      </c>
    </row>
    <row r="1687" customFormat="false" ht="15" hidden="false" customHeight="false" outlineLevel="0" collapsed="false">
      <c r="A1687" s="46"/>
      <c r="B1687" s="47"/>
      <c r="C1687" s="47"/>
      <c r="D1687" s="46"/>
      <c r="E1687" s="47"/>
      <c r="F1687" s="47"/>
      <c r="G1687" s="47"/>
      <c r="H1687" s="46"/>
      <c r="I1687" s="47"/>
      <c r="J1687" s="47"/>
      <c r="K1687" s="47"/>
      <c r="L1687" s="47"/>
      <c r="M1687" s="47"/>
      <c r="N1687" s="47"/>
      <c r="O1687" s="47"/>
      <c r="P1687" s="45" t="str">
        <f aca="false">IF($A1687="","",IF(COUNTIF(Accounts!$C$2:$C$201,$A1687)+COUNTIF('Service Principals'!$C$2:$C$201,$A1687)+COUNTIF('Managed Identities'!$C$2:$C$201,$A1687)&gt;0,"Yes","NOT IN INVENTORY"))</f>
        <v/>
      </c>
    </row>
    <row r="1688" customFormat="false" ht="15" hidden="false" customHeight="false" outlineLevel="0" collapsed="false">
      <c r="A1688" s="46"/>
      <c r="B1688" s="47"/>
      <c r="C1688" s="47"/>
      <c r="D1688" s="46"/>
      <c r="E1688" s="47"/>
      <c r="F1688" s="47"/>
      <c r="G1688" s="47"/>
      <c r="H1688" s="46"/>
      <c r="I1688" s="47"/>
      <c r="J1688" s="47"/>
      <c r="K1688" s="47"/>
      <c r="L1688" s="47"/>
      <c r="M1688" s="47"/>
      <c r="N1688" s="47"/>
      <c r="O1688" s="47"/>
      <c r="P1688" s="45" t="str">
        <f aca="false">IF($A1688="","",IF(COUNTIF(Accounts!$C$2:$C$201,$A1688)+COUNTIF('Service Principals'!$C$2:$C$201,$A1688)+COUNTIF('Managed Identities'!$C$2:$C$201,$A1688)&gt;0,"Yes","NOT IN INVENTORY"))</f>
        <v/>
      </c>
    </row>
    <row r="1689" customFormat="false" ht="15" hidden="false" customHeight="false" outlineLevel="0" collapsed="false">
      <c r="A1689" s="46"/>
      <c r="B1689" s="47"/>
      <c r="C1689" s="47"/>
      <c r="D1689" s="46"/>
      <c r="E1689" s="47"/>
      <c r="F1689" s="47"/>
      <c r="G1689" s="47"/>
      <c r="H1689" s="46"/>
      <c r="I1689" s="47"/>
      <c r="J1689" s="47"/>
      <c r="K1689" s="47"/>
      <c r="L1689" s="47"/>
      <c r="M1689" s="47"/>
      <c r="N1689" s="47"/>
      <c r="O1689" s="47"/>
      <c r="P1689" s="45" t="str">
        <f aca="false">IF($A1689="","",IF(COUNTIF(Accounts!$C$2:$C$201,$A1689)+COUNTIF('Service Principals'!$C$2:$C$201,$A1689)+COUNTIF('Managed Identities'!$C$2:$C$201,$A1689)&gt;0,"Yes","NOT IN INVENTORY"))</f>
        <v/>
      </c>
    </row>
    <row r="1690" customFormat="false" ht="15" hidden="false" customHeight="false" outlineLevel="0" collapsed="false">
      <c r="A1690" s="46"/>
      <c r="B1690" s="47"/>
      <c r="C1690" s="47"/>
      <c r="D1690" s="46"/>
      <c r="E1690" s="47"/>
      <c r="F1690" s="47"/>
      <c r="G1690" s="47"/>
      <c r="H1690" s="46"/>
      <c r="I1690" s="47"/>
      <c r="J1690" s="47"/>
      <c r="K1690" s="47"/>
      <c r="L1690" s="47"/>
      <c r="M1690" s="47"/>
      <c r="N1690" s="47"/>
      <c r="O1690" s="47"/>
      <c r="P1690" s="45" t="str">
        <f aca="false">IF($A1690="","",IF(COUNTIF(Accounts!$C$2:$C$201,$A1690)+COUNTIF('Service Principals'!$C$2:$C$201,$A1690)+COUNTIF('Managed Identities'!$C$2:$C$201,$A1690)&gt;0,"Yes","NOT IN INVENTORY"))</f>
        <v/>
      </c>
    </row>
    <row r="1691" customFormat="false" ht="15" hidden="false" customHeight="false" outlineLevel="0" collapsed="false">
      <c r="A1691" s="46"/>
      <c r="B1691" s="47"/>
      <c r="C1691" s="47"/>
      <c r="D1691" s="46"/>
      <c r="E1691" s="47"/>
      <c r="F1691" s="47"/>
      <c r="G1691" s="47"/>
      <c r="H1691" s="46"/>
      <c r="I1691" s="47"/>
      <c r="J1691" s="47"/>
      <c r="K1691" s="47"/>
      <c r="L1691" s="47"/>
      <c r="M1691" s="47"/>
      <c r="N1691" s="47"/>
      <c r="O1691" s="47"/>
      <c r="P1691" s="45" t="str">
        <f aca="false">IF($A1691="","",IF(COUNTIF(Accounts!$C$2:$C$201,$A1691)+COUNTIF('Service Principals'!$C$2:$C$201,$A1691)+COUNTIF('Managed Identities'!$C$2:$C$201,$A1691)&gt;0,"Yes","NOT IN INVENTORY"))</f>
        <v/>
      </c>
    </row>
    <row r="1692" customFormat="false" ht="15" hidden="false" customHeight="false" outlineLevel="0" collapsed="false">
      <c r="A1692" s="46"/>
      <c r="B1692" s="47"/>
      <c r="C1692" s="47"/>
      <c r="D1692" s="46"/>
      <c r="E1692" s="47"/>
      <c r="F1692" s="47"/>
      <c r="G1692" s="47"/>
      <c r="H1692" s="46"/>
      <c r="I1692" s="47"/>
      <c r="J1692" s="47"/>
      <c r="K1692" s="47"/>
      <c r="L1692" s="47"/>
      <c r="M1692" s="47"/>
      <c r="N1692" s="47"/>
      <c r="O1692" s="47"/>
      <c r="P1692" s="45" t="str">
        <f aca="false">IF($A1692="","",IF(COUNTIF(Accounts!$C$2:$C$201,$A1692)+COUNTIF('Service Principals'!$C$2:$C$201,$A1692)+COUNTIF('Managed Identities'!$C$2:$C$201,$A1692)&gt;0,"Yes","NOT IN INVENTORY"))</f>
        <v/>
      </c>
    </row>
    <row r="1693" customFormat="false" ht="15" hidden="false" customHeight="false" outlineLevel="0" collapsed="false">
      <c r="A1693" s="46"/>
      <c r="B1693" s="47"/>
      <c r="C1693" s="47"/>
      <c r="D1693" s="46"/>
      <c r="E1693" s="47"/>
      <c r="F1693" s="47"/>
      <c r="G1693" s="47"/>
      <c r="H1693" s="46"/>
      <c r="I1693" s="47"/>
      <c r="J1693" s="47"/>
      <c r="K1693" s="47"/>
      <c r="L1693" s="47"/>
      <c r="M1693" s="47"/>
      <c r="N1693" s="47"/>
      <c r="O1693" s="47"/>
      <c r="P1693" s="45" t="str">
        <f aca="false">IF($A1693="","",IF(COUNTIF(Accounts!$C$2:$C$201,$A1693)+COUNTIF('Service Principals'!$C$2:$C$201,$A1693)+COUNTIF('Managed Identities'!$C$2:$C$201,$A1693)&gt;0,"Yes","NOT IN INVENTORY"))</f>
        <v/>
      </c>
    </row>
    <row r="1694" customFormat="false" ht="15" hidden="false" customHeight="false" outlineLevel="0" collapsed="false">
      <c r="A1694" s="46"/>
      <c r="B1694" s="47"/>
      <c r="C1694" s="47"/>
      <c r="D1694" s="46"/>
      <c r="E1694" s="47"/>
      <c r="F1694" s="47"/>
      <c r="G1694" s="47"/>
      <c r="H1694" s="46"/>
      <c r="I1694" s="47"/>
      <c r="J1694" s="47"/>
      <c r="K1694" s="47"/>
      <c r="L1694" s="47"/>
      <c r="M1694" s="47"/>
      <c r="N1694" s="47"/>
      <c r="O1694" s="47"/>
      <c r="P1694" s="45" t="str">
        <f aca="false">IF($A1694="","",IF(COUNTIF(Accounts!$C$2:$C$201,$A1694)+COUNTIF('Service Principals'!$C$2:$C$201,$A1694)+COUNTIF('Managed Identities'!$C$2:$C$201,$A1694)&gt;0,"Yes","NOT IN INVENTORY"))</f>
        <v/>
      </c>
    </row>
    <row r="1695" customFormat="false" ht="15" hidden="false" customHeight="false" outlineLevel="0" collapsed="false">
      <c r="A1695" s="46"/>
      <c r="B1695" s="47"/>
      <c r="C1695" s="47"/>
      <c r="D1695" s="46"/>
      <c r="E1695" s="47"/>
      <c r="F1695" s="47"/>
      <c r="G1695" s="47"/>
      <c r="H1695" s="46"/>
      <c r="I1695" s="47"/>
      <c r="J1695" s="47"/>
      <c r="K1695" s="47"/>
      <c r="L1695" s="47"/>
      <c r="M1695" s="47"/>
      <c r="N1695" s="47"/>
      <c r="O1695" s="47"/>
      <c r="P1695" s="45" t="str">
        <f aca="false">IF($A1695="","",IF(COUNTIF(Accounts!$C$2:$C$201,$A1695)+COUNTIF('Service Principals'!$C$2:$C$201,$A1695)+COUNTIF('Managed Identities'!$C$2:$C$201,$A1695)&gt;0,"Yes","NOT IN INVENTORY"))</f>
        <v/>
      </c>
    </row>
    <row r="1696" customFormat="false" ht="15" hidden="false" customHeight="false" outlineLevel="0" collapsed="false">
      <c r="A1696" s="46"/>
      <c r="B1696" s="47"/>
      <c r="C1696" s="47"/>
      <c r="D1696" s="46"/>
      <c r="E1696" s="47"/>
      <c r="F1696" s="47"/>
      <c r="G1696" s="47"/>
      <c r="H1696" s="46"/>
      <c r="I1696" s="47"/>
      <c r="J1696" s="47"/>
      <c r="K1696" s="47"/>
      <c r="L1696" s="47"/>
      <c r="M1696" s="47"/>
      <c r="N1696" s="47"/>
      <c r="O1696" s="47"/>
      <c r="P1696" s="45" t="str">
        <f aca="false">IF($A1696="","",IF(COUNTIF(Accounts!$C$2:$C$201,$A1696)+COUNTIF('Service Principals'!$C$2:$C$201,$A1696)+COUNTIF('Managed Identities'!$C$2:$C$201,$A1696)&gt;0,"Yes","NOT IN INVENTORY"))</f>
        <v/>
      </c>
    </row>
    <row r="1697" customFormat="false" ht="15" hidden="false" customHeight="false" outlineLevel="0" collapsed="false">
      <c r="A1697" s="46"/>
      <c r="B1697" s="47"/>
      <c r="C1697" s="47"/>
      <c r="D1697" s="46"/>
      <c r="E1697" s="47"/>
      <c r="F1697" s="47"/>
      <c r="G1697" s="47"/>
      <c r="H1697" s="46"/>
      <c r="I1697" s="47"/>
      <c r="J1697" s="47"/>
      <c r="K1697" s="47"/>
      <c r="L1697" s="47"/>
      <c r="M1697" s="47"/>
      <c r="N1697" s="47"/>
      <c r="O1697" s="47"/>
      <c r="P1697" s="45" t="str">
        <f aca="false">IF($A1697="","",IF(COUNTIF(Accounts!$C$2:$C$201,$A1697)+COUNTIF('Service Principals'!$C$2:$C$201,$A1697)+COUNTIF('Managed Identities'!$C$2:$C$201,$A1697)&gt;0,"Yes","NOT IN INVENTORY"))</f>
        <v/>
      </c>
    </row>
    <row r="1698" customFormat="false" ht="15" hidden="false" customHeight="false" outlineLevel="0" collapsed="false">
      <c r="A1698" s="46"/>
      <c r="B1698" s="47"/>
      <c r="C1698" s="47"/>
      <c r="D1698" s="46"/>
      <c r="E1698" s="47"/>
      <c r="F1698" s="47"/>
      <c r="G1698" s="47"/>
      <c r="H1698" s="46"/>
      <c r="I1698" s="47"/>
      <c r="J1698" s="47"/>
      <c r="K1698" s="47"/>
      <c r="L1698" s="47"/>
      <c r="M1698" s="47"/>
      <c r="N1698" s="47"/>
      <c r="O1698" s="47"/>
      <c r="P1698" s="45" t="str">
        <f aca="false">IF($A1698="","",IF(COUNTIF(Accounts!$C$2:$C$201,$A1698)+COUNTIF('Service Principals'!$C$2:$C$201,$A1698)+COUNTIF('Managed Identities'!$C$2:$C$201,$A1698)&gt;0,"Yes","NOT IN INVENTORY"))</f>
        <v/>
      </c>
    </row>
    <row r="1699" customFormat="false" ht="15" hidden="false" customHeight="false" outlineLevel="0" collapsed="false">
      <c r="A1699" s="46"/>
      <c r="B1699" s="47"/>
      <c r="C1699" s="47"/>
      <c r="D1699" s="46"/>
      <c r="E1699" s="47"/>
      <c r="F1699" s="47"/>
      <c r="G1699" s="47"/>
      <c r="H1699" s="46"/>
      <c r="I1699" s="47"/>
      <c r="J1699" s="47"/>
      <c r="K1699" s="47"/>
      <c r="L1699" s="47"/>
      <c r="M1699" s="47"/>
      <c r="N1699" s="47"/>
      <c r="O1699" s="47"/>
      <c r="P1699" s="45" t="str">
        <f aca="false">IF($A1699="","",IF(COUNTIF(Accounts!$C$2:$C$201,$A1699)+COUNTIF('Service Principals'!$C$2:$C$201,$A1699)+COUNTIF('Managed Identities'!$C$2:$C$201,$A1699)&gt;0,"Yes","NOT IN INVENTORY"))</f>
        <v/>
      </c>
    </row>
    <row r="1700" customFormat="false" ht="15" hidden="false" customHeight="false" outlineLevel="0" collapsed="false">
      <c r="A1700" s="46"/>
      <c r="B1700" s="47"/>
      <c r="C1700" s="47"/>
      <c r="D1700" s="46"/>
      <c r="E1700" s="47"/>
      <c r="F1700" s="47"/>
      <c r="G1700" s="47"/>
      <c r="H1700" s="46"/>
      <c r="I1700" s="47"/>
      <c r="J1700" s="47"/>
      <c r="K1700" s="47"/>
      <c r="L1700" s="47"/>
      <c r="M1700" s="47"/>
      <c r="N1700" s="47"/>
      <c r="O1700" s="47"/>
      <c r="P1700" s="45" t="str">
        <f aca="false">IF($A1700="","",IF(COUNTIF(Accounts!$C$2:$C$201,$A1700)+COUNTIF('Service Principals'!$C$2:$C$201,$A1700)+COUNTIF('Managed Identities'!$C$2:$C$201,$A1700)&gt;0,"Yes","NOT IN INVENTORY"))</f>
        <v/>
      </c>
    </row>
    <row r="1701" customFormat="false" ht="15" hidden="false" customHeight="false" outlineLevel="0" collapsed="false">
      <c r="A1701" s="46"/>
      <c r="B1701" s="47"/>
      <c r="C1701" s="47"/>
      <c r="D1701" s="46"/>
      <c r="E1701" s="47"/>
      <c r="F1701" s="47"/>
      <c r="G1701" s="47"/>
      <c r="H1701" s="46"/>
      <c r="I1701" s="47"/>
      <c r="J1701" s="47"/>
      <c r="K1701" s="47"/>
      <c r="L1701" s="47"/>
      <c r="M1701" s="47"/>
      <c r="N1701" s="47"/>
      <c r="O1701" s="47"/>
      <c r="P1701" s="45" t="str">
        <f aca="false">IF($A1701="","",IF(COUNTIF(Accounts!$C$2:$C$201,$A1701)+COUNTIF('Service Principals'!$C$2:$C$201,$A1701)+COUNTIF('Managed Identities'!$C$2:$C$201,$A1701)&gt;0,"Yes","NOT IN INVENTORY"))</f>
        <v/>
      </c>
    </row>
    <row r="1702" customFormat="false" ht="15" hidden="false" customHeight="false" outlineLevel="0" collapsed="false">
      <c r="A1702" s="46"/>
      <c r="B1702" s="47"/>
      <c r="C1702" s="47"/>
      <c r="D1702" s="46"/>
      <c r="E1702" s="47"/>
      <c r="F1702" s="47"/>
      <c r="G1702" s="47"/>
      <c r="H1702" s="46"/>
      <c r="I1702" s="47"/>
      <c r="J1702" s="47"/>
      <c r="K1702" s="47"/>
      <c r="L1702" s="47"/>
      <c r="M1702" s="47"/>
      <c r="N1702" s="47"/>
      <c r="O1702" s="47"/>
      <c r="P1702" s="45" t="str">
        <f aca="false">IF($A1702="","",IF(COUNTIF(Accounts!$C$2:$C$201,$A1702)+COUNTIF('Service Principals'!$C$2:$C$201,$A1702)+COUNTIF('Managed Identities'!$C$2:$C$201,$A1702)&gt;0,"Yes","NOT IN INVENTORY"))</f>
        <v/>
      </c>
    </row>
    <row r="1703" customFormat="false" ht="15" hidden="false" customHeight="false" outlineLevel="0" collapsed="false">
      <c r="A1703" s="46"/>
      <c r="B1703" s="47"/>
      <c r="C1703" s="47"/>
      <c r="D1703" s="46"/>
      <c r="E1703" s="47"/>
      <c r="F1703" s="47"/>
      <c r="G1703" s="47"/>
      <c r="H1703" s="46"/>
      <c r="I1703" s="47"/>
      <c r="J1703" s="47"/>
      <c r="K1703" s="47"/>
      <c r="L1703" s="47"/>
      <c r="M1703" s="47"/>
      <c r="N1703" s="47"/>
      <c r="O1703" s="47"/>
      <c r="P1703" s="45" t="str">
        <f aca="false">IF($A1703="","",IF(COUNTIF(Accounts!$C$2:$C$201,$A1703)+COUNTIF('Service Principals'!$C$2:$C$201,$A1703)+COUNTIF('Managed Identities'!$C$2:$C$201,$A1703)&gt;0,"Yes","NOT IN INVENTORY"))</f>
        <v/>
      </c>
    </row>
    <row r="1704" customFormat="false" ht="15" hidden="false" customHeight="false" outlineLevel="0" collapsed="false">
      <c r="A1704" s="46"/>
      <c r="B1704" s="47"/>
      <c r="C1704" s="47"/>
      <c r="D1704" s="46"/>
      <c r="E1704" s="47"/>
      <c r="F1704" s="47"/>
      <c r="G1704" s="47"/>
      <c r="H1704" s="46"/>
      <c r="I1704" s="47"/>
      <c r="J1704" s="47"/>
      <c r="K1704" s="47"/>
      <c r="L1704" s="47"/>
      <c r="M1704" s="47"/>
      <c r="N1704" s="47"/>
      <c r="O1704" s="47"/>
      <c r="P1704" s="45" t="str">
        <f aca="false">IF($A1704="","",IF(COUNTIF(Accounts!$C$2:$C$201,$A1704)+COUNTIF('Service Principals'!$C$2:$C$201,$A1704)+COUNTIF('Managed Identities'!$C$2:$C$201,$A1704)&gt;0,"Yes","NOT IN INVENTORY"))</f>
        <v/>
      </c>
    </row>
    <row r="1705" customFormat="false" ht="15" hidden="false" customHeight="false" outlineLevel="0" collapsed="false">
      <c r="A1705" s="46"/>
      <c r="B1705" s="47"/>
      <c r="C1705" s="47"/>
      <c r="D1705" s="46"/>
      <c r="E1705" s="47"/>
      <c r="F1705" s="47"/>
      <c r="G1705" s="47"/>
      <c r="H1705" s="46"/>
      <c r="I1705" s="47"/>
      <c r="J1705" s="47"/>
      <c r="K1705" s="47"/>
      <c r="L1705" s="47"/>
      <c r="M1705" s="47"/>
      <c r="N1705" s="47"/>
      <c r="O1705" s="47"/>
      <c r="P1705" s="45" t="str">
        <f aca="false">IF($A1705="","",IF(COUNTIF(Accounts!$C$2:$C$201,$A1705)+COUNTIF('Service Principals'!$C$2:$C$201,$A1705)+COUNTIF('Managed Identities'!$C$2:$C$201,$A1705)&gt;0,"Yes","NOT IN INVENTORY"))</f>
        <v/>
      </c>
    </row>
    <row r="1706" customFormat="false" ht="15" hidden="false" customHeight="false" outlineLevel="0" collapsed="false">
      <c r="A1706" s="46"/>
      <c r="B1706" s="47"/>
      <c r="C1706" s="47"/>
      <c r="D1706" s="46"/>
      <c r="E1706" s="47"/>
      <c r="F1706" s="47"/>
      <c r="G1706" s="47"/>
      <c r="H1706" s="46"/>
      <c r="I1706" s="47"/>
      <c r="J1706" s="47"/>
      <c r="K1706" s="47"/>
      <c r="L1706" s="47"/>
      <c r="M1706" s="47"/>
      <c r="N1706" s="47"/>
      <c r="O1706" s="47"/>
      <c r="P1706" s="45" t="str">
        <f aca="false">IF($A1706="","",IF(COUNTIF(Accounts!$C$2:$C$201,$A1706)+COUNTIF('Service Principals'!$C$2:$C$201,$A1706)+COUNTIF('Managed Identities'!$C$2:$C$201,$A1706)&gt;0,"Yes","NOT IN INVENTORY"))</f>
        <v/>
      </c>
    </row>
    <row r="1707" customFormat="false" ht="15" hidden="false" customHeight="false" outlineLevel="0" collapsed="false">
      <c r="A1707" s="46"/>
      <c r="B1707" s="47"/>
      <c r="C1707" s="47"/>
      <c r="D1707" s="46"/>
      <c r="E1707" s="47"/>
      <c r="F1707" s="47"/>
      <c r="G1707" s="47"/>
      <c r="H1707" s="46"/>
      <c r="I1707" s="47"/>
      <c r="J1707" s="47"/>
      <c r="K1707" s="47"/>
      <c r="L1707" s="47"/>
      <c r="M1707" s="47"/>
      <c r="N1707" s="47"/>
      <c r="O1707" s="47"/>
      <c r="P1707" s="45" t="str">
        <f aca="false">IF($A1707="","",IF(COUNTIF(Accounts!$C$2:$C$201,$A1707)+COUNTIF('Service Principals'!$C$2:$C$201,$A1707)+COUNTIF('Managed Identities'!$C$2:$C$201,$A1707)&gt;0,"Yes","NOT IN INVENTORY"))</f>
        <v/>
      </c>
    </row>
    <row r="1708" customFormat="false" ht="15" hidden="false" customHeight="false" outlineLevel="0" collapsed="false">
      <c r="A1708" s="46"/>
      <c r="B1708" s="47"/>
      <c r="C1708" s="47"/>
      <c r="D1708" s="46"/>
      <c r="E1708" s="47"/>
      <c r="F1708" s="47"/>
      <c r="G1708" s="47"/>
      <c r="H1708" s="46"/>
      <c r="I1708" s="47"/>
      <c r="J1708" s="47"/>
      <c r="K1708" s="47"/>
      <c r="L1708" s="47"/>
      <c r="M1708" s="47"/>
      <c r="N1708" s="47"/>
      <c r="O1708" s="47"/>
      <c r="P1708" s="45" t="str">
        <f aca="false">IF($A1708="","",IF(COUNTIF(Accounts!$C$2:$C$201,$A1708)+COUNTIF('Service Principals'!$C$2:$C$201,$A1708)+COUNTIF('Managed Identities'!$C$2:$C$201,$A1708)&gt;0,"Yes","NOT IN INVENTORY"))</f>
        <v/>
      </c>
    </row>
    <row r="1709" customFormat="false" ht="15" hidden="false" customHeight="false" outlineLevel="0" collapsed="false">
      <c r="A1709" s="46"/>
      <c r="B1709" s="47"/>
      <c r="C1709" s="47"/>
      <c r="D1709" s="46"/>
      <c r="E1709" s="47"/>
      <c r="F1709" s="47"/>
      <c r="G1709" s="47"/>
      <c r="H1709" s="46"/>
      <c r="I1709" s="47"/>
      <c r="J1709" s="47"/>
      <c r="K1709" s="47"/>
      <c r="L1709" s="47"/>
      <c r="M1709" s="47"/>
      <c r="N1709" s="47"/>
      <c r="O1709" s="47"/>
      <c r="P1709" s="45" t="str">
        <f aca="false">IF($A1709="","",IF(COUNTIF(Accounts!$C$2:$C$201,$A1709)+COUNTIF('Service Principals'!$C$2:$C$201,$A1709)+COUNTIF('Managed Identities'!$C$2:$C$201,$A1709)&gt;0,"Yes","NOT IN INVENTORY"))</f>
        <v/>
      </c>
    </row>
    <row r="1710" customFormat="false" ht="15" hidden="false" customHeight="false" outlineLevel="0" collapsed="false">
      <c r="A1710" s="46"/>
      <c r="B1710" s="47"/>
      <c r="C1710" s="47"/>
      <c r="D1710" s="46"/>
      <c r="E1710" s="47"/>
      <c r="F1710" s="47"/>
      <c r="G1710" s="47"/>
      <c r="H1710" s="46"/>
      <c r="I1710" s="47"/>
      <c r="J1710" s="47"/>
      <c r="K1710" s="47"/>
      <c r="L1710" s="47"/>
      <c r="M1710" s="47"/>
      <c r="N1710" s="47"/>
      <c r="O1710" s="47"/>
      <c r="P1710" s="45" t="str">
        <f aca="false">IF($A1710="","",IF(COUNTIF(Accounts!$C$2:$C$201,$A1710)+COUNTIF('Service Principals'!$C$2:$C$201,$A1710)+COUNTIF('Managed Identities'!$C$2:$C$201,$A1710)&gt;0,"Yes","NOT IN INVENTORY"))</f>
        <v/>
      </c>
    </row>
    <row r="1711" customFormat="false" ht="15" hidden="false" customHeight="false" outlineLevel="0" collapsed="false">
      <c r="A1711" s="46"/>
      <c r="B1711" s="47"/>
      <c r="C1711" s="47"/>
      <c r="D1711" s="46"/>
      <c r="E1711" s="47"/>
      <c r="F1711" s="47"/>
      <c r="G1711" s="47"/>
      <c r="H1711" s="46"/>
      <c r="I1711" s="47"/>
      <c r="J1711" s="47"/>
      <c r="K1711" s="47"/>
      <c r="L1711" s="47"/>
      <c r="M1711" s="47"/>
      <c r="N1711" s="47"/>
      <c r="O1711" s="47"/>
      <c r="P1711" s="45" t="str">
        <f aca="false">IF($A1711="","",IF(COUNTIF(Accounts!$C$2:$C$201,$A1711)+COUNTIF('Service Principals'!$C$2:$C$201,$A1711)+COUNTIF('Managed Identities'!$C$2:$C$201,$A1711)&gt;0,"Yes","NOT IN INVENTORY"))</f>
        <v/>
      </c>
    </row>
    <row r="1712" customFormat="false" ht="15" hidden="false" customHeight="false" outlineLevel="0" collapsed="false">
      <c r="A1712" s="46"/>
      <c r="B1712" s="47"/>
      <c r="C1712" s="47"/>
      <c r="D1712" s="46"/>
      <c r="E1712" s="47"/>
      <c r="F1712" s="47"/>
      <c r="G1712" s="47"/>
      <c r="H1712" s="46"/>
      <c r="I1712" s="47"/>
      <c r="J1712" s="47"/>
      <c r="K1712" s="47"/>
      <c r="L1712" s="47"/>
      <c r="M1712" s="47"/>
      <c r="N1712" s="47"/>
      <c r="O1712" s="47"/>
      <c r="P1712" s="45" t="str">
        <f aca="false">IF($A1712="","",IF(COUNTIF(Accounts!$C$2:$C$201,$A1712)+COUNTIF('Service Principals'!$C$2:$C$201,$A1712)+COUNTIF('Managed Identities'!$C$2:$C$201,$A1712)&gt;0,"Yes","NOT IN INVENTORY"))</f>
        <v/>
      </c>
    </row>
    <row r="1713" customFormat="false" ht="15" hidden="false" customHeight="false" outlineLevel="0" collapsed="false">
      <c r="A1713" s="46"/>
      <c r="B1713" s="47"/>
      <c r="C1713" s="47"/>
      <c r="D1713" s="46"/>
      <c r="E1713" s="47"/>
      <c r="F1713" s="47"/>
      <c r="G1713" s="47"/>
      <c r="H1713" s="46"/>
      <c r="I1713" s="47"/>
      <c r="J1713" s="47"/>
      <c r="K1713" s="47"/>
      <c r="L1713" s="47"/>
      <c r="M1713" s="47"/>
      <c r="N1713" s="47"/>
      <c r="O1713" s="47"/>
      <c r="P1713" s="45" t="str">
        <f aca="false">IF($A1713="","",IF(COUNTIF(Accounts!$C$2:$C$201,$A1713)+COUNTIF('Service Principals'!$C$2:$C$201,$A1713)+COUNTIF('Managed Identities'!$C$2:$C$201,$A1713)&gt;0,"Yes","NOT IN INVENTORY"))</f>
        <v/>
      </c>
    </row>
    <row r="1714" customFormat="false" ht="15" hidden="false" customHeight="false" outlineLevel="0" collapsed="false">
      <c r="A1714" s="46"/>
      <c r="B1714" s="47"/>
      <c r="C1714" s="47"/>
      <c r="D1714" s="46"/>
      <c r="E1714" s="47"/>
      <c r="F1714" s="47"/>
      <c r="G1714" s="47"/>
      <c r="H1714" s="46"/>
      <c r="I1714" s="47"/>
      <c r="J1714" s="47"/>
      <c r="K1714" s="47"/>
      <c r="L1714" s="47"/>
      <c r="M1714" s="47"/>
      <c r="N1714" s="47"/>
      <c r="O1714" s="47"/>
      <c r="P1714" s="45" t="str">
        <f aca="false">IF($A1714="","",IF(COUNTIF(Accounts!$C$2:$C$201,$A1714)+COUNTIF('Service Principals'!$C$2:$C$201,$A1714)+COUNTIF('Managed Identities'!$C$2:$C$201,$A1714)&gt;0,"Yes","NOT IN INVENTORY"))</f>
        <v/>
      </c>
    </row>
    <row r="1715" customFormat="false" ht="15" hidden="false" customHeight="false" outlineLevel="0" collapsed="false">
      <c r="A1715" s="46"/>
      <c r="B1715" s="47"/>
      <c r="C1715" s="47"/>
      <c r="D1715" s="46"/>
      <c r="E1715" s="47"/>
      <c r="F1715" s="47"/>
      <c r="G1715" s="47"/>
      <c r="H1715" s="46"/>
      <c r="I1715" s="47"/>
      <c r="J1715" s="47"/>
      <c r="K1715" s="47"/>
      <c r="L1715" s="47"/>
      <c r="M1715" s="47"/>
      <c r="N1715" s="47"/>
      <c r="O1715" s="47"/>
      <c r="P1715" s="45" t="str">
        <f aca="false">IF($A1715="","",IF(COUNTIF(Accounts!$C$2:$C$201,$A1715)+COUNTIF('Service Principals'!$C$2:$C$201,$A1715)+COUNTIF('Managed Identities'!$C$2:$C$201,$A1715)&gt;0,"Yes","NOT IN INVENTORY"))</f>
        <v/>
      </c>
    </row>
    <row r="1716" customFormat="false" ht="15" hidden="false" customHeight="false" outlineLevel="0" collapsed="false">
      <c r="A1716" s="46"/>
      <c r="B1716" s="47"/>
      <c r="C1716" s="47"/>
      <c r="D1716" s="46"/>
      <c r="E1716" s="47"/>
      <c r="F1716" s="47"/>
      <c r="G1716" s="47"/>
      <c r="H1716" s="46"/>
      <c r="I1716" s="47"/>
      <c r="J1716" s="47"/>
      <c r="K1716" s="47"/>
      <c r="L1716" s="47"/>
      <c r="M1716" s="47"/>
      <c r="N1716" s="47"/>
      <c r="O1716" s="47"/>
      <c r="P1716" s="45" t="str">
        <f aca="false">IF($A1716="","",IF(COUNTIF(Accounts!$C$2:$C$201,$A1716)+COUNTIF('Service Principals'!$C$2:$C$201,$A1716)+COUNTIF('Managed Identities'!$C$2:$C$201,$A1716)&gt;0,"Yes","NOT IN INVENTORY"))</f>
        <v/>
      </c>
    </row>
    <row r="1717" customFormat="false" ht="15" hidden="false" customHeight="false" outlineLevel="0" collapsed="false">
      <c r="A1717" s="46"/>
      <c r="B1717" s="47"/>
      <c r="C1717" s="47"/>
      <c r="D1717" s="46"/>
      <c r="E1717" s="47"/>
      <c r="F1717" s="47"/>
      <c r="G1717" s="47"/>
      <c r="H1717" s="46"/>
      <c r="I1717" s="47"/>
      <c r="J1717" s="47"/>
      <c r="K1717" s="47"/>
      <c r="L1717" s="47"/>
      <c r="M1717" s="47"/>
      <c r="N1717" s="47"/>
      <c r="O1717" s="47"/>
      <c r="P1717" s="45" t="str">
        <f aca="false">IF($A1717="","",IF(COUNTIF(Accounts!$C$2:$C$201,$A1717)+COUNTIF('Service Principals'!$C$2:$C$201,$A1717)+COUNTIF('Managed Identities'!$C$2:$C$201,$A1717)&gt;0,"Yes","NOT IN INVENTORY"))</f>
        <v/>
      </c>
    </row>
    <row r="1718" customFormat="false" ht="15" hidden="false" customHeight="false" outlineLevel="0" collapsed="false">
      <c r="A1718" s="46"/>
      <c r="B1718" s="47"/>
      <c r="C1718" s="47"/>
      <c r="D1718" s="46"/>
      <c r="E1718" s="47"/>
      <c r="F1718" s="47"/>
      <c r="G1718" s="47"/>
      <c r="H1718" s="46"/>
      <c r="I1718" s="47"/>
      <c r="J1718" s="47"/>
      <c r="K1718" s="47"/>
      <c r="L1718" s="47"/>
      <c r="M1718" s="47"/>
      <c r="N1718" s="47"/>
      <c r="O1718" s="47"/>
      <c r="P1718" s="45" t="str">
        <f aca="false">IF($A1718="","",IF(COUNTIF(Accounts!$C$2:$C$201,$A1718)+COUNTIF('Service Principals'!$C$2:$C$201,$A1718)+COUNTIF('Managed Identities'!$C$2:$C$201,$A1718)&gt;0,"Yes","NOT IN INVENTORY"))</f>
        <v/>
      </c>
    </row>
    <row r="1719" customFormat="false" ht="15" hidden="false" customHeight="false" outlineLevel="0" collapsed="false">
      <c r="A1719" s="46"/>
      <c r="B1719" s="47"/>
      <c r="C1719" s="47"/>
      <c r="D1719" s="46"/>
      <c r="E1719" s="47"/>
      <c r="F1719" s="47"/>
      <c r="G1719" s="47"/>
      <c r="H1719" s="46"/>
      <c r="I1719" s="47"/>
      <c r="J1719" s="47"/>
      <c r="K1719" s="47"/>
      <c r="L1719" s="47"/>
      <c r="M1719" s="47"/>
      <c r="N1719" s="47"/>
      <c r="O1719" s="47"/>
      <c r="P1719" s="45" t="str">
        <f aca="false">IF($A1719="","",IF(COUNTIF(Accounts!$C$2:$C$201,$A1719)+COUNTIF('Service Principals'!$C$2:$C$201,$A1719)+COUNTIF('Managed Identities'!$C$2:$C$201,$A1719)&gt;0,"Yes","NOT IN INVENTORY"))</f>
        <v/>
      </c>
    </row>
    <row r="1720" customFormat="false" ht="15" hidden="false" customHeight="false" outlineLevel="0" collapsed="false">
      <c r="A1720" s="46"/>
      <c r="B1720" s="47"/>
      <c r="C1720" s="47"/>
      <c r="D1720" s="46"/>
      <c r="E1720" s="47"/>
      <c r="F1720" s="47"/>
      <c r="G1720" s="47"/>
      <c r="H1720" s="46"/>
      <c r="I1720" s="47"/>
      <c r="J1720" s="47"/>
      <c r="K1720" s="47"/>
      <c r="L1720" s="47"/>
      <c r="M1720" s="47"/>
      <c r="N1720" s="47"/>
      <c r="O1720" s="47"/>
      <c r="P1720" s="45" t="str">
        <f aca="false">IF($A1720="","",IF(COUNTIF(Accounts!$C$2:$C$201,$A1720)+COUNTIF('Service Principals'!$C$2:$C$201,$A1720)+COUNTIF('Managed Identities'!$C$2:$C$201,$A1720)&gt;0,"Yes","NOT IN INVENTORY"))</f>
        <v/>
      </c>
    </row>
    <row r="1721" customFormat="false" ht="15" hidden="false" customHeight="false" outlineLevel="0" collapsed="false">
      <c r="A1721" s="46"/>
      <c r="B1721" s="47"/>
      <c r="C1721" s="47"/>
      <c r="D1721" s="46"/>
      <c r="E1721" s="47"/>
      <c r="F1721" s="47"/>
      <c r="G1721" s="47"/>
      <c r="H1721" s="46"/>
      <c r="I1721" s="47"/>
      <c r="J1721" s="47"/>
      <c r="K1721" s="47"/>
      <c r="L1721" s="47"/>
      <c r="M1721" s="47"/>
      <c r="N1721" s="47"/>
      <c r="O1721" s="47"/>
      <c r="P1721" s="45" t="str">
        <f aca="false">IF($A1721="","",IF(COUNTIF(Accounts!$C$2:$C$201,$A1721)+COUNTIF('Service Principals'!$C$2:$C$201,$A1721)+COUNTIF('Managed Identities'!$C$2:$C$201,$A1721)&gt;0,"Yes","NOT IN INVENTORY"))</f>
        <v/>
      </c>
    </row>
    <row r="1722" customFormat="false" ht="15" hidden="false" customHeight="false" outlineLevel="0" collapsed="false">
      <c r="A1722" s="46"/>
      <c r="B1722" s="47"/>
      <c r="C1722" s="47"/>
      <c r="D1722" s="46"/>
      <c r="E1722" s="47"/>
      <c r="F1722" s="47"/>
      <c r="G1722" s="47"/>
      <c r="H1722" s="46"/>
      <c r="I1722" s="47"/>
      <c r="J1722" s="47"/>
      <c r="K1722" s="47"/>
      <c r="L1722" s="47"/>
      <c r="M1722" s="47"/>
      <c r="N1722" s="47"/>
      <c r="O1722" s="47"/>
      <c r="P1722" s="45" t="str">
        <f aca="false">IF($A1722="","",IF(COUNTIF(Accounts!$C$2:$C$201,$A1722)+COUNTIF('Service Principals'!$C$2:$C$201,$A1722)+COUNTIF('Managed Identities'!$C$2:$C$201,$A1722)&gt;0,"Yes","NOT IN INVENTORY"))</f>
        <v/>
      </c>
    </row>
    <row r="1723" customFormat="false" ht="15" hidden="false" customHeight="false" outlineLevel="0" collapsed="false">
      <c r="A1723" s="46"/>
      <c r="B1723" s="47"/>
      <c r="C1723" s="47"/>
      <c r="D1723" s="46"/>
      <c r="E1723" s="47"/>
      <c r="F1723" s="47"/>
      <c r="G1723" s="47"/>
      <c r="H1723" s="46"/>
      <c r="I1723" s="47"/>
      <c r="J1723" s="47"/>
      <c r="K1723" s="47"/>
      <c r="L1723" s="47"/>
      <c r="M1723" s="47"/>
      <c r="N1723" s="47"/>
      <c r="O1723" s="47"/>
      <c r="P1723" s="45" t="str">
        <f aca="false">IF($A1723="","",IF(COUNTIF(Accounts!$C$2:$C$201,$A1723)+COUNTIF('Service Principals'!$C$2:$C$201,$A1723)+COUNTIF('Managed Identities'!$C$2:$C$201,$A1723)&gt;0,"Yes","NOT IN INVENTORY"))</f>
        <v/>
      </c>
    </row>
    <row r="1724" customFormat="false" ht="15" hidden="false" customHeight="false" outlineLevel="0" collapsed="false">
      <c r="A1724" s="46"/>
      <c r="B1724" s="47"/>
      <c r="C1724" s="47"/>
      <c r="D1724" s="46"/>
      <c r="E1724" s="47"/>
      <c r="F1724" s="47"/>
      <c r="G1724" s="47"/>
      <c r="H1724" s="46"/>
      <c r="I1724" s="47"/>
      <c r="J1724" s="47"/>
      <c r="K1724" s="47"/>
      <c r="L1724" s="47"/>
      <c r="M1724" s="47"/>
      <c r="N1724" s="47"/>
      <c r="O1724" s="47"/>
      <c r="P1724" s="45" t="str">
        <f aca="false">IF($A1724="","",IF(COUNTIF(Accounts!$C$2:$C$201,$A1724)+COUNTIF('Service Principals'!$C$2:$C$201,$A1724)+COUNTIF('Managed Identities'!$C$2:$C$201,$A1724)&gt;0,"Yes","NOT IN INVENTORY"))</f>
        <v/>
      </c>
    </row>
    <row r="1725" customFormat="false" ht="15" hidden="false" customHeight="false" outlineLevel="0" collapsed="false">
      <c r="A1725" s="46"/>
      <c r="B1725" s="47"/>
      <c r="C1725" s="47"/>
      <c r="D1725" s="46"/>
      <c r="E1725" s="47"/>
      <c r="F1725" s="47"/>
      <c r="G1725" s="47"/>
      <c r="H1725" s="46"/>
      <c r="I1725" s="47"/>
      <c r="J1725" s="47"/>
      <c r="K1725" s="47"/>
      <c r="L1725" s="47"/>
      <c r="M1725" s="47"/>
      <c r="N1725" s="47"/>
      <c r="O1725" s="47"/>
      <c r="P1725" s="45" t="str">
        <f aca="false">IF($A1725="","",IF(COUNTIF(Accounts!$C$2:$C$201,$A1725)+COUNTIF('Service Principals'!$C$2:$C$201,$A1725)+COUNTIF('Managed Identities'!$C$2:$C$201,$A1725)&gt;0,"Yes","NOT IN INVENTORY"))</f>
        <v/>
      </c>
    </row>
    <row r="1726" customFormat="false" ht="15" hidden="false" customHeight="false" outlineLevel="0" collapsed="false">
      <c r="A1726" s="46"/>
      <c r="B1726" s="47"/>
      <c r="C1726" s="47"/>
      <c r="D1726" s="46"/>
      <c r="E1726" s="47"/>
      <c r="F1726" s="47"/>
      <c r="G1726" s="47"/>
      <c r="H1726" s="46"/>
      <c r="I1726" s="47"/>
      <c r="J1726" s="47"/>
      <c r="K1726" s="47"/>
      <c r="L1726" s="47"/>
      <c r="M1726" s="47"/>
      <c r="N1726" s="47"/>
      <c r="O1726" s="47"/>
      <c r="P1726" s="45" t="str">
        <f aca="false">IF($A1726="","",IF(COUNTIF(Accounts!$C$2:$C$201,$A1726)+COUNTIF('Service Principals'!$C$2:$C$201,$A1726)+COUNTIF('Managed Identities'!$C$2:$C$201,$A1726)&gt;0,"Yes","NOT IN INVENTORY"))</f>
        <v/>
      </c>
    </row>
    <row r="1727" customFormat="false" ht="15" hidden="false" customHeight="false" outlineLevel="0" collapsed="false">
      <c r="A1727" s="46"/>
      <c r="B1727" s="47"/>
      <c r="C1727" s="47"/>
      <c r="D1727" s="46"/>
      <c r="E1727" s="47"/>
      <c r="F1727" s="47"/>
      <c r="G1727" s="47"/>
      <c r="H1727" s="46"/>
      <c r="I1727" s="47"/>
      <c r="J1727" s="47"/>
      <c r="K1727" s="47"/>
      <c r="L1727" s="47"/>
      <c r="M1727" s="47"/>
      <c r="N1727" s="47"/>
      <c r="O1727" s="47"/>
      <c r="P1727" s="45" t="str">
        <f aca="false">IF($A1727="","",IF(COUNTIF(Accounts!$C$2:$C$201,$A1727)+COUNTIF('Service Principals'!$C$2:$C$201,$A1727)+COUNTIF('Managed Identities'!$C$2:$C$201,$A1727)&gt;0,"Yes","NOT IN INVENTORY"))</f>
        <v/>
      </c>
    </row>
    <row r="1728" customFormat="false" ht="15" hidden="false" customHeight="false" outlineLevel="0" collapsed="false">
      <c r="A1728" s="46"/>
      <c r="B1728" s="47"/>
      <c r="C1728" s="47"/>
      <c r="D1728" s="46"/>
      <c r="E1728" s="47"/>
      <c r="F1728" s="47"/>
      <c r="G1728" s="47"/>
      <c r="H1728" s="46"/>
      <c r="I1728" s="47"/>
      <c r="J1728" s="47"/>
      <c r="K1728" s="47"/>
      <c r="L1728" s="47"/>
      <c r="M1728" s="47"/>
      <c r="N1728" s="47"/>
      <c r="O1728" s="47"/>
      <c r="P1728" s="45" t="str">
        <f aca="false">IF($A1728="","",IF(COUNTIF(Accounts!$C$2:$C$201,$A1728)+COUNTIF('Service Principals'!$C$2:$C$201,$A1728)+COUNTIF('Managed Identities'!$C$2:$C$201,$A1728)&gt;0,"Yes","NOT IN INVENTORY"))</f>
        <v/>
      </c>
    </row>
    <row r="1729" customFormat="false" ht="15" hidden="false" customHeight="false" outlineLevel="0" collapsed="false">
      <c r="A1729" s="46"/>
      <c r="B1729" s="47"/>
      <c r="C1729" s="47"/>
      <c r="D1729" s="46"/>
      <c r="E1729" s="47"/>
      <c r="F1729" s="47"/>
      <c r="G1729" s="47"/>
      <c r="H1729" s="46"/>
      <c r="I1729" s="47"/>
      <c r="J1729" s="47"/>
      <c r="K1729" s="47"/>
      <c r="L1729" s="47"/>
      <c r="M1729" s="47"/>
      <c r="N1729" s="47"/>
      <c r="O1729" s="47"/>
      <c r="P1729" s="45" t="str">
        <f aca="false">IF($A1729="","",IF(COUNTIF(Accounts!$C$2:$C$201,$A1729)+COUNTIF('Service Principals'!$C$2:$C$201,$A1729)+COUNTIF('Managed Identities'!$C$2:$C$201,$A1729)&gt;0,"Yes","NOT IN INVENTORY"))</f>
        <v/>
      </c>
    </row>
    <row r="1730" customFormat="false" ht="15" hidden="false" customHeight="false" outlineLevel="0" collapsed="false">
      <c r="A1730" s="46"/>
      <c r="B1730" s="47"/>
      <c r="C1730" s="47"/>
      <c r="D1730" s="46"/>
      <c r="E1730" s="47"/>
      <c r="F1730" s="47"/>
      <c r="G1730" s="47"/>
      <c r="H1730" s="46"/>
      <c r="I1730" s="47"/>
      <c r="J1730" s="47"/>
      <c r="K1730" s="47"/>
      <c r="L1730" s="47"/>
      <c r="M1730" s="47"/>
      <c r="N1730" s="47"/>
      <c r="O1730" s="47"/>
      <c r="P1730" s="45" t="str">
        <f aca="false">IF($A1730="","",IF(COUNTIF(Accounts!$C$2:$C$201,$A1730)+COUNTIF('Service Principals'!$C$2:$C$201,$A1730)+COUNTIF('Managed Identities'!$C$2:$C$201,$A1730)&gt;0,"Yes","NOT IN INVENTORY"))</f>
        <v/>
      </c>
    </row>
    <row r="1731" customFormat="false" ht="15" hidden="false" customHeight="false" outlineLevel="0" collapsed="false">
      <c r="A1731" s="46"/>
      <c r="B1731" s="47"/>
      <c r="C1731" s="47"/>
      <c r="D1731" s="46"/>
      <c r="E1731" s="47"/>
      <c r="F1731" s="47"/>
      <c r="G1731" s="47"/>
      <c r="H1731" s="46"/>
      <c r="I1731" s="47"/>
      <c r="J1731" s="47"/>
      <c r="K1731" s="47"/>
      <c r="L1731" s="47"/>
      <c r="M1731" s="47"/>
      <c r="N1731" s="47"/>
      <c r="O1731" s="47"/>
      <c r="P1731" s="45" t="str">
        <f aca="false">IF($A1731="","",IF(COUNTIF(Accounts!$C$2:$C$201,$A1731)+COUNTIF('Service Principals'!$C$2:$C$201,$A1731)+COUNTIF('Managed Identities'!$C$2:$C$201,$A1731)&gt;0,"Yes","NOT IN INVENTORY"))</f>
        <v/>
      </c>
    </row>
    <row r="1732" customFormat="false" ht="15" hidden="false" customHeight="false" outlineLevel="0" collapsed="false">
      <c r="A1732" s="46"/>
      <c r="B1732" s="47"/>
      <c r="C1732" s="47"/>
      <c r="D1732" s="46"/>
      <c r="E1732" s="47"/>
      <c r="F1732" s="47"/>
      <c r="G1732" s="47"/>
      <c r="H1732" s="46"/>
      <c r="I1732" s="47"/>
      <c r="J1732" s="47"/>
      <c r="K1732" s="47"/>
      <c r="L1732" s="47"/>
      <c r="M1732" s="47"/>
      <c r="N1732" s="47"/>
      <c r="O1732" s="47"/>
      <c r="P1732" s="45" t="str">
        <f aca="false">IF($A1732="","",IF(COUNTIF(Accounts!$C$2:$C$201,$A1732)+COUNTIF('Service Principals'!$C$2:$C$201,$A1732)+COUNTIF('Managed Identities'!$C$2:$C$201,$A1732)&gt;0,"Yes","NOT IN INVENTORY"))</f>
        <v/>
      </c>
    </row>
    <row r="1733" customFormat="false" ht="15" hidden="false" customHeight="false" outlineLevel="0" collapsed="false">
      <c r="A1733" s="46"/>
      <c r="B1733" s="47"/>
      <c r="C1733" s="47"/>
      <c r="D1733" s="46"/>
      <c r="E1733" s="47"/>
      <c r="F1733" s="47"/>
      <c r="G1733" s="47"/>
      <c r="H1733" s="46"/>
      <c r="I1733" s="47"/>
      <c r="J1733" s="47"/>
      <c r="K1733" s="47"/>
      <c r="L1733" s="47"/>
      <c r="M1733" s="47"/>
      <c r="N1733" s="47"/>
      <c r="O1733" s="47"/>
      <c r="P1733" s="45" t="str">
        <f aca="false">IF($A1733="","",IF(COUNTIF(Accounts!$C$2:$C$201,$A1733)+COUNTIF('Service Principals'!$C$2:$C$201,$A1733)+COUNTIF('Managed Identities'!$C$2:$C$201,$A1733)&gt;0,"Yes","NOT IN INVENTORY"))</f>
        <v/>
      </c>
    </row>
    <row r="1734" customFormat="false" ht="15" hidden="false" customHeight="false" outlineLevel="0" collapsed="false">
      <c r="A1734" s="46"/>
      <c r="B1734" s="47"/>
      <c r="C1734" s="47"/>
      <c r="D1734" s="46"/>
      <c r="E1734" s="47"/>
      <c r="F1734" s="47"/>
      <c r="G1734" s="47"/>
      <c r="H1734" s="46"/>
      <c r="I1734" s="47"/>
      <c r="J1734" s="47"/>
      <c r="K1734" s="47"/>
      <c r="L1734" s="47"/>
      <c r="M1734" s="47"/>
      <c r="N1734" s="47"/>
      <c r="O1734" s="47"/>
      <c r="P1734" s="45" t="str">
        <f aca="false">IF($A1734="","",IF(COUNTIF(Accounts!$C$2:$C$201,$A1734)+COUNTIF('Service Principals'!$C$2:$C$201,$A1734)+COUNTIF('Managed Identities'!$C$2:$C$201,$A1734)&gt;0,"Yes","NOT IN INVENTORY"))</f>
        <v/>
      </c>
    </row>
    <row r="1735" customFormat="false" ht="15" hidden="false" customHeight="false" outlineLevel="0" collapsed="false">
      <c r="A1735" s="46"/>
      <c r="B1735" s="47"/>
      <c r="C1735" s="47"/>
      <c r="D1735" s="46"/>
      <c r="E1735" s="47"/>
      <c r="F1735" s="47"/>
      <c r="G1735" s="47"/>
      <c r="H1735" s="46"/>
      <c r="I1735" s="47"/>
      <c r="J1735" s="47"/>
      <c r="K1735" s="47"/>
      <c r="L1735" s="47"/>
      <c r="M1735" s="47"/>
      <c r="N1735" s="47"/>
      <c r="O1735" s="47"/>
      <c r="P1735" s="45" t="str">
        <f aca="false">IF($A1735="","",IF(COUNTIF(Accounts!$C$2:$C$201,$A1735)+COUNTIF('Service Principals'!$C$2:$C$201,$A1735)+COUNTIF('Managed Identities'!$C$2:$C$201,$A1735)&gt;0,"Yes","NOT IN INVENTORY"))</f>
        <v/>
      </c>
    </row>
    <row r="1736" customFormat="false" ht="15" hidden="false" customHeight="false" outlineLevel="0" collapsed="false">
      <c r="A1736" s="46"/>
      <c r="B1736" s="47"/>
      <c r="C1736" s="47"/>
      <c r="D1736" s="46"/>
      <c r="E1736" s="47"/>
      <c r="F1736" s="47"/>
      <c r="G1736" s="47"/>
      <c r="H1736" s="46"/>
      <c r="I1736" s="47"/>
      <c r="J1736" s="47"/>
      <c r="K1736" s="47"/>
      <c r="L1736" s="47"/>
      <c r="M1736" s="47"/>
      <c r="N1736" s="47"/>
      <c r="O1736" s="47"/>
      <c r="P1736" s="45" t="str">
        <f aca="false">IF($A1736="","",IF(COUNTIF(Accounts!$C$2:$C$201,$A1736)+COUNTIF('Service Principals'!$C$2:$C$201,$A1736)+COUNTIF('Managed Identities'!$C$2:$C$201,$A1736)&gt;0,"Yes","NOT IN INVENTORY"))</f>
        <v/>
      </c>
    </row>
    <row r="1737" customFormat="false" ht="15" hidden="false" customHeight="false" outlineLevel="0" collapsed="false">
      <c r="A1737" s="46"/>
      <c r="B1737" s="47"/>
      <c r="C1737" s="47"/>
      <c r="D1737" s="46"/>
      <c r="E1737" s="47"/>
      <c r="F1737" s="47"/>
      <c r="G1737" s="47"/>
      <c r="H1737" s="46"/>
      <c r="I1737" s="47"/>
      <c r="J1737" s="47"/>
      <c r="K1737" s="47"/>
      <c r="L1737" s="47"/>
      <c r="M1737" s="47"/>
      <c r="N1737" s="47"/>
      <c r="O1737" s="47"/>
      <c r="P1737" s="45" t="str">
        <f aca="false">IF($A1737="","",IF(COUNTIF(Accounts!$C$2:$C$201,$A1737)+COUNTIF('Service Principals'!$C$2:$C$201,$A1737)+COUNTIF('Managed Identities'!$C$2:$C$201,$A1737)&gt;0,"Yes","NOT IN INVENTORY"))</f>
        <v/>
      </c>
    </row>
    <row r="1738" customFormat="false" ht="15" hidden="false" customHeight="false" outlineLevel="0" collapsed="false">
      <c r="A1738" s="46"/>
      <c r="B1738" s="47"/>
      <c r="C1738" s="47"/>
      <c r="D1738" s="46"/>
      <c r="E1738" s="47"/>
      <c r="F1738" s="47"/>
      <c r="G1738" s="47"/>
      <c r="H1738" s="46"/>
      <c r="I1738" s="47"/>
      <c r="J1738" s="47"/>
      <c r="K1738" s="47"/>
      <c r="L1738" s="47"/>
      <c r="M1738" s="47"/>
      <c r="N1738" s="47"/>
      <c r="O1738" s="47"/>
      <c r="P1738" s="45" t="str">
        <f aca="false">IF($A1738="","",IF(COUNTIF(Accounts!$C$2:$C$201,$A1738)+COUNTIF('Service Principals'!$C$2:$C$201,$A1738)+COUNTIF('Managed Identities'!$C$2:$C$201,$A1738)&gt;0,"Yes","NOT IN INVENTORY"))</f>
        <v/>
      </c>
    </row>
    <row r="1739" customFormat="false" ht="15" hidden="false" customHeight="false" outlineLevel="0" collapsed="false">
      <c r="A1739" s="46"/>
      <c r="B1739" s="47"/>
      <c r="C1739" s="47"/>
      <c r="D1739" s="46"/>
      <c r="E1739" s="47"/>
      <c r="F1739" s="47"/>
      <c r="G1739" s="47"/>
      <c r="H1739" s="46"/>
      <c r="I1739" s="47"/>
      <c r="J1739" s="47"/>
      <c r="K1739" s="47"/>
      <c r="L1739" s="47"/>
      <c r="M1739" s="47"/>
      <c r="N1739" s="47"/>
      <c r="O1739" s="47"/>
      <c r="P1739" s="45" t="str">
        <f aca="false">IF($A1739="","",IF(COUNTIF(Accounts!$C$2:$C$201,$A1739)+COUNTIF('Service Principals'!$C$2:$C$201,$A1739)+COUNTIF('Managed Identities'!$C$2:$C$201,$A1739)&gt;0,"Yes","NOT IN INVENTORY"))</f>
        <v/>
      </c>
    </row>
    <row r="1740" customFormat="false" ht="15" hidden="false" customHeight="false" outlineLevel="0" collapsed="false">
      <c r="A1740" s="46"/>
      <c r="B1740" s="47"/>
      <c r="C1740" s="47"/>
      <c r="D1740" s="46"/>
      <c r="E1740" s="47"/>
      <c r="F1740" s="47"/>
      <c r="G1740" s="47"/>
      <c r="H1740" s="46"/>
      <c r="I1740" s="47"/>
      <c r="J1740" s="47"/>
      <c r="K1740" s="47"/>
      <c r="L1740" s="47"/>
      <c r="M1740" s="47"/>
      <c r="N1740" s="47"/>
      <c r="O1740" s="47"/>
      <c r="P1740" s="45" t="str">
        <f aca="false">IF($A1740="","",IF(COUNTIF(Accounts!$C$2:$C$201,$A1740)+COUNTIF('Service Principals'!$C$2:$C$201,$A1740)+COUNTIF('Managed Identities'!$C$2:$C$201,$A1740)&gt;0,"Yes","NOT IN INVENTORY"))</f>
        <v/>
      </c>
    </row>
    <row r="1741" customFormat="false" ht="15" hidden="false" customHeight="false" outlineLevel="0" collapsed="false">
      <c r="A1741" s="46"/>
      <c r="B1741" s="47"/>
      <c r="C1741" s="47"/>
      <c r="D1741" s="46"/>
      <c r="E1741" s="47"/>
      <c r="F1741" s="47"/>
      <c r="G1741" s="47"/>
      <c r="H1741" s="46"/>
      <c r="I1741" s="47"/>
      <c r="J1741" s="47"/>
      <c r="K1741" s="47"/>
      <c r="L1741" s="47"/>
      <c r="M1741" s="47"/>
      <c r="N1741" s="47"/>
      <c r="O1741" s="47"/>
      <c r="P1741" s="45" t="str">
        <f aca="false">IF($A1741="","",IF(COUNTIF(Accounts!$C$2:$C$201,$A1741)+COUNTIF('Service Principals'!$C$2:$C$201,$A1741)+COUNTIF('Managed Identities'!$C$2:$C$201,$A1741)&gt;0,"Yes","NOT IN INVENTORY"))</f>
        <v/>
      </c>
    </row>
    <row r="1742" customFormat="false" ht="15" hidden="false" customHeight="false" outlineLevel="0" collapsed="false">
      <c r="A1742" s="46"/>
      <c r="B1742" s="47"/>
      <c r="C1742" s="47"/>
      <c r="D1742" s="46"/>
      <c r="E1742" s="47"/>
      <c r="F1742" s="47"/>
      <c r="G1742" s="47"/>
      <c r="H1742" s="46"/>
      <c r="I1742" s="47"/>
      <c r="J1742" s="47"/>
      <c r="K1742" s="47"/>
      <c r="L1742" s="47"/>
      <c r="M1742" s="47"/>
      <c r="N1742" s="47"/>
      <c r="O1742" s="47"/>
      <c r="P1742" s="45" t="str">
        <f aca="false">IF($A1742="","",IF(COUNTIF(Accounts!$C$2:$C$201,$A1742)+COUNTIF('Service Principals'!$C$2:$C$201,$A1742)+COUNTIF('Managed Identities'!$C$2:$C$201,$A1742)&gt;0,"Yes","NOT IN INVENTORY"))</f>
        <v/>
      </c>
    </row>
    <row r="1743" customFormat="false" ht="15" hidden="false" customHeight="false" outlineLevel="0" collapsed="false">
      <c r="A1743" s="46"/>
      <c r="B1743" s="47"/>
      <c r="C1743" s="47"/>
      <c r="D1743" s="46"/>
      <c r="E1743" s="47"/>
      <c r="F1743" s="47"/>
      <c r="G1743" s="47"/>
      <c r="H1743" s="46"/>
      <c r="I1743" s="47"/>
      <c r="J1743" s="47"/>
      <c r="K1743" s="47"/>
      <c r="L1743" s="47"/>
      <c r="M1743" s="47"/>
      <c r="N1743" s="47"/>
      <c r="O1743" s="47"/>
      <c r="P1743" s="45" t="str">
        <f aca="false">IF($A1743="","",IF(COUNTIF(Accounts!$C$2:$C$201,$A1743)+COUNTIF('Service Principals'!$C$2:$C$201,$A1743)+COUNTIF('Managed Identities'!$C$2:$C$201,$A1743)&gt;0,"Yes","NOT IN INVENTORY"))</f>
        <v/>
      </c>
    </row>
    <row r="1744" customFormat="false" ht="15" hidden="false" customHeight="false" outlineLevel="0" collapsed="false">
      <c r="A1744" s="46"/>
      <c r="B1744" s="47"/>
      <c r="C1744" s="47"/>
      <c r="D1744" s="46"/>
      <c r="E1744" s="47"/>
      <c r="F1744" s="47"/>
      <c r="G1744" s="47"/>
      <c r="H1744" s="46"/>
      <c r="I1744" s="47"/>
      <c r="J1744" s="47"/>
      <c r="K1744" s="47"/>
      <c r="L1744" s="47"/>
      <c r="M1744" s="47"/>
      <c r="N1744" s="47"/>
      <c r="O1744" s="47"/>
      <c r="P1744" s="45" t="str">
        <f aca="false">IF($A1744="","",IF(COUNTIF(Accounts!$C$2:$C$201,$A1744)+COUNTIF('Service Principals'!$C$2:$C$201,$A1744)+COUNTIF('Managed Identities'!$C$2:$C$201,$A1744)&gt;0,"Yes","NOT IN INVENTORY"))</f>
        <v/>
      </c>
    </row>
    <row r="1745" customFormat="false" ht="15" hidden="false" customHeight="false" outlineLevel="0" collapsed="false">
      <c r="A1745" s="46"/>
      <c r="B1745" s="47"/>
      <c r="C1745" s="47"/>
      <c r="D1745" s="46"/>
      <c r="E1745" s="47"/>
      <c r="F1745" s="47"/>
      <c r="G1745" s="47"/>
      <c r="H1745" s="46"/>
      <c r="I1745" s="47"/>
      <c r="J1745" s="47"/>
      <c r="K1745" s="47"/>
      <c r="L1745" s="47"/>
      <c r="M1745" s="47"/>
      <c r="N1745" s="47"/>
      <c r="O1745" s="47"/>
      <c r="P1745" s="45" t="str">
        <f aca="false">IF($A1745="","",IF(COUNTIF(Accounts!$C$2:$C$201,$A1745)+COUNTIF('Service Principals'!$C$2:$C$201,$A1745)+COUNTIF('Managed Identities'!$C$2:$C$201,$A1745)&gt;0,"Yes","NOT IN INVENTORY"))</f>
        <v/>
      </c>
    </row>
    <row r="1746" customFormat="false" ht="15" hidden="false" customHeight="false" outlineLevel="0" collapsed="false">
      <c r="A1746" s="46"/>
      <c r="B1746" s="47"/>
      <c r="C1746" s="47"/>
      <c r="D1746" s="46"/>
      <c r="E1746" s="47"/>
      <c r="F1746" s="47"/>
      <c r="G1746" s="47"/>
      <c r="H1746" s="46"/>
      <c r="I1746" s="47"/>
      <c r="J1746" s="47"/>
      <c r="K1746" s="47"/>
      <c r="L1746" s="47"/>
      <c r="M1746" s="47"/>
      <c r="N1746" s="47"/>
      <c r="O1746" s="47"/>
      <c r="P1746" s="45" t="str">
        <f aca="false">IF($A1746="","",IF(COUNTIF(Accounts!$C$2:$C$201,$A1746)+COUNTIF('Service Principals'!$C$2:$C$201,$A1746)+COUNTIF('Managed Identities'!$C$2:$C$201,$A1746)&gt;0,"Yes","NOT IN INVENTORY"))</f>
        <v/>
      </c>
    </row>
    <row r="1747" customFormat="false" ht="15" hidden="false" customHeight="false" outlineLevel="0" collapsed="false">
      <c r="A1747" s="46"/>
      <c r="B1747" s="47"/>
      <c r="C1747" s="47"/>
      <c r="D1747" s="46"/>
      <c r="E1747" s="47"/>
      <c r="F1747" s="47"/>
      <c r="G1747" s="47"/>
      <c r="H1747" s="46"/>
      <c r="I1747" s="47"/>
      <c r="J1747" s="47"/>
      <c r="K1747" s="47"/>
      <c r="L1747" s="47"/>
      <c r="M1747" s="47"/>
      <c r="N1747" s="47"/>
      <c r="O1747" s="47"/>
      <c r="P1747" s="45" t="str">
        <f aca="false">IF($A1747="","",IF(COUNTIF(Accounts!$C$2:$C$201,$A1747)+COUNTIF('Service Principals'!$C$2:$C$201,$A1747)+COUNTIF('Managed Identities'!$C$2:$C$201,$A1747)&gt;0,"Yes","NOT IN INVENTORY"))</f>
        <v/>
      </c>
    </row>
    <row r="1748" customFormat="false" ht="15" hidden="false" customHeight="false" outlineLevel="0" collapsed="false">
      <c r="A1748" s="46"/>
      <c r="B1748" s="47"/>
      <c r="C1748" s="47"/>
      <c r="D1748" s="46"/>
      <c r="E1748" s="47"/>
      <c r="F1748" s="47"/>
      <c r="G1748" s="47"/>
      <c r="H1748" s="46"/>
      <c r="I1748" s="47"/>
      <c r="J1748" s="47"/>
      <c r="K1748" s="47"/>
      <c r="L1748" s="47"/>
      <c r="M1748" s="47"/>
      <c r="N1748" s="47"/>
      <c r="O1748" s="47"/>
      <c r="P1748" s="45" t="str">
        <f aca="false">IF($A1748="","",IF(COUNTIF(Accounts!$C$2:$C$201,$A1748)+COUNTIF('Service Principals'!$C$2:$C$201,$A1748)+COUNTIF('Managed Identities'!$C$2:$C$201,$A1748)&gt;0,"Yes","NOT IN INVENTORY"))</f>
        <v/>
      </c>
    </row>
    <row r="1749" customFormat="false" ht="15" hidden="false" customHeight="false" outlineLevel="0" collapsed="false">
      <c r="A1749" s="46"/>
      <c r="B1749" s="47"/>
      <c r="C1749" s="47"/>
      <c r="D1749" s="46"/>
      <c r="E1749" s="47"/>
      <c r="F1749" s="47"/>
      <c r="G1749" s="47"/>
      <c r="H1749" s="46"/>
      <c r="I1749" s="47"/>
      <c r="J1749" s="47"/>
      <c r="K1749" s="47"/>
      <c r="L1749" s="47"/>
      <c r="M1749" s="47"/>
      <c r="N1749" s="47"/>
      <c r="O1749" s="47"/>
      <c r="P1749" s="45" t="str">
        <f aca="false">IF($A1749="","",IF(COUNTIF(Accounts!$C$2:$C$201,$A1749)+COUNTIF('Service Principals'!$C$2:$C$201,$A1749)+COUNTIF('Managed Identities'!$C$2:$C$201,$A1749)&gt;0,"Yes","NOT IN INVENTORY"))</f>
        <v/>
      </c>
    </row>
    <row r="1750" customFormat="false" ht="15" hidden="false" customHeight="false" outlineLevel="0" collapsed="false">
      <c r="A1750" s="46"/>
      <c r="B1750" s="47"/>
      <c r="C1750" s="47"/>
      <c r="D1750" s="46"/>
      <c r="E1750" s="47"/>
      <c r="F1750" s="47"/>
      <c r="G1750" s="47"/>
      <c r="H1750" s="46"/>
      <c r="I1750" s="47"/>
      <c r="J1750" s="47"/>
      <c r="K1750" s="47"/>
      <c r="L1750" s="47"/>
      <c r="M1750" s="47"/>
      <c r="N1750" s="47"/>
      <c r="O1750" s="47"/>
      <c r="P1750" s="45" t="str">
        <f aca="false">IF($A1750="","",IF(COUNTIF(Accounts!$C$2:$C$201,$A1750)+COUNTIF('Service Principals'!$C$2:$C$201,$A1750)+COUNTIF('Managed Identities'!$C$2:$C$201,$A1750)&gt;0,"Yes","NOT IN INVENTORY"))</f>
        <v/>
      </c>
    </row>
    <row r="1751" customFormat="false" ht="15" hidden="false" customHeight="false" outlineLevel="0" collapsed="false">
      <c r="A1751" s="46"/>
      <c r="B1751" s="47"/>
      <c r="C1751" s="47"/>
      <c r="D1751" s="46"/>
      <c r="E1751" s="47"/>
      <c r="F1751" s="47"/>
      <c r="G1751" s="47"/>
      <c r="H1751" s="46"/>
      <c r="I1751" s="47"/>
      <c r="J1751" s="47"/>
      <c r="K1751" s="47"/>
      <c r="L1751" s="47"/>
      <c r="M1751" s="47"/>
      <c r="N1751" s="47"/>
      <c r="O1751" s="47"/>
      <c r="P1751" s="45" t="str">
        <f aca="false">IF($A1751="","",IF(COUNTIF(Accounts!$C$2:$C$201,$A1751)+COUNTIF('Service Principals'!$C$2:$C$201,$A1751)+COUNTIF('Managed Identities'!$C$2:$C$201,$A1751)&gt;0,"Yes","NOT IN INVENTORY"))</f>
        <v/>
      </c>
    </row>
    <row r="1752" customFormat="false" ht="15" hidden="false" customHeight="false" outlineLevel="0" collapsed="false">
      <c r="A1752" s="46"/>
      <c r="B1752" s="47"/>
      <c r="C1752" s="47"/>
      <c r="D1752" s="46"/>
      <c r="E1752" s="47"/>
      <c r="F1752" s="47"/>
      <c r="G1752" s="47"/>
      <c r="H1752" s="46"/>
      <c r="I1752" s="47"/>
      <c r="J1752" s="47"/>
      <c r="K1752" s="47"/>
      <c r="L1752" s="47"/>
      <c r="M1752" s="47"/>
      <c r="N1752" s="47"/>
      <c r="O1752" s="47"/>
      <c r="P1752" s="45" t="str">
        <f aca="false">IF($A1752="","",IF(COUNTIF(Accounts!$C$2:$C$201,$A1752)+COUNTIF('Service Principals'!$C$2:$C$201,$A1752)+COUNTIF('Managed Identities'!$C$2:$C$201,$A1752)&gt;0,"Yes","NOT IN INVENTORY"))</f>
        <v/>
      </c>
    </row>
    <row r="1753" customFormat="false" ht="15" hidden="false" customHeight="false" outlineLevel="0" collapsed="false">
      <c r="A1753" s="46"/>
      <c r="B1753" s="47"/>
      <c r="C1753" s="47"/>
      <c r="D1753" s="46"/>
      <c r="E1753" s="47"/>
      <c r="F1753" s="47"/>
      <c r="G1753" s="47"/>
      <c r="H1753" s="46"/>
      <c r="I1753" s="47"/>
      <c r="J1753" s="47"/>
      <c r="K1753" s="47"/>
      <c r="L1753" s="47"/>
      <c r="M1753" s="47"/>
      <c r="N1753" s="47"/>
      <c r="O1753" s="47"/>
      <c r="P1753" s="45" t="str">
        <f aca="false">IF($A1753="","",IF(COUNTIF(Accounts!$C$2:$C$201,$A1753)+COUNTIF('Service Principals'!$C$2:$C$201,$A1753)+COUNTIF('Managed Identities'!$C$2:$C$201,$A1753)&gt;0,"Yes","NOT IN INVENTORY"))</f>
        <v/>
      </c>
    </row>
    <row r="1754" customFormat="false" ht="15" hidden="false" customHeight="false" outlineLevel="0" collapsed="false">
      <c r="A1754" s="46"/>
      <c r="B1754" s="47"/>
      <c r="C1754" s="47"/>
      <c r="D1754" s="46"/>
      <c r="E1754" s="47"/>
      <c r="F1754" s="47"/>
      <c r="G1754" s="47"/>
      <c r="H1754" s="46"/>
      <c r="I1754" s="47"/>
      <c r="J1754" s="47"/>
      <c r="K1754" s="47"/>
      <c r="L1754" s="47"/>
      <c r="M1754" s="47"/>
      <c r="N1754" s="47"/>
      <c r="O1754" s="47"/>
      <c r="P1754" s="45" t="str">
        <f aca="false">IF($A1754="","",IF(COUNTIF(Accounts!$C$2:$C$201,$A1754)+COUNTIF('Service Principals'!$C$2:$C$201,$A1754)+COUNTIF('Managed Identities'!$C$2:$C$201,$A1754)&gt;0,"Yes","NOT IN INVENTORY"))</f>
        <v/>
      </c>
    </row>
    <row r="1755" customFormat="false" ht="15" hidden="false" customHeight="false" outlineLevel="0" collapsed="false">
      <c r="A1755" s="46"/>
      <c r="B1755" s="47"/>
      <c r="C1755" s="47"/>
      <c r="D1755" s="46"/>
      <c r="E1755" s="47"/>
      <c r="F1755" s="47"/>
      <c r="G1755" s="47"/>
      <c r="H1755" s="46"/>
      <c r="I1755" s="47"/>
      <c r="J1755" s="47"/>
      <c r="K1755" s="47"/>
      <c r="L1755" s="47"/>
      <c r="M1755" s="47"/>
      <c r="N1755" s="47"/>
      <c r="O1755" s="47"/>
      <c r="P1755" s="45" t="str">
        <f aca="false">IF($A1755="","",IF(COUNTIF(Accounts!$C$2:$C$201,$A1755)+COUNTIF('Service Principals'!$C$2:$C$201,$A1755)+COUNTIF('Managed Identities'!$C$2:$C$201,$A1755)&gt;0,"Yes","NOT IN INVENTORY"))</f>
        <v/>
      </c>
    </row>
    <row r="1756" customFormat="false" ht="15" hidden="false" customHeight="false" outlineLevel="0" collapsed="false">
      <c r="A1756" s="46"/>
      <c r="B1756" s="47"/>
      <c r="C1756" s="47"/>
      <c r="D1756" s="46"/>
      <c r="E1756" s="47"/>
      <c r="F1756" s="47"/>
      <c r="G1756" s="47"/>
      <c r="H1756" s="46"/>
      <c r="I1756" s="47"/>
      <c r="J1756" s="47"/>
      <c r="K1756" s="47"/>
      <c r="L1756" s="47"/>
      <c r="M1756" s="47"/>
      <c r="N1756" s="47"/>
      <c r="O1756" s="47"/>
      <c r="P1756" s="45" t="str">
        <f aca="false">IF($A1756="","",IF(COUNTIF(Accounts!$C$2:$C$201,$A1756)+COUNTIF('Service Principals'!$C$2:$C$201,$A1756)+COUNTIF('Managed Identities'!$C$2:$C$201,$A1756)&gt;0,"Yes","NOT IN INVENTORY"))</f>
        <v/>
      </c>
    </row>
    <row r="1757" customFormat="false" ht="15" hidden="false" customHeight="false" outlineLevel="0" collapsed="false">
      <c r="A1757" s="46"/>
      <c r="B1757" s="47"/>
      <c r="C1757" s="47"/>
      <c r="D1757" s="46"/>
      <c r="E1757" s="47"/>
      <c r="F1757" s="47"/>
      <c r="G1757" s="47"/>
      <c r="H1757" s="46"/>
      <c r="I1757" s="47"/>
      <c r="J1757" s="47"/>
      <c r="K1757" s="47"/>
      <c r="L1757" s="47"/>
      <c r="M1757" s="47"/>
      <c r="N1757" s="47"/>
      <c r="O1757" s="47"/>
      <c r="P1757" s="45" t="str">
        <f aca="false">IF($A1757="","",IF(COUNTIF(Accounts!$C$2:$C$201,$A1757)+COUNTIF('Service Principals'!$C$2:$C$201,$A1757)+COUNTIF('Managed Identities'!$C$2:$C$201,$A1757)&gt;0,"Yes","NOT IN INVENTORY"))</f>
        <v/>
      </c>
    </row>
    <row r="1758" customFormat="false" ht="15" hidden="false" customHeight="false" outlineLevel="0" collapsed="false">
      <c r="A1758" s="46"/>
      <c r="B1758" s="47"/>
      <c r="C1758" s="47"/>
      <c r="D1758" s="46"/>
      <c r="E1758" s="47"/>
      <c r="F1758" s="47"/>
      <c r="G1758" s="47"/>
      <c r="H1758" s="46"/>
      <c r="I1758" s="47"/>
      <c r="J1758" s="47"/>
      <c r="K1758" s="47"/>
      <c r="L1758" s="47"/>
      <c r="M1758" s="47"/>
      <c r="N1758" s="47"/>
      <c r="O1758" s="47"/>
      <c r="P1758" s="45" t="str">
        <f aca="false">IF($A1758="","",IF(COUNTIF(Accounts!$C$2:$C$201,$A1758)+COUNTIF('Service Principals'!$C$2:$C$201,$A1758)+COUNTIF('Managed Identities'!$C$2:$C$201,$A1758)&gt;0,"Yes","NOT IN INVENTORY"))</f>
        <v/>
      </c>
    </row>
    <row r="1759" customFormat="false" ht="15" hidden="false" customHeight="false" outlineLevel="0" collapsed="false">
      <c r="A1759" s="46"/>
      <c r="B1759" s="47"/>
      <c r="C1759" s="47"/>
      <c r="D1759" s="46"/>
      <c r="E1759" s="47"/>
      <c r="F1759" s="47"/>
      <c r="G1759" s="47"/>
      <c r="H1759" s="46"/>
      <c r="I1759" s="47"/>
      <c r="J1759" s="47"/>
      <c r="K1759" s="47"/>
      <c r="L1759" s="47"/>
      <c r="M1759" s="47"/>
      <c r="N1759" s="47"/>
      <c r="O1759" s="47"/>
      <c r="P1759" s="45" t="str">
        <f aca="false">IF($A1759="","",IF(COUNTIF(Accounts!$C$2:$C$201,$A1759)+COUNTIF('Service Principals'!$C$2:$C$201,$A1759)+COUNTIF('Managed Identities'!$C$2:$C$201,$A1759)&gt;0,"Yes","NOT IN INVENTORY"))</f>
        <v/>
      </c>
    </row>
    <row r="1760" customFormat="false" ht="15" hidden="false" customHeight="false" outlineLevel="0" collapsed="false">
      <c r="A1760" s="46"/>
      <c r="B1760" s="47"/>
      <c r="C1760" s="47"/>
      <c r="D1760" s="46"/>
      <c r="E1760" s="47"/>
      <c r="F1760" s="47"/>
      <c r="G1760" s="47"/>
      <c r="H1760" s="46"/>
      <c r="I1760" s="47"/>
      <c r="J1760" s="47"/>
      <c r="K1760" s="47"/>
      <c r="L1760" s="47"/>
      <c r="M1760" s="47"/>
      <c r="N1760" s="47"/>
      <c r="O1760" s="47"/>
      <c r="P1760" s="45" t="str">
        <f aca="false">IF($A1760="","",IF(COUNTIF(Accounts!$C$2:$C$201,$A1760)+COUNTIF('Service Principals'!$C$2:$C$201,$A1760)+COUNTIF('Managed Identities'!$C$2:$C$201,$A1760)&gt;0,"Yes","NOT IN INVENTORY"))</f>
        <v/>
      </c>
    </row>
    <row r="1761" customFormat="false" ht="15" hidden="false" customHeight="false" outlineLevel="0" collapsed="false">
      <c r="A1761" s="46"/>
      <c r="B1761" s="47"/>
      <c r="C1761" s="47"/>
      <c r="D1761" s="46"/>
      <c r="E1761" s="47"/>
      <c r="F1761" s="47"/>
      <c r="G1761" s="47"/>
      <c r="H1761" s="46"/>
      <c r="I1761" s="47"/>
      <c r="J1761" s="47"/>
      <c r="K1761" s="47"/>
      <c r="L1761" s="47"/>
      <c r="M1761" s="47"/>
      <c r="N1761" s="47"/>
      <c r="O1761" s="47"/>
      <c r="P1761" s="45" t="str">
        <f aca="false">IF($A1761="","",IF(COUNTIF(Accounts!$C$2:$C$201,$A1761)+COUNTIF('Service Principals'!$C$2:$C$201,$A1761)+COUNTIF('Managed Identities'!$C$2:$C$201,$A1761)&gt;0,"Yes","NOT IN INVENTORY"))</f>
        <v/>
      </c>
    </row>
    <row r="1762" customFormat="false" ht="15" hidden="false" customHeight="false" outlineLevel="0" collapsed="false">
      <c r="A1762" s="46"/>
      <c r="B1762" s="47"/>
      <c r="C1762" s="47"/>
      <c r="D1762" s="46"/>
      <c r="E1762" s="47"/>
      <c r="F1762" s="47"/>
      <c r="G1762" s="47"/>
      <c r="H1762" s="46"/>
      <c r="I1762" s="47"/>
      <c r="J1762" s="47"/>
      <c r="K1762" s="47"/>
      <c r="L1762" s="47"/>
      <c r="M1762" s="47"/>
      <c r="N1762" s="47"/>
      <c r="O1762" s="47"/>
      <c r="P1762" s="45" t="str">
        <f aca="false">IF($A1762="","",IF(COUNTIF(Accounts!$C$2:$C$201,$A1762)+COUNTIF('Service Principals'!$C$2:$C$201,$A1762)+COUNTIF('Managed Identities'!$C$2:$C$201,$A1762)&gt;0,"Yes","NOT IN INVENTORY"))</f>
        <v/>
      </c>
    </row>
    <row r="1763" customFormat="false" ht="15" hidden="false" customHeight="false" outlineLevel="0" collapsed="false">
      <c r="A1763" s="46"/>
      <c r="B1763" s="47"/>
      <c r="C1763" s="47"/>
      <c r="D1763" s="46"/>
      <c r="E1763" s="47"/>
      <c r="F1763" s="47"/>
      <c r="G1763" s="47"/>
      <c r="H1763" s="46"/>
      <c r="I1763" s="47"/>
      <c r="J1763" s="47"/>
      <c r="K1763" s="47"/>
      <c r="L1763" s="47"/>
      <c r="M1763" s="47"/>
      <c r="N1763" s="47"/>
      <c r="O1763" s="47"/>
      <c r="P1763" s="45" t="str">
        <f aca="false">IF($A1763="","",IF(COUNTIF(Accounts!$C$2:$C$201,$A1763)+COUNTIF('Service Principals'!$C$2:$C$201,$A1763)+COUNTIF('Managed Identities'!$C$2:$C$201,$A1763)&gt;0,"Yes","NOT IN INVENTORY"))</f>
        <v/>
      </c>
    </row>
    <row r="1764" customFormat="false" ht="15" hidden="false" customHeight="false" outlineLevel="0" collapsed="false">
      <c r="A1764" s="46"/>
      <c r="B1764" s="47"/>
      <c r="C1764" s="47"/>
      <c r="D1764" s="46"/>
      <c r="E1764" s="47"/>
      <c r="F1764" s="47"/>
      <c r="G1764" s="47"/>
      <c r="H1764" s="46"/>
      <c r="I1764" s="47"/>
      <c r="J1764" s="47"/>
      <c r="K1764" s="47"/>
      <c r="L1764" s="47"/>
      <c r="M1764" s="47"/>
      <c r="N1764" s="47"/>
      <c r="O1764" s="47"/>
      <c r="P1764" s="45" t="str">
        <f aca="false">IF($A1764="","",IF(COUNTIF(Accounts!$C$2:$C$201,$A1764)+COUNTIF('Service Principals'!$C$2:$C$201,$A1764)+COUNTIF('Managed Identities'!$C$2:$C$201,$A1764)&gt;0,"Yes","NOT IN INVENTORY"))</f>
        <v/>
      </c>
    </row>
    <row r="1765" customFormat="false" ht="15" hidden="false" customHeight="false" outlineLevel="0" collapsed="false">
      <c r="A1765" s="46"/>
      <c r="B1765" s="47"/>
      <c r="C1765" s="47"/>
      <c r="D1765" s="46"/>
      <c r="E1765" s="47"/>
      <c r="F1765" s="47"/>
      <c r="G1765" s="47"/>
      <c r="H1765" s="46"/>
      <c r="I1765" s="47"/>
      <c r="J1765" s="47"/>
      <c r="K1765" s="47"/>
      <c r="L1765" s="47"/>
      <c r="M1765" s="47"/>
      <c r="N1765" s="47"/>
      <c r="O1765" s="47"/>
      <c r="P1765" s="45" t="str">
        <f aca="false">IF($A1765="","",IF(COUNTIF(Accounts!$C$2:$C$201,$A1765)+COUNTIF('Service Principals'!$C$2:$C$201,$A1765)+COUNTIF('Managed Identities'!$C$2:$C$201,$A1765)&gt;0,"Yes","NOT IN INVENTORY"))</f>
        <v/>
      </c>
    </row>
    <row r="1766" customFormat="false" ht="15" hidden="false" customHeight="false" outlineLevel="0" collapsed="false">
      <c r="A1766" s="46"/>
      <c r="B1766" s="47"/>
      <c r="C1766" s="47"/>
      <c r="D1766" s="46"/>
      <c r="E1766" s="47"/>
      <c r="F1766" s="47"/>
      <c r="G1766" s="47"/>
      <c r="H1766" s="46"/>
      <c r="I1766" s="47"/>
      <c r="J1766" s="47"/>
      <c r="K1766" s="47"/>
      <c r="L1766" s="47"/>
      <c r="M1766" s="47"/>
      <c r="N1766" s="47"/>
      <c r="O1766" s="47"/>
      <c r="P1766" s="45" t="str">
        <f aca="false">IF($A1766="","",IF(COUNTIF(Accounts!$C$2:$C$201,$A1766)+COUNTIF('Service Principals'!$C$2:$C$201,$A1766)+COUNTIF('Managed Identities'!$C$2:$C$201,$A1766)&gt;0,"Yes","NOT IN INVENTORY"))</f>
        <v/>
      </c>
    </row>
    <row r="1767" customFormat="false" ht="15" hidden="false" customHeight="false" outlineLevel="0" collapsed="false">
      <c r="A1767" s="46"/>
      <c r="B1767" s="47"/>
      <c r="C1767" s="47"/>
      <c r="D1767" s="46"/>
      <c r="E1767" s="47"/>
      <c r="F1767" s="47"/>
      <c r="G1767" s="47"/>
      <c r="H1767" s="46"/>
      <c r="I1767" s="47"/>
      <c r="J1767" s="47"/>
      <c r="K1767" s="47"/>
      <c r="L1767" s="47"/>
      <c r="M1767" s="47"/>
      <c r="N1767" s="47"/>
      <c r="O1767" s="47"/>
      <c r="P1767" s="45" t="str">
        <f aca="false">IF($A1767="","",IF(COUNTIF(Accounts!$C$2:$C$201,$A1767)+COUNTIF('Service Principals'!$C$2:$C$201,$A1767)+COUNTIF('Managed Identities'!$C$2:$C$201,$A1767)&gt;0,"Yes","NOT IN INVENTORY"))</f>
        <v/>
      </c>
    </row>
    <row r="1768" customFormat="false" ht="15" hidden="false" customHeight="false" outlineLevel="0" collapsed="false">
      <c r="A1768" s="46"/>
      <c r="B1768" s="47"/>
      <c r="C1768" s="47"/>
      <c r="D1768" s="46"/>
      <c r="E1768" s="47"/>
      <c r="F1768" s="47"/>
      <c r="G1768" s="47"/>
      <c r="H1768" s="46"/>
      <c r="I1768" s="47"/>
      <c r="J1768" s="47"/>
      <c r="K1768" s="47"/>
      <c r="L1768" s="47"/>
      <c r="M1768" s="47"/>
      <c r="N1768" s="47"/>
      <c r="O1768" s="47"/>
      <c r="P1768" s="45" t="str">
        <f aca="false">IF($A1768="","",IF(COUNTIF(Accounts!$C$2:$C$201,$A1768)+COUNTIF('Service Principals'!$C$2:$C$201,$A1768)+COUNTIF('Managed Identities'!$C$2:$C$201,$A1768)&gt;0,"Yes","NOT IN INVENTORY"))</f>
        <v/>
      </c>
    </row>
    <row r="1769" customFormat="false" ht="15" hidden="false" customHeight="false" outlineLevel="0" collapsed="false">
      <c r="A1769" s="46"/>
      <c r="B1769" s="47"/>
      <c r="C1769" s="47"/>
      <c r="D1769" s="46"/>
      <c r="E1769" s="47"/>
      <c r="F1769" s="47"/>
      <c r="G1769" s="47"/>
      <c r="H1769" s="46"/>
      <c r="I1769" s="47"/>
      <c r="J1769" s="47"/>
      <c r="K1769" s="47"/>
      <c r="L1769" s="47"/>
      <c r="M1769" s="47"/>
      <c r="N1769" s="47"/>
      <c r="O1769" s="47"/>
      <c r="P1769" s="45" t="str">
        <f aca="false">IF($A1769="","",IF(COUNTIF(Accounts!$C$2:$C$201,$A1769)+COUNTIF('Service Principals'!$C$2:$C$201,$A1769)+COUNTIF('Managed Identities'!$C$2:$C$201,$A1769)&gt;0,"Yes","NOT IN INVENTORY"))</f>
        <v/>
      </c>
    </row>
    <row r="1770" customFormat="false" ht="15" hidden="false" customHeight="false" outlineLevel="0" collapsed="false">
      <c r="A1770" s="46"/>
      <c r="B1770" s="47"/>
      <c r="C1770" s="47"/>
      <c r="D1770" s="46"/>
      <c r="E1770" s="47"/>
      <c r="F1770" s="47"/>
      <c r="G1770" s="47"/>
      <c r="H1770" s="46"/>
      <c r="I1770" s="47"/>
      <c r="J1770" s="47"/>
      <c r="K1770" s="47"/>
      <c r="L1770" s="47"/>
      <c r="M1770" s="47"/>
      <c r="N1770" s="47"/>
      <c r="O1770" s="47"/>
      <c r="P1770" s="45" t="str">
        <f aca="false">IF($A1770="","",IF(COUNTIF(Accounts!$C$2:$C$201,$A1770)+COUNTIF('Service Principals'!$C$2:$C$201,$A1770)+COUNTIF('Managed Identities'!$C$2:$C$201,$A1770)&gt;0,"Yes","NOT IN INVENTORY"))</f>
        <v/>
      </c>
    </row>
    <row r="1771" customFormat="false" ht="15" hidden="false" customHeight="false" outlineLevel="0" collapsed="false">
      <c r="A1771" s="46"/>
      <c r="B1771" s="47"/>
      <c r="C1771" s="47"/>
      <c r="D1771" s="46"/>
      <c r="E1771" s="47"/>
      <c r="F1771" s="47"/>
      <c r="G1771" s="47"/>
      <c r="H1771" s="46"/>
      <c r="I1771" s="47"/>
      <c r="J1771" s="47"/>
      <c r="K1771" s="47"/>
      <c r="L1771" s="47"/>
      <c r="M1771" s="47"/>
      <c r="N1771" s="47"/>
      <c r="O1771" s="47"/>
      <c r="P1771" s="45" t="str">
        <f aca="false">IF($A1771="","",IF(COUNTIF(Accounts!$C$2:$C$201,$A1771)+COUNTIF('Service Principals'!$C$2:$C$201,$A1771)+COUNTIF('Managed Identities'!$C$2:$C$201,$A1771)&gt;0,"Yes","NOT IN INVENTORY"))</f>
        <v/>
      </c>
    </row>
    <row r="1772" customFormat="false" ht="15" hidden="false" customHeight="false" outlineLevel="0" collapsed="false">
      <c r="A1772" s="46"/>
      <c r="B1772" s="47"/>
      <c r="C1772" s="47"/>
      <c r="D1772" s="46"/>
      <c r="E1772" s="47"/>
      <c r="F1772" s="47"/>
      <c r="G1772" s="47"/>
      <c r="H1772" s="46"/>
      <c r="I1772" s="47"/>
      <c r="J1772" s="47"/>
      <c r="K1772" s="47"/>
      <c r="L1772" s="47"/>
      <c r="M1772" s="47"/>
      <c r="N1772" s="47"/>
      <c r="O1772" s="47"/>
      <c r="P1772" s="45" t="str">
        <f aca="false">IF($A1772="","",IF(COUNTIF(Accounts!$C$2:$C$201,$A1772)+COUNTIF('Service Principals'!$C$2:$C$201,$A1772)+COUNTIF('Managed Identities'!$C$2:$C$201,$A1772)&gt;0,"Yes","NOT IN INVENTORY"))</f>
        <v/>
      </c>
    </row>
    <row r="1773" customFormat="false" ht="15" hidden="false" customHeight="false" outlineLevel="0" collapsed="false">
      <c r="A1773" s="46"/>
      <c r="B1773" s="47"/>
      <c r="C1773" s="47"/>
      <c r="D1773" s="46"/>
      <c r="E1773" s="47"/>
      <c r="F1773" s="47"/>
      <c r="G1773" s="47"/>
      <c r="H1773" s="46"/>
      <c r="I1773" s="47"/>
      <c r="J1773" s="47"/>
      <c r="K1773" s="47"/>
      <c r="L1773" s="47"/>
      <c r="M1773" s="47"/>
      <c r="N1773" s="47"/>
      <c r="O1773" s="47"/>
      <c r="P1773" s="45" t="str">
        <f aca="false">IF($A1773="","",IF(COUNTIF(Accounts!$C$2:$C$201,$A1773)+COUNTIF('Service Principals'!$C$2:$C$201,$A1773)+COUNTIF('Managed Identities'!$C$2:$C$201,$A1773)&gt;0,"Yes","NOT IN INVENTORY"))</f>
        <v/>
      </c>
    </row>
    <row r="1774" customFormat="false" ht="15" hidden="false" customHeight="false" outlineLevel="0" collapsed="false">
      <c r="A1774" s="46"/>
      <c r="B1774" s="47"/>
      <c r="C1774" s="47"/>
      <c r="D1774" s="46"/>
      <c r="E1774" s="47"/>
      <c r="F1774" s="47"/>
      <c r="G1774" s="47"/>
      <c r="H1774" s="46"/>
      <c r="I1774" s="47"/>
      <c r="J1774" s="47"/>
      <c r="K1774" s="47"/>
      <c r="L1774" s="47"/>
      <c r="M1774" s="47"/>
      <c r="N1774" s="47"/>
      <c r="O1774" s="47"/>
      <c r="P1774" s="45" t="str">
        <f aca="false">IF($A1774="","",IF(COUNTIF(Accounts!$C$2:$C$201,$A1774)+COUNTIF('Service Principals'!$C$2:$C$201,$A1774)+COUNTIF('Managed Identities'!$C$2:$C$201,$A1774)&gt;0,"Yes","NOT IN INVENTORY"))</f>
        <v/>
      </c>
    </row>
    <row r="1775" customFormat="false" ht="15" hidden="false" customHeight="false" outlineLevel="0" collapsed="false">
      <c r="A1775" s="46"/>
      <c r="B1775" s="47"/>
      <c r="C1775" s="47"/>
      <c r="D1775" s="46"/>
      <c r="E1775" s="47"/>
      <c r="F1775" s="47"/>
      <c r="G1775" s="47"/>
      <c r="H1775" s="46"/>
      <c r="I1775" s="47"/>
      <c r="J1775" s="47"/>
      <c r="K1775" s="47"/>
      <c r="L1775" s="47"/>
      <c r="M1775" s="47"/>
      <c r="N1775" s="47"/>
      <c r="O1775" s="47"/>
      <c r="P1775" s="45" t="str">
        <f aca="false">IF($A1775="","",IF(COUNTIF(Accounts!$C$2:$C$201,$A1775)+COUNTIF('Service Principals'!$C$2:$C$201,$A1775)+COUNTIF('Managed Identities'!$C$2:$C$201,$A1775)&gt;0,"Yes","NOT IN INVENTORY"))</f>
        <v/>
      </c>
    </row>
    <row r="1776" customFormat="false" ht="15" hidden="false" customHeight="false" outlineLevel="0" collapsed="false">
      <c r="A1776" s="46"/>
      <c r="B1776" s="47"/>
      <c r="C1776" s="47"/>
      <c r="D1776" s="46"/>
      <c r="E1776" s="47"/>
      <c r="F1776" s="47"/>
      <c r="G1776" s="47"/>
      <c r="H1776" s="46"/>
      <c r="I1776" s="47"/>
      <c r="J1776" s="47"/>
      <c r="K1776" s="47"/>
      <c r="L1776" s="47"/>
      <c r="M1776" s="47"/>
      <c r="N1776" s="47"/>
      <c r="O1776" s="47"/>
      <c r="P1776" s="45" t="str">
        <f aca="false">IF($A1776="","",IF(COUNTIF(Accounts!$C$2:$C$201,$A1776)+COUNTIF('Service Principals'!$C$2:$C$201,$A1776)+COUNTIF('Managed Identities'!$C$2:$C$201,$A1776)&gt;0,"Yes","NOT IN INVENTORY"))</f>
        <v/>
      </c>
    </row>
    <row r="1777" customFormat="false" ht="15" hidden="false" customHeight="false" outlineLevel="0" collapsed="false">
      <c r="A1777" s="46"/>
      <c r="B1777" s="47"/>
      <c r="C1777" s="47"/>
      <c r="D1777" s="46"/>
      <c r="E1777" s="47"/>
      <c r="F1777" s="47"/>
      <c r="G1777" s="47"/>
      <c r="H1777" s="46"/>
      <c r="I1777" s="47"/>
      <c r="J1777" s="47"/>
      <c r="K1777" s="47"/>
      <c r="L1777" s="47"/>
      <c r="M1777" s="47"/>
      <c r="N1777" s="47"/>
      <c r="O1777" s="47"/>
      <c r="P1777" s="45" t="str">
        <f aca="false">IF($A1777="","",IF(COUNTIF(Accounts!$C$2:$C$201,$A1777)+COUNTIF('Service Principals'!$C$2:$C$201,$A1777)+COUNTIF('Managed Identities'!$C$2:$C$201,$A1777)&gt;0,"Yes","NOT IN INVENTORY"))</f>
        <v/>
      </c>
    </row>
    <row r="1778" customFormat="false" ht="15" hidden="false" customHeight="false" outlineLevel="0" collapsed="false">
      <c r="A1778" s="46"/>
      <c r="B1778" s="47"/>
      <c r="C1778" s="47"/>
      <c r="D1778" s="46"/>
      <c r="E1778" s="47"/>
      <c r="F1778" s="47"/>
      <c r="G1778" s="47"/>
      <c r="H1778" s="46"/>
      <c r="I1778" s="47"/>
      <c r="J1778" s="47"/>
      <c r="K1778" s="47"/>
      <c r="L1778" s="47"/>
      <c r="M1778" s="47"/>
      <c r="N1778" s="47"/>
      <c r="O1778" s="47"/>
      <c r="P1778" s="45" t="str">
        <f aca="false">IF($A1778="","",IF(COUNTIF(Accounts!$C$2:$C$201,$A1778)+COUNTIF('Service Principals'!$C$2:$C$201,$A1778)+COUNTIF('Managed Identities'!$C$2:$C$201,$A1778)&gt;0,"Yes","NOT IN INVENTORY"))</f>
        <v/>
      </c>
    </row>
    <row r="1779" customFormat="false" ht="15" hidden="false" customHeight="false" outlineLevel="0" collapsed="false">
      <c r="A1779" s="46"/>
      <c r="B1779" s="47"/>
      <c r="C1779" s="47"/>
      <c r="D1779" s="46"/>
      <c r="E1779" s="47"/>
      <c r="F1779" s="47"/>
      <c r="G1779" s="47"/>
      <c r="H1779" s="46"/>
      <c r="I1779" s="47"/>
      <c r="J1779" s="47"/>
      <c r="K1779" s="47"/>
      <c r="L1779" s="47"/>
      <c r="M1779" s="47"/>
      <c r="N1779" s="47"/>
      <c r="O1779" s="47"/>
      <c r="P1779" s="45" t="str">
        <f aca="false">IF($A1779="","",IF(COUNTIF(Accounts!$C$2:$C$201,$A1779)+COUNTIF('Service Principals'!$C$2:$C$201,$A1779)+COUNTIF('Managed Identities'!$C$2:$C$201,$A1779)&gt;0,"Yes","NOT IN INVENTORY"))</f>
        <v/>
      </c>
    </row>
    <row r="1780" customFormat="false" ht="15" hidden="false" customHeight="false" outlineLevel="0" collapsed="false">
      <c r="A1780" s="46"/>
      <c r="B1780" s="47"/>
      <c r="C1780" s="47"/>
      <c r="D1780" s="46"/>
      <c r="E1780" s="47"/>
      <c r="F1780" s="47"/>
      <c r="G1780" s="47"/>
      <c r="H1780" s="46"/>
      <c r="I1780" s="47"/>
      <c r="J1780" s="47"/>
      <c r="K1780" s="47"/>
      <c r="L1780" s="47"/>
      <c r="M1780" s="47"/>
      <c r="N1780" s="47"/>
      <c r="O1780" s="47"/>
      <c r="P1780" s="45" t="str">
        <f aca="false">IF($A1780="","",IF(COUNTIF(Accounts!$C$2:$C$201,$A1780)+COUNTIF('Service Principals'!$C$2:$C$201,$A1780)+COUNTIF('Managed Identities'!$C$2:$C$201,$A1780)&gt;0,"Yes","NOT IN INVENTORY"))</f>
        <v/>
      </c>
    </row>
    <row r="1781" customFormat="false" ht="15" hidden="false" customHeight="false" outlineLevel="0" collapsed="false">
      <c r="A1781" s="46"/>
      <c r="B1781" s="47"/>
      <c r="C1781" s="47"/>
      <c r="D1781" s="46"/>
      <c r="E1781" s="47"/>
      <c r="F1781" s="47"/>
      <c r="G1781" s="47"/>
      <c r="H1781" s="46"/>
      <c r="I1781" s="47"/>
      <c r="J1781" s="47"/>
      <c r="K1781" s="47"/>
      <c r="L1781" s="47"/>
      <c r="M1781" s="47"/>
      <c r="N1781" s="47"/>
      <c r="O1781" s="47"/>
      <c r="P1781" s="45" t="str">
        <f aca="false">IF($A1781="","",IF(COUNTIF(Accounts!$C$2:$C$201,$A1781)+COUNTIF('Service Principals'!$C$2:$C$201,$A1781)+COUNTIF('Managed Identities'!$C$2:$C$201,$A1781)&gt;0,"Yes","NOT IN INVENTORY"))</f>
        <v/>
      </c>
    </row>
    <row r="1782" customFormat="false" ht="15" hidden="false" customHeight="false" outlineLevel="0" collapsed="false">
      <c r="A1782" s="46"/>
      <c r="B1782" s="47"/>
      <c r="C1782" s="47"/>
      <c r="D1782" s="46"/>
      <c r="E1782" s="47"/>
      <c r="F1782" s="47"/>
      <c r="G1782" s="47"/>
      <c r="H1782" s="46"/>
      <c r="I1782" s="47"/>
      <c r="J1782" s="47"/>
      <c r="K1782" s="47"/>
      <c r="L1782" s="47"/>
      <c r="M1782" s="47"/>
      <c r="N1782" s="47"/>
      <c r="O1782" s="47"/>
      <c r="P1782" s="45" t="str">
        <f aca="false">IF($A1782="","",IF(COUNTIF(Accounts!$C$2:$C$201,$A1782)+COUNTIF('Service Principals'!$C$2:$C$201,$A1782)+COUNTIF('Managed Identities'!$C$2:$C$201,$A1782)&gt;0,"Yes","NOT IN INVENTORY"))</f>
        <v/>
      </c>
    </row>
    <row r="1783" customFormat="false" ht="15" hidden="false" customHeight="false" outlineLevel="0" collapsed="false">
      <c r="A1783" s="46"/>
      <c r="B1783" s="47"/>
      <c r="C1783" s="47"/>
      <c r="D1783" s="46"/>
      <c r="E1783" s="47"/>
      <c r="F1783" s="47"/>
      <c r="G1783" s="47"/>
      <c r="H1783" s="46"/>
      <c r="I1783" s="47"/>
      <c r="J1783" s="47"/>
      <c r="K1783" s="47"/>
      <c r="L1783" s="47"/>
      <c r="M1783" s="47"/>
      <c r="N1783" s="47"/>
      <c r="O1783" s="47"/>
      <c r="P1783" s="45" t="str">
        <f aca="false">IF($A1783="","",IF(COUNTIF(Accounts!$C$2:$C$201,$A1783)+COUNTIF('Service Principals'!$C$2:$C$201,$A1783)+COUNTIF('Managed Identities'!$C$2:$C$201,$A1783)&gt;0,"Yes","NOT IN INVENTORY"))</f>
        <v/>
      </c>
    </row>
    <row r="1784" customFormat="false" ht="15" hidden="false" customHeight="false" outlineLevel="0" collapsed="false">
      <c r="A1784" s="46"/>
      <c r="B1784" s="47"/>
      <c r="C1784" s="47"/>
      <c r="D1784" s="46"/>
      <c r="E1784" s="47"/>
      <c r="F1784" s="47"/>
      <c r="G1784" s="47"/>
      <c r="H1784" s="46"/>
      <c r="I1784" s="47"/>
      <c r="J1784" s="47"/>
      <c r="K1784" s="47"/>
      <c r="L1784" s="47"/>
      <c r="M1784" s="47"/>
      <c r="N1784" s="47"/>
      <c r="O1784" s="47"/>
      <c r="P1784" s="45" t="str">
        <f aca="false">IF($A1784="","",IF(COUNTIF(Accounts!$C$2:$C$201,$A1784)+COUNTIF('Service Principals'!$C$2:$C$201,$A1784)+COUNTIF('Managed Identities'!$C$2:$C$201,$A1784)&gt;0,"Yes","NOT IN INVENTORY"))</f>
        <v/>
      </c>
    </row>
    <row r="1785" customFormat="false" ht="15" hidden="false" customHeight="false" outlineLevel="0" collapsed="false">
      <c r="A1785" s="46"/>
      <c r="B1785" s="47"/>
      <c r="C1785" s="47"/>
      <c r="D1785" s="46"/>
      <c r="E1785" s="47"/>
      <c r="F1785" s="47"/>
      <c r="G1785" s="47"/>
      <c r="H1785" s="46"/>
      <c r="I1785" s="47"/>
      <c r="J1785" s="47"/>
      <c r="K1785" s="47"/>
      <c r="L1785" s="47"/>
      <c r="M1785" s="47"/>
      <c r="N1785" s="47"/>
      <c r="O1785" s="47"/>
      <c r="P1785" s="45" t="str">
        <f aca="false">IF($A1785="","",IF(COUNTIF(Accounts!$C$2:$C$201,$A1785)+COUNTIF('Service Principals'!$C$2:$C$201,$A1785)+COUNTIF('Managed Identities'!$C$2:$C$201,$A1785)&gt;0,"Yes","NOT IN INVENTORY"))</f>
        <v/>
      </c>
    </row>
    <row r="1786" customFormat="false" ht="15" hidden="false" customHeight="false" outlineLevel="0" collapsed="false">
      <c r="A1786" s="46"/>
      <c r="B1786" s="47"/>
      <c r="C1786" s="47"/>
      <c r="D1786" s="46"/>
      <c r="E1786" s="47"/>
      <c r="F1786" s="47"/>
      <c r="G1786" s="47"/>
      <c r="H1786" s="46"/>
      <c r="I1786" s="47"/>
      <c r="J1786" s="47"/>
      <c r="K1786" s="47"/>
      <c r="L1786" s="47"/>
      <c r="M1786" s="47"/>
      <c r="N1786" s="47"/>
      <c r="O1786" s="47"/>
      <c r="P1786" s="45" t="str">
        <f aca="false">IF($A1786="","",IF(COUNTIF(Accounts!$C$2:$C$201,$A1786)+COUNTIF('Service Principals'!$C$2:$C$201,$A1786)+COUNTIF('Managed Identities'!$C$2:$C$201,$A1786)&gt;0,"Yes","NOT IN INVENTORY"))</f>
        <v/>
      </c>
    </row>
    <row r="1787" customFormat="false" ht="15" hidden="false" customHeight="false" outlineLevel="0" collapsed="false">
      <c r="A1787" s="46"/>
      <c r="B1787" s="47"/>
      <c r="C1787" s="47"/>
      <c r="D1787" s="46"/>
      <c r="E1787" s="47"/>
      <c r="F1787" s="47"/>
      <c r="G1787" s="47"/>
      <c r="H1787" s="46"/>
      <c r="I1787" s="47"/>
      <c r="J1787" s="47"/>
      <c r="K1787" s="47"/>
      <c r="L1787" s="47"/>
      <c r="M1787" s="47"/>
      <c r="N1787" s="47"/>
      <c r="O1787" s="47"/>
      <c r="P1787" s="45" t="str">
        <f aca="false">IF($A1787="","",IF(COUNTIF(Accounts!$C$2:$C$201,$A1787)+COUNTIF('Service Principals'!$C$2:$C$201,$A1787)+COUNTIF('Managed Identities'!$C$2:$C$201,$A1787)&gt;0,"Yes","NOT IN INVENTORY"))</f>
        <v/>
      </c>
    </row>
    <row r="1788" customFormat="false" ht="15" hidden="false" customHeight="false" outlineLevel="0" collapsed="false">
      <c r="A1788" s="46"/>
      <c r="B1788" s="47"/>
      <c r="C1788" s="47"/>
      <c r="D1788" s="46"/>
      <c r="E1788" s="47"/>
      <c r="F1788" s="47"/>
      <c r="G1788" s="47"/>
      <c r="H1788" s="46"/>
      <c r="I1788" s="47"/>
      <c r="J1788" s="47"/>
      <c r="K1788" s="47"/>
      <c r="L1788" s="47"/>
      <c r="M1788" s="47"/>
      <c r="N1788" s="47"/>
      <c r="O1788" s="47"/>
      <c r="P1788" s="45" t="str">
        <f aca="false">IF($A1788="","",IF(COUNTIF(Accounts!$C$2:$C$201,$A1788)+COUNTIF('Service Principals'!$C$2:$C$201,$A1788)+COUNTIF('Managed Identities'!$C$2:$C$201,$A1788)&gt;0,"Yes","NOT IN INVENTORY"))</f>
        <v/>
      </c>
    </row>
    <row r="1789" customFormat="false" ht="15" hidden="false" customHeight="false" outlineLevel="0" collapsed="false">
      <c r="A1789" s="46"/>
      <c r="B1789" s="47"/>
      <c r="C1789" s="47"/>
      <c r="D1789" s="46"/>
      <c r="E1789" s="47"/>
      <c r="F1789" s="47"/>
      <c r="G1789" s="47"/>
      <c r="H1789" s="46"/>
      <c r="I1789" s="47"/>
      <c r="J1789" s="47"/>
      <c r="K1789" s="47"/>
      <c r="L1789" s="47"/>
      <c r="M1789" s="47"/>
      <c r="N1789" s="47"/>
      <c r="O1789" s="47"/>
      <c r="P1789" s="45" t="str">
        <f aca="false">IF($A1789="","",IF(COUNTIF(Accounts!$C$2:$C$201,$A1789)+COUNTIF('Service Principals'!$C$2:$C$201,$A1789)+COUNTIF('Managed Identities'!$C$2:$C$201,$A1789)&gt;0,"Yes","NOT IN INVENTORY"))</f>
        <v/>
      </c>
    </row>
    <row r="1790" customFormat="false" ht="15" hidden="false" customHeight="false" outlineLevel="0" collapsed="false">
      <c r="A1790" s="46"/>
      <c r="B1790" s="47"/>
      <c r="C1790" s="47"/>
      <c r="D1790" s="46"/>
      <c r="E1790" s="47"/>
      <c r="F1790" s="47"/>
      <c r="G1790" s="47"/>
      <c r="H1790" s="46"/>
      <c r="I1790" s="47"/>
      <c r="J1790" s="47"/>
      <c r="K1790" s="47"/>
      <c r="L1790" s="47"/>
      <c r="M1790" s="47"/>
      <c r="N1790" s="47"/>
      <c r="O1790" s="47"/>
      <c r="P1790" s="45" t="str">
        <f aca="false">IF($A1790="","",IF(COUNTIF(Accounts!$C$2:$C$201,$A1790)+COUNTIF('Service Principals'!$C$2:$C$201,$A1790)+COUNTIF('Managed Identities'!$C$2:$C$201,$A1790)&gt;0,"Yes","NOT IN INVENTORY"))</f>
        <v/>
      </c>
    </row>
    <row r="1791" customFormat="false" ht="15" hidden="false" customHeight="false" outlineLevel="0" collapsed="false">
      <c r="A1791" s="46"/>
      <c r="B1791" s="47"/>
      <c r="C1791" s="47"/>
      <c r="D1791" s="46"/>
      <c r="E1791" s="47"/>
      <c r="F1791" s="47"/>
      <c r="G1791" s="47"/>
      <c r="H1791" s="46"/>
      <c r="I1791" s="47"/>
      <c r="J1791" s="47"/>
      <c r="K1791" s="47"/>
      <c r="L1791" s="47"/>
      <c r="M1791" s="47"/>
      <c r="N1791" s="47"/>
      <c r="O1791" s="47"/>
      <c r="P1791" s="45" t="str">
        <f aca="false">IF($A1791="","",IF(COUNTIF(Accounts!$C$2:$C$201,$A1791)+COUNTIF('Service Principals'!$C$2:$C$201,$A1791)+COUNTIF('Managed Identities'!$C$2:$C$201,$A1791)&gt;0,"Yes","NOT IN INVENTORY"))</f>
        <v/>
      </c>
    </row>
    <row r="1792" customFormat="false" ht="15" hidden="false" customHeight="false" outlineLevel="0" collapsed="false">
      <c r="A1792" s="46"/>
      <c r="B1792" s="47"/>
      <c r="C1792" s="47"/>
      <c r="D1792" s="46"/>
      <c r="E1792" s="47"/>
      <c r="F1792" s="47"/>
      <c r="G1792" s="47"/>
      <c r="H1792" s="46"/>
      <c r="I1792" s="47"/>
      <c r="J1792" s="47"/>
      <c r="K1792" s="47"/>
      <c r="L1792" s="47"/>
      <c r="M1792" s="47"/>
      <c r="N1792" s="47"/>
      <c r="O1792" s="47"/>
      <c r="P1792" s="45" t="str">
        <f aca="false">IF($A1792="","",IF(COUNTIF(Accounts!$C$2:$C$201,$A1792)+COUNTIF('Service Principals'!$C$2:$C$201,$A1792)+COUNTIF('Managed Identities'!$C$2:$C$201,$A1792)&gt;0,"Yes","NOT IN INVENTORY"))</f>
        <v/>
      </c>
    </row>
    <row r="1793" customFormat="false" ht="15" hidden="false" customHeight="false" outlineLevel="0" collapsed="false">
      <c r="A1793" s="46"/>
      <c r="B1793" s="47"/>
      <c r="C1793" s="47"/>
      <c r="D1793" s="46"/>
      <c r="E1793" s="47"/>
      <c r="F1793" s="47"/>
      <c r="G1793" s="47"/>
      <c r="H1793" s="46"/>
      <c r="I1793" s="47"/>
      <c r="J1793" s="47"/>
      <c r="K1793" s="47"/>
      <c r="L1793" s="47"/>
      <c r="M1793" s="47"/>
      <c r="N1793" s="47"/>
      <c r="O1793" s="47"/>
      <c r="P1793" s="45" t="str">
        <f aca="false">IF($A1793="","",IF(COUNTIF(Accounts!$C$2:$C$201,$A1793)+COUNTIF('Service Principals'!$C$2:$C$201,$A1793)+COUNTIF('Managed Identities'!$C$2:$C$201,$A1793)&gt;0,"Yes","NOT IN INVENTORY"))</f>
        <v/>
      </c>
    </row>
    <row r="1794" customFormat="false" ht="15" hidden="false" customHeight="false" outlineLevel="0" collapsed="false">
      <c r="A1794" s="46"/>
      <c r="B1794" s="47"/>
      <c r="C1794" s="47"/>
      <c r="D1794" s="46"/>
      <c r="E1794" s="47"/>
      <c r="F1794" s="47"/>
      <c r="G1794" s="47"/>
      <c r="H1794" s="46"/>
      <c r="I1794" s="47"/>
      <c r="J1794" s="47"/>
      <c r="K1794" s="47"/>
      <c r="L1794" s="47"/>
      <c r="M1794" s="47"/>
      <c r="N1794" s="47"/>
      <c r="O1794" s="47"/>
      <c r="P1794" s="45" t="str">
        <f aca="false">IF($A1794="","",IF(COUNTIF(Accounts!$C$2:$C$201,$A1794)+COUNTIF('Service Principals'!$C$2:$C$201,$A1794)+COUNTIF('Managed Identities'!$C$2:$C$201,$A1794)&gt;0,"Yes","NOT IN INVENTORY"))</f>
        <v/>
      </c>
    </row>
    <row r="1795" customFormat="false" ht="15" hidden="false" customHeight="false" outlineLevel="0" collapsed="false">
      <c r="A1795" s="46"/>
      <c r="B1795" s="47"/>
      <c r="C1795" s="47"/>
      <c r="D1795" s="46"/>
      <c r="E1795" s="47"/>
      <c r="F1795" s="47"/>
      <c r="G1795" s="47"/>
      <c r="H1795" s="46"/>
      <c r="I1795" s="47"/>
      <c r="J1795" s="47"/>
      <c r="K1795" s="47"/>
      <c r="L1795" s="47"/>
      <c r="M1795" s="47"/>
      <c r="N1795" s="47"/>
      <c r="O1795" s="47"/>
      <c r="P1795" s="45" t="str">
        <f aca="false">IF($A1795="","",IF(COUNTIF(Accounts!$C$2:$C$201,$A1795)+COUNTIF('Service Principals'!$C$2:$C$201,$A1795)+COUNTIF('Managed Identities'!$C$2:$C$201,$A1795)&gt;0,"Yes","NOT IN INVENTORY"))</f>
        <v/>
      </c>
    </row>
    <row r="1796" customFormat="false" ht="15" hidden="false" customHeight="false" outlineLevel="0" collapsed="false">
      <c r="A1796" s="46"/>
      <c r="B1796" s="47"/>
      <c r="C1796" s="47"/>
      <c r="D1796" s="46"/>
      <c r="E1796" s="47"/>
      <c r="F1796" s="47"/>
      <c r="G1796" s="47"/>
      <c r="H1796" s="46"/>
      <c r="I1796" s="47"/>
      <c r="J1796" s="47"/>
      <c r="K1796" s="47"/>
      <c r="L1796" s="47"/>
      <c r="M1796" s="47"/>
      <c r="N1796" s="47"/>
      <c r="O1796" s="47"/>
      <c r="P1796" s="45" t="str">
        <f aca="false">IF($A1796="","",IF(COUNTIF(Accounts!$C$2:$C$201,$A1796)+COUNTIF('Service Principals'!$C$2:$C$201,$A1796)+COUNTIF('Managed Identities'!$C$2:$C$201,$A1796)&gt;0,"Yes","NOT IN INVENTORY"))</f>
        <v/>
      </c>
    </row>
    <row r="1797" customFormat="false" ht="15" hidden="false" customHeight="false" outlineLevel="0" collapsed="false">
      <c r="A1797" s="46"/>
      <c r="B1797" s="47"/>
      <c r="C1797" s="47"/>
      <c r="D1797" s="46"/>
      <c r="E1797" s="47"/>
      <c r="F1797" s="47"/>
      <c r="G1797" s="47"/>
      <c r="H1797" s="46"/>
      <c r="I1797" s="47"/>
      <c r="J1797" s="47"/>
      <c r="K1797" s="47"/>
      <c r="L1797" s="47"/>
      <c r="M1797" s="47"/>
      <c r="N1797" s="47"/>
      <c r="O1797" s="47"/>
      <c r="P1797" s="45" t="str">
        <f aca="false">IF($A1797="","",IF(COUNTIF(Accounts!$C$2:$C$201,$A1797)+COUNTIF('Service Principals'!$C$2:$C$201,$A1797)+COUNTIF('Managed Identities'!$C$2:$C$201,$A1797)&gt;0,"Yes","NOT IN INVENTORY"))</f>
        <v/>
      </c>
    </row>
    <row r="1798" customFormat="false" ht="15" hidden="false" customHeight="false" outlineLevel="0" collapsed="false">
      <c r="A1798" s="46"/>
      <c r="B1798" s="47"/>
      <c r="C1798" s="47"/>
      <c r="D1798" s="46"/>
      <c r="E1798" s="47"/>
      <c r="F1798" s="47"/>
      <c r="G1798" s="47"/>
      <c r="H1798" s="46"/>
      <c r="I1798" s="47"/>
      <c r="J1798" s="47"/>
      <c r="K1798" s="47"/>
      <c r="L1798" s="47"/>
      <c r="M1798" s="47"/>
      <c r="N1798" s="47"/>
      <c r="O1798" s="47"/>
      <c r="P1798" s="45" t="str">
        <f aca="false">IF($A1798="","",IF(COUNTIF(Accounts!$C$2:$C$201,$A1798)+COUNTIF('Service Principals'!$C$2:$C$201,$A1798)+COUNTIF('Managed Identities'!$C$2:$C$201,$A1798)&gt;0,"Yes","NOT IN INVENTORY"))</f>
        <v/>
      </c>
    </row>
    <row r="1799" customFormat="false" ht="15" hidden="false" customHeight="false" outlineLevel="0" collapsed="false">
      <c r="A1799" s="46"/>
      <c r="B1799" s="47"/>
      <c r="C1799" s="47"/>
      <c r="D1799" s="46"/>
      <c r="E1799" s="47"/>
      <c r="F1799" s="47"/>
      <c r="G1799" s="47"/>
      <c r="H1799" s="46"/>
      <c r="I1799" s="47"/>
      <c r="J1799" s="47"/>
      <c r="K1799" s="47"/>
      <c r="L1799" s="47"/>
      <c r="M1799" s="47"/>
      <c r="N1799" s="47"/>
      <c r="O1799" s="47"/>
      <c r="P1799" s="45" t="str">
        <f aca="false">IF($A1799="","",IF(COUNTIF(Accounts!$C$2:$C$201,$A1799)+COUNTIF('Service Principals'!$C$2:$C$201,$A1799)+COUNTIF('Managed Identities'!$C$2:$C$201,$A1799)&gt;0,"Yes","NOT IN INVENTORY"))</f>
        <v/>
      </c>
    </row>
    <row r="1800" customFormat="false" ht="15" hidden="false" customHeight="false" outlineLevel="0" collapsed="false">
      <c r="A1800" s="46"/>
      <c r="B1800" s="47"/>
      <c r="C1800" s="47"/>
      <c r="D1800" s="46"/>
      <c r="E1800" s="47"/>
      <c r="F1800" s="47"/>
      <c r="G1800" s="47"/>
      <c r="H1800" s="46"/>
      <c r="I1800" s="47"/>
      <c r="J1800" s="47"/>
      <c r="K1800" s="47"/>
      <c r="L1800" s="47"/>
      <c r="M1800" s="47"/>
      <c r="N1800" s="47"/>
      <c r="O1800" s="47"/>
      <c r="P1800" s="45" t="str">
        <f aca="false">IF($A1800="","",IF(COUNTIF(Accounts!$C$2:$C$201,$A1800)+COUNTIF('Service Principals'!$C$2:$C$201,$A1800)+COUNTIF('Managed Identities'!$C$2:$C$201,$A1800)&gt;0,"Yes","NOT IN INVENTORY"))</f>
        <v/>
      </c>
    </row>
    <row r="1801" customFormat="false" ht="15" hidden="false" customHeight="false" outlineLevel="0" collapsed="false">
      <c r="A1801" s="46"/>
      <c r="B1801" s="47"/>
      <c r="C1801" s="47"/>
      <c r="D1801" s="46"/>
      <c r="E1801" s="47"/>
      <c r="F1801" s="47"/>
      <c r="G1801" s="47"/>
      <c r="H1801" s="46"/>
      <c r="I1801" s="47"/>
      <c r="J1801" s="47"/>
      <c r="K1801" s="47"/>
      <c r="L1801" s="47"/>
      <c r="M1801" s="47"/>
      <c r="N1801" s="47"/>
      <c r="O1801" s="47"/>
      <c r="P1801" s="45" t="str">
        <f aca="false">IF($A1801="","",IF(COUNTIF(Accounts!$C$2:$C$201,$A1801)+COUNTIF('Service Principals'!$C$2:$C$201,$A1801)+COUNTIF('Managed Identities'!$C$2:$C$201,$A1801)&gt;0,"Yes","NOT IN INVENTORY"))</f>
        <v/>
      </c>
    </row>
    <row r="1802" customFormat="false" ht="15" hidden="false" customHeight="false" outlineLevel="0" collapsed="false">
      <c r="A1802" s="46"/>
      <c r="B1802" s="47"/>
      <c r="C1802" s="47"/>
      <c r="D1802" s="46"/>
      <c r="E1802" s="47"/>
      <c r="F1802" s="47"/>
      <c r="G1802" s="47"/>
      <c r="H1802" s="46"/>
      <c r="I1802" s="47"/>
      <c r="J1802" s="47"/>
      <c r="K1802" s="47"/>
      <c r="L1802" s="47"/>
      <c r="M1802" s="47"/>
      <c r="N1802" s="47"/>
      <c r="O1802" s="47"/>
      <c r="P1802" s="45" t="str">
        <f aca="false">IF($A1802="","",IF(COUNTIF(Accounts!$C$2:$C$201,$A1802)+COUNTIF('Service Principals'!$C$2:$C$201,$A1802)+COUNTIF('Managed Identities'!$C$2:$C$201,$A1802)&gt;0,"Yes","NOT IN INVENTORY"))</f>
        <v/>
      </c>
    </row>
    <row r="1803" customFormat="false" ht="15" hidden="false" customHeight="false" outlineLevel="0" collapsed="false">
      <c r="A1803" s="46"/>
      <c r="B1803" s="47"/>
      <c r="C1803" s="47"/>
      <c r="D1803" s="46"/>
      <c r="E1803" s="47"/>
      <c r="F1803" s="47"/>
      <c r="G1803" s="47"/>
      <c r="H1803" s="46"/>
      <c r="I1803" s="47"/>
      <c r="J1803" s="47"/>
      <c r="K1803" s="47"/>
      <c r="L1803" s="47"/>
      <c r="M1803" s="47"/>
      <c r="N1803" s="47"/>
      <c r="O1803" s="47"/>
      <c r="P1803" s="45" t="str">
        <f aca="false">IF($A1803="","",IF(COUNTIF(Accounts!$C$2:$C$201,$A1803)+COUNTIF('Service Principals'!$C$2:$C$201,$A1803)+COUNTIF('Managed Identities'!$C$2:$C$201,$A1803)&gt;0,"Yes","NOT IN INVENTORY"))</f>
        <v/>
      </c>
    </row>
    <row r="1804" customFormat="false" ht="15" hidden="false" customHeight="false" outlineLevel="0" collapsed="false">
      <c r="A1804" s="46"/>
      <c r="B1804" s="47"/>
      <c r="C1804" s="47"/>
      <c r="D1804" s="46"/>
      <c r="E1804" s="47"/>
      <c r="F1804" s="47"/>
      <c r="G1804" s="47"/>
      <c r="H1804" s="46"/>
      <c r="I1804" s="47"/>
      <c r="J1804" s="47"/>
      <c r="K1804" s="47"/>
      <c r="L1804" s="47"/>
      <c r="M1804" s="47"/>
      <c r="N1804" s="47"/>
      <c r="O1804" s="47"/>
      <c r="P1804" s="45" t="str">
        <f aca="false">IF($A1804="","",IF(COUNTIF(Accounts!$C$2:$C$201,$A1804)+COUNTIF('Service Principals'!$C$2:$C$201,$A1804)+COUNTIF('Managed Identities'!$C$2:$C$201,$A1804)&gt;0,"Yes","NOT IN INVENTORY"))</f>
        <v/>
      </c>
    </row>
    <row r="1805" customFormat="false" ht="15" hidden="false" customHeight="false" outlineLevel="0" collapsed="false">
      <c r="A1805" s="46"/>
      <c r="B1805" s="47"/>
      <c r="C1805" s="47"/>
      <c r="D1805" s="46"/>
      <c r="E1805" s="47"/>
      <c r="F1805" s="47"/>
      <c r="G1805" s="47"/>
      <c r="H1805" s="46"/>
      <c r="I1805" s="47"/>
      <c r="J1805" s="47"/>
      <c r="K1805" s="47"/>
      <c r="L1805" s="47"/>
      <c r="M1805" s="47"/>
      <c r="N1805" s="47"/>
      <c r="O1805" s="47"/>
      <c r="P1805" s="45" t="str">
        <f aca="false">IF($A1805="","",IF(COUNTIF(Accounts!$C$2:$C$201,$A1805)+COUNTIF('Service Principals'!$C$2:$C$201,$A1805)+COUNTIF('Managed Identities'!$C$2:$C$201,$A1805)&gt;0,"Yes","NOT IN INVENTORY"))</f>
        <v/>
      </c>
    </row>
    <row r="1806" customFormat="false" ht="15" hidden="false" customHeight="false" outlineLevel="0" collapsed="false">
      <c r="A1806" s="46"/>
      <c r="B1806" s="47"/>
      <c r="C1806" s="47"/>
      <c r="D1806" s="46"/>
      <c r="E1806" s="47"/>
      <c r="F1806" s="47"/>
      <c r="G1806" s="47"/>
      <c r="H1806" s="46"/>
      <c r="I1806" s="47"/>
      <c r="J1806" s="47"/>
      <c r="K1806" s="47"/>
      <c r="L1806" s="47"/>
      <c r="M1806" s="47"/>
      <c r="N1806" s="47"/>
      <c r="O1806" s="47"/>
      <c r="P1806" s="45" t="str">
        <f aca="false">IF($A1806="","",IF(COUNTIF(Accounts!$C$2:$C$201,$A1806)+COUNTIF('Service Principals'!$C$2:$C$201,$A1806)+COUNTIF('Managed Identities'!$C$2:$C$201,$A1806)&gt;0,"Yes","NOT IN INVENTORY"))</f>
        <v/>
      </c>
    </row>
    <row r="1807" customFormat="false" ht="15" hidden="false" customHeight="false" outlineLevel="0" collapsed="false">
      <c r="A1807" s="46"/>
      <c r="B1807" s="47"/>
      <c r="C1807" s="47"/>
      <c r="D1807" s="46"/>
      <c r="E1807" s="47"/>
      <c r="F1807" s="47"/>
      <c r="G1807" s="47"/>
      <c r="H1807" s="46"/>
      <c r="I1807" s="47"/>
      <c r="J1807" s="47"/>
      <c r="K1807" s="47"/>
      <c r="L1807" s="47"/>
      <c r="M1807" s="47"/>
      <c r="N1807" s="47"/>
      <c r="O1807" s="47"/>
      <c r="P1807" s="45" t="str">
        <f aca="false">IF($A1807="","",IF(COUNTIF(Accounts!$C$2:$C$201,$A1807)+COUNTIF('Service Principals'!$C$2:$C$201,$A1807)+COUNTIF('Managed Identities'!$C$2:$C$201,$A1807)&gt;0,"Yes","NOT IN INVENTORY"))</f>
        <v/>
      </c>
    </row>
    <row r="1808" customFormat="false" ht="15" hidden="false" customHeight="false" outlineLevel="0" collapsed="false">
      <c r="A1808" s="46"/>
      <c r="B1808" s="47"/>
      <c r="C1808" s="47"/>
      <c r="D1808" s="46"/>
      <c r="E1808" s="47"/>
      <c r="F1808" s="47"/>
      <c r="G1808" s="47"/>
      <c r="H1808" s="46"/>
      <c r="I1808" s="47"/>
      <c r="J1808" s="47"/>
      <c r="K1808" s="47"/>
      <c r="L1808" s="47"/>
      <c r="M1808" s="47"/>
      <c r="N1808" s="47"/>
      <c r="O1808" s="47"/>
      <c r="P1808" s="45" t="str">
        <f aca="false">IF($A1808="","",IF(COUNTIF(Accounts!$C$2:$C$201,$A1808)+COUNTIF('Service Principals'!$C$2:$C$201,$A1808)+COUNTIF('Managed Identities'!$C$2:$C$201,$A1808)&gt;0,"Yes","NOT IN INVENTORY"))</f>
        <v/>
      </c>
    </row>
    <row r="1809" customFormat="false" ht="15" hidden="false" customHeight="false" outlineLevel="0" collapsed="false">
      <c r="A1809" s="46"/>
      <c r="B1809" s="47"/>
      <c r="C1809" s="47"/>
      <c r="D1809" s="46"/>
      <c r="E1809" s="47"/>
      <c r="F1809" s="47"/>
      <c r="G1809" s="47"/>
      <c r="H1809" s="46"/>
      <c r="I1809" s="47"/>
      <c r="J1809" s="47"/>
      <c r="K1809" s="47"/>
      <c r="L1809" s="47"/>
      <c r="M1809" s="47"/>
      <c r="N1809" s="47"/>
      <c r="O1809" s="47"/>
      <c r="P1809" s="45" t="str">
        <f aca="false">IF($A1809="","",IF(COUNTIF(Accounts!$C$2:$C$201,$A1809)+COUNTIF('Service Principals'!$C$2:$C$201,$A1809)+COUNTIF('Managed Identities'!$C$2:$C$201,$A1809)&gt;0,"Yes","NOT IN INVENTORY"))</f>
        <v/>
      </c>
    </row>
    <row r="1810" customFormat="false" ht="15" hidden="false" customHeight="false" outlineLevel="0" collapsed="false">
      <c r="A1810" s="46"/>
      <c r="B1810" s="47"/>
      <c r="C1810" s="47"/>
      <c r="D1810" s="46"/>
      <c r="E1810" s="47"/>
      <c r="F1810" s="47"/>
      <c r="G1810" s="47"/>
      <c r="H1810" s="46"/>
      <c r="I1810" s="47"/>
      <c r="J1810" s="47"/>
      <c r="K1810" s="47"/>
      <c r="L1810" s="47"/>
      <c r="M1810" s="47"/>
      <c r="N1810" s="47"/>
      <c r="O1810" s="47"/>
      <c r="P1810" s="45" t="str">
        <f aca="false">IF($A1810="","",IF(COUNTIF(Accounts!$C$2:$C$201,$A1810)+COUNTIF('Service Principals'!$C$2:$C$201,$A1810)+COUNTIF('Managed Identities'!$C$2:$C$201,$A1810)&gt;0,"Yes","NOT IN INVENTORY"))</f>
        <v/>
      </c>
    </row>
    <row r="1811" customFormat="false" ht="15" hidden="false" customHeight="false" outlineLevel="0" collapsed="false">
      <c r="A1811" s="46"/>
      <c r="B1811" s="47"/>
      <c r="C1811" s="47"/>
      <c r="D1811" s="46"/>
      <c r="E1811" s="47"/>
      <c r="F1811" s="47"/>
      <c r="G1811" s="47"/>
      <c r="H1811" s="46"/>
      <c r="I1811" s="47"/>
      <c r="J1811" s="47"/>
      <c r="K1811" s="47"/>
      <c r="L1811" s="47"/>
      <c r="M1811" s="47"/>
      <c r="N1811" s="47"/>
      <c r="O1811" s="47"/>
      <c r="P1811" s="45" t="str">
        <f aca="false">IF($A1811="","",IF(COUNTIF(Accounts!$C$2:$C$201,$A1811)+COUNTIF('Service Principals'!$C$2:$C$201,$A1811)+COUNTIF('Managed Identities'!$C$2:$C$201,$A1811)&gt;0,"Yes","NOT IN INVENTORY"))</f>
        <v/>
      </c>
    </row>
    <row r="1812" customFormat="false" ht="15" hidden="false" customHeight="false" outlineLevel="0" collapsed="false">
      <c r="A1812" s="46"/>
      <c r="B1812" s="47"/>
      <c r="C1812" s="47"/>
      <c r="D1812" s="46"/>
      <c r="E1812" s="47"/>
      <c r="F1812" s="47"/>
      <c r="G1812" s="47"/>
      <c r="H1812" s="46"/>
      <c r="I1812" s="47"/>
      <c r="J1812" s="47"/>
      <c r="K1812" s="47"/>
      <c r="L1812" s="47"/>
      <c r="M1812" s="47"/>
      <c r="N1812" s="47"/>
      <c r="O1812" s="47"/>
      <c r="P1812" s="45" t="str">
        <f aca="false">IF($A1812="","",IF(COUNTIF(Accounts!$C$2:$C$201,$A1812)+COUNTIF('Service Principals'!$C$2:$C$201,$A1812)+COUNTIF('Managed Identities'!$C$2:$C$201,$A1812)&gt;0,"Yes","NOT IN INVENTORY"))</f>
        <v/>
      </c>
    </row>
    <row r="1813" customFormat="false" ht="15" hidden="false" customHeight="false" outlineLevel="0" collapsed="false">
      <c r="A1813" s="46"/>
      <c r="B1813" s="47"/>
      <c r="C1813" s="47"/>
      <c r="D1813" s="46"/>
      <c r="E1813" s="47"/>
      <c r="F1813" s="47"/>
      <c r="G1813" s="47"/>
      <c r="H1813" s="46"/>
      <c r="I1813" s="47"/>
      <c r="J1813" s="47"/>
      <c r="K1813" s="47"/>
      <c r="L1813" s="47"/>
      <c r="M1813" s="47"/>
      <c r="N1813" s="47"/>
      <c r="O1813" s="47"/>
      <c r="P1813" s="45" t="str">
        <f aca="false">IF($A1813="","",IF(COUNTIF(Accounts!$C$2:$C$201,$A1813)+COUNTIF('Service Principals'!$C$2:$C$201,$A1813)+COUNTIF('Managed Identities'!$C$2:$C$201,$A1813)&gt;0,"Yes","NOT IN INVENTORY"))</f>
        <v/>
      </c>
    </row>
    <row r="1814" customFormat="false" ht="15" hidden="false" customHeight="false" outlineLevel="0" collapsed="false">
      <c r="A1814" s="46"/>
      <c r="B1814" s="47"/>
      <c r="C1814" s="47"/>
      <c r="D1814" s="46"/>
      <c r="E1814" s="47"/>
      <c r="F1814" s="47"/>
      <c r="G1814" s="47"/>
      <c r="H1814" s="46"/>
      <c r="I1814" s="47"/>
      <c r="J1814" s="47"/>
      <c r="K1814" s="47"/>
      <c r="L1814" s="47"/>
      <c r="M1814" s="47"/>
      <c r="N1814" s="47"/>
      <c r="O1814" s="47"/>
      <c r="P1814" s="45" t="str">
        <f aca="false">IF($A1814="","",IF(COUNTIF(Accounts!$C$2:$C$201,$A1814)+COUNTIF('Service Principals'!$C$2:$C$201,$A1814)+COUNTIF('Managed Identities'!$C$2:$C$201,$A1814)&gt;0,"Yes","NOT IN INVENTORY"))</f>
        <v/>
      </c>
    </row>
    <row r="1815" customFormat="false" ht="15" hidden="false" customHeight="false" outlineLevel="0" collapsed="false">
      <c r="A1815" s="46"/>
      <c r="B1815" s="47"/>
      <c r="C1815" s="47"/>
      <c r="D1815" s="46"/>
      <c r="E1815" s="47"/>
      <c r="F1815" s="47"/>
      <c r="G1815" s="47"/>
      <c r="H1815" s="46"/>
      <c r="I1815" s="47"/>
      <c r="J1815" s="47"/>
      <c r="K1815" s="47"/>
      <c r="L1815" s="47"/>
      <c r="M1815" s="47"/>
      <c r="N1815" s="47"/>
      <c r="O1815" s="47"/>
      <c r="P1815" s="45" t="str">
        <f aca="false">IF($A1815="","",IF(COUNTIF(Accounts!$C$2:$C$201,$A1815)+COUNTIF('Service Principals'!$C$2:$C$201,$A1815)+COUNTIF('Managed Identities'!$C$2:$C$201,$A1815)&gt;0,"Yes","NOT IN INVENTORY"))</f>
        <v/>
      </c>
    </row>
    <row r="1816" customFormat="false" ht="15" hidden="false" customHeight="false" outlineLevel="0" collapsed="false">
      <c r="A1816" s="46"/>
      <c r="B1816" s="47"/>
      <c r="C1816" s="47"/>
      <c r="D1816" s="46"/>
      <c r="E1816" s="47"/>
      <c r="F1816" s="47"/>
      <c r="G1816" s="47"/>
      <c r="H1816" s="46"/>
      <c r="I1816" s="47"/>
      <c r="J1816" s="47"/>
      <c r="K1816" s="47"/>
      <c r="L1816" s="47"/>
      <c r="M1816" s="47"/>
      <c r="N1816" s="47"/>
      <c r="O1816" s="47"/>
      <c r="P1816" s="45" t="str">
        <f aca="false">IF($A1816="","",IF(COUNTIF(Accounts!$C$2:$C$201,$A1816)+COUNTIF('Service Principals'!$C$2:$C$201,$A1816)+COUNTIF('Managed Identities'!$C$2:$C$201,$A1816)&gt;0,"Yes","NOT IN INVENTORY"))</f>
        <v/>
      </c>
    </row>
    <row r="1817" customFormat="false" ht="15" hidden="false" customHeight="false" outlineLevel="0" collapsed="false">
      <c r="A1817" s="46"/>
      <c r="B1817" s="47"/>
      <c r="C1817" s="47"/>
      <c r="D1817" s="46"/>
      <c r="E1817" s="47"/>
      <c r="F1817" s="47"/>
      <c r="G1817" s="47"/>
      <c r="H1817" s="46"/>
      <c r="I1817" s="47"/>
      <c r="J1817" s="47"/>
      <c r="K1817" s="47"/>
      <c r="L1817" s="47"/>
      <c r="M1817" s="47"/>
      <c r="N1817" s="47"/>
      <c r="O1817" s="47"/>
      <c r="P1817" s="45" t="str">
        <f aca="false">IF($A1817="","",IF(COUNTIF(Accounts!$C$2:$C$201,$A1817)+COUNTIF('Service Principals'!$C$2:$C$201,$A1817)+COUNTIF('Managed Identities'!$C$2:$C$201,$A1817)&gt;0,"Yes","NOT IN INVENTORY"))</f>
        <v/>
      </c>
    </row>
    <row r="1818" customFormat="false" ht="15" hidden="false" customHeight="false" outlineLevel="0" collapsed="false">
      <c r="A1818" s="46"/>
      <c r="B1818" s="47"/>
      <c r="C1818" s="47"/>
      <c r="D1818" s="46"/>
      <c r="E1818" s="47"/>
      <c r="F1818" s="47"/>
      <c r="G1818" s="47"/>
      <c r="H1818" s="46"/>
      <c r="I1818" s="47"/>
      <c r="J1818" s="47"/>
      <c r="K1818" s="47"/>
      <c r="L1818" s="47"/>
      <c r="M1818" s="47"/>
      <c r="N1818" s="47"/>
      <c r="O1818" s="47"/>
      <c r="P1818" s="45" t="str">
        <f aca="false">IF($A1818="","",IF(COUNTIF(Accounts!$C$2:$C$201,$A1818)+COUNTIF('Service Principals'!$C$2:$C$201,$A1818)+COUNTIF('Managed Identities'!$C$2:$C$201,$A1818)&gt;0,"Yes","NOT IN INVENTORY"))</f>
        <v/>
      </c>
    </row>
    <row r="1819" customFormat="false" ht="15" hidden="false" customHeight="false" outlineLevel="0" collapsed="false">
      <c r="A1819" s="46"/>
      <c r="B1819" s="47"/>
      <c r="C1819" s="47"/>
      <c r="D1819" s="46"/>
      <c r="E1819" s="47"/>
      <c r="F1819" s="47"/>
      <c r="G1819" s="47"/>
      <c r="H1819" s="46"/>
      <c r="I1819" s="47"/>
      <c r="J1819" s="47"/>
      <c r="K1819" s="47"/>
      <c r="L1819" s="47"/>
      <c r="M1819" s="47"/>
      <c r="N1819" s="47"/>
      <c r="O1819" s="47"/>
      <c r="P1819" s="45" t="str">
        <f aca="false">IF($A1819="","",IF(COUNTIF(Accounts!$C$2:$C$201,$A1819)+COUNTIF('Service Principals'!$C$2:$C$201,$A1819)+COUNTIF('Managed Identities'!$C$2:$C$201,$A1819)&gt;0,"Yes","NOT IN INVENTORY"))</f>
        <v/>
      </c>
    </row>
    <row r="1820" customFormat="false" ht="15" hidden="false" customHeight="false" outlineLevel="0" collapsed="false">
      <c r="A1820" s="46"/>
      <c r="B1820" s="47"/>
      <c r="C1820" s="47"/>
      <c r="D1820" s="46"/>
      <c r="E1820" s="47"/>
      <c r="F1820" s="47"/>
      <c r="G1820" s="47"/>
      <c r="H1820" s="46"/>
      <c r="I1820" s="47"/>
      <c r="J1820" s="47"/>
      <c r="K1820" s="47"/>
      <c r="L1820" s="47"/>
      <c r="M1820" s="47"/>
      <c r="N1820" s="47"/>
      <c r="O1820" s="47"/>
      <c r="P1820" s="45" t="str">
        <f aca="false">IF($A1820="","",IF(COUNTIF(Accounts!$C$2:$C$201,$A1820)+COUNTIF('Service Principals'!$C$2:$C$201,$A1820)+COUNTIF('Managed Identities'!$C$2:$C$201,$A1820)&gt;0,"Yes","NOT IN INVENTORY"))</f>
        <v/>
      </c>
    </row>
    <row r="1821" customFormat="false" ht="15" hidden="false" customHeight="false" outlineLevel="0" collapsed="false">
      <c r="A1821" s="46"/>
      <c r="B1821" s="47"/>
      <c r="C1821" s="47"/>
      <c r="D1821" s="46"/>
      <c r="E1821" s="47"/>
      <c r="F1821" s="47"/>
      <c r="G1821" s="47"/>
      <c r="H1821" s="46"/>
      <c r="I1821" s="47"/>
      <c r="J1821" s="47"/>
      <c r="K1821" s="47"/>
      <c r="L1821" s="47"/>
      <c r="M1821" s="47"/>
      <c r="N1821" s="47"/>
      <c r="O1821" s="47"/>
      <c r="P1821" s="45" t="str">
        <f aca="false">IF($A1821="","",IF(COUNTIF(Accounts!$C$2:$C$201,$A1821)+COUNTIF('Service Principals'!$C$2:$C$201,$A1821)+COUNTIF('Managed Identities'!$C$2:$C$201,$A1821)&gt;0,"Yes","NOT IN INVENTORY"))</f>
        <v/>
      </c>
    </row>
    <row r="1822" customFormat="false" ht="15" hidden="false" customHeight="false" outlineLevel="0" collapsed="false">
      <c r="A1822" s="46"/>
      <c r="B1822" s="47"/>
      <c r="C1822" s="47"/>
      <c r="D1822" s="46"/>
      <c r="E1822" s="47"/>
      <c r="F1822" s="47"/>
      <c r="G1822" s="47"/>
      <c r="H1822" s="46"/>
      <c r="I1822" s="47"/>
      <c r="J1822" s="47"/>
      <c r="K1822" s="47"/>
      <c r="L1822" s="47"/>
      <c r="M1822" s="47"/>
      <c r="N1822" s="47"/>
      <c r="O1822" s="47"/>
      <c r="P1822" s="45" t="str">
        <f aca="false">IF($A1822="","",IF(COUNTIF(Accounts!$C$2:$C$201,$A1822)+COUNTIF('Service Principals'!$C$2:$C$201,$A1822)+COUNTIF('Managed Identities'!$C$2:$C$201,$A1822)&gt;0,"Yes","NOT IN INVENTORY"))</f>
        <v/>
      </c>
    </row>
    <row r="1823" customFormat="false" ht="15" hidden="false" customHeight="false" outlineLevel="0" collapsed="false">
      <c r="A1823" s="46"/>
      <c r="B1823" s="47"/>
      <c r="C1823" s="47"/>
      <c r="D1823" s="46"/>
      <c r="E1823" s="47"/>
      <c r="F1823" s="47"/>
      <c r="G1823" s="47"/>
      <c r="H1823" s="46"/>
      <c r="I1823" s="47"/>
      <c r="J1823" s="47"/>
      <c r="K1823" s="47"/>
      <c r="L1823" s="47"/>
      <c r="M1823" s="47"/>
      <c r="N1823" s="47"/>
      <c r="O1823" s="47"/>
      <c r="P1823" s="45" t="str">
        <f aca="false">IF($A1823="","",IF(COUNTIF(Accounts!$C$2:$C$201,$A1823)+COUNTIF('Service Principals'!$C$2:$C$201,$A1823)+COUNTIF('Managed Identities'!$C$2:$C$201,$A1823)&gt;0,"Yes","NOT IN INVENTORY"))</f>
        <v/>
      </c>
    </row>
    <row r="1824" customFormat="false" ht="15" hidden="false" customHeight="false" outlineLevel="0" collapsed="false">
      <c r="A1824" s="46"/>
      <c r="B1824" s="47"/>
      <c r="C1824" s="47"/>
      <c r="D1824" s="46"/>
      <c r="E1824" s="47"/>
      <c r="F1824" s="47"/>
      <c r="G1824" s="47"/>
      <c r="H1824" s="46"/>
      <c r="I1824" s="47"/>
      <c r="J1824" s="47"/>
      <c r="K1824" s="47"/>
      <c r="L1824" s="47"/>
      <c r="M1824" s="47"/>
      <c r="N1824" s="47"/>
      <c r="O1824" s="47"/>
      <c r="P1824" s="45" t="str">
        <f aca="false">IF($A1824="","",IF(COUNTIF(Accounts!$C$2:$C$201,$A1824)+COUNTIF('Service Principals'!$C$2:$C$201,$A1824)+COUNTIF('Managed Identities'!$C$2:$C$201,$A1824)&gt;0,"Yes","NOT IN INVENTORY"))</f>
        <v/>
      </c>
    </row>
    <row r="1825" customFormat="false" ht="15" hidden="false" customHeight="false" outlineLevel="0" collapsed="false">
      <c r="A1825" s="46"/>
      <c r="B1825" s="47"/>
      <c r="C1825" s="47"/>
      <c r="D1825" s="46"/>
      <c r="E1825" s="47"/>
      <c r="F1825" s="47"/>
      <c r="G1825" s="47"/>
      <c r="H1825" s="46"/>
      <c r="I1825" s="47"/>
      <c r="J1825" s="47"/>
      <c r="K1825" s="47"/>
      <c r="L1825" s="47"/>
      <c r="M1825" s="47"/>
      <c r="N1825" s="47"/>
      <c r="O1825" s="47"/>
      <c r="P1825" s="45" t="str">
        <f aca="false">IF($A1825="","",IF(COUNTIF(Accounts!$C$2:$C$201,$A1825)+COUNTIF('Service Principals'!$C$2:$C$201,$A1825)+COUNTIF('Managed Identities'!$C$2:$C$201,$A1825)&gt;0,"Yes","NOT IN INVENTORY"))</f>
        <v/>
      </c>
    </row>
    <row r="1826" customFormat="false" ht="15" hidden="false" customHeight="false" outlineLevel="0" collapsed="false">
      <c r="A1826" s="46"/>
      <c r="B1826" s="47"/>
      <c r="C1826" s="47"/>
      <c r="D1826" s="46"/>
      <c r="E1826" s="47"/>
      <c r="F1826" s="47"/>
      <c r="G1826" s="47"/>
      <c r="H1826" s="46"/>
      <c r="I1826" s="47"/>
      <c r="J1826" s="47"/>
      <c r="K1826" s="47"/>
      <c r="L1826" s="47"/>
      <c r="M1826" s="47"/>
      <c r="N1826" s="47"/>
      <c r="O1826" s="47"/>
      <c r="P1826" s="45" t="str">
        <f aca="false">IF($A1826="","",IF(COUNTIF(Accounts!$C$2:$C$201,$A1826)+COUNTIF('Service Principals'!$C$2:$C$201,$A1826)+COUNTIF('Managed Identities'!$C$2:$C$201,$A1826)&gt;0,"Yes","NOT IN INVENTORY"))</f>
        <v/>
      </c>
    </row>
    <row r="1827" customFormat="false" ht="15" hidden="false" customHeight="false" outlineLevel="0" collapsed="false">
      <c r="A1827" s="46"/>
      <c r="B1827" s="47"/>
      <c r="C1827" s="47"/>
      <c r="D1827" s="46"/>
      <c r="E1827" s="47"/>
      <c r="F1827" s="47"/>
      <c r="G1827" s="47"/>
      <c r="H1827" s="46"/>
      <c r="I1827" s="47"/>
      <c r="J1827" s="47"/>
      <c r="K1827" s="47"/>
      <c r="L1827" s="47"/>
      <c r="M1827" s="47"/>
      <c r="N1827" s="47"/>
      <c r="O1827" s="47"/>
      <c r="P1827" s="45" t="str">
        <f aca="false">IF($A1827="","",IF(COUNTIF(Accounts!$C$2:$C$201,$A1827)+COUNTIF('Service Principals'!$C$2:$C$201,$A1827)+COUNTIF('Managed Identities'!$C$2:$C$201,$A1827)&gt;0,"Yes","NOT IN INVENTORY"))</f>
        <v/>
      </c>
    </row>
    <row r="1828" customFormat="false" ht="15" hidden="false" customHeight="false" outlineLevel="0" collapsed="false">
      <c r="A1828" s="46"/>
      <c r="B1828" s="47"/>
      <c r="C1828" s="47"/>
      <c r="D1828" s="46"/>
      <c r="E1828" s="47"/>
      <c r="F1828" s="47"/>
      <c r="G1828" s="47"/>
      <c r="H1828" s="46"/>
      <c r="I1828" s="47"/>
      <c r="J1828" s="47"/>
      <c r="K1828" s="47"/>
      <c r="L1828" s="47"/>
      <c r="M1828" s="47"/>
      <c r="N1828" s="47"/>
      <c r="O1828" s="47"/>
      <c r="P1828" s="45" t="str">
        <f aca="false">IF($A1828="","",IF(COUNTIF(Accounts!$C$2:$C$201,$A1828)+COUNTIF('Service Principals'!$C$2:$C$201,$A1828)+COUNTIF('Managed Identities'!$C$2:$C$201,$A1828)&gt;0,"Yes","NOT IN INVENTORY"))</f>
        <v/>
      </c>
    </row>
    <row r="1829" customFormat="false" ht="15" hidden="false" customHeight="false" outlineLevel="0" collapsed="false">
      <c r="A1829" s="46"/>
      <c r="B1829" s="47"/>
      <c r="C1829" s="47"/>
      <c r="D1829" s="46"/>
      <c r="E1829" s="47"/>
      <c r="F1829" s="47"/>
      <c r="G1829" s="47"/>
      <c r="H1829" s="46"/>
      <c r="I1829" s="47"/>
      <c r="J1829" s="47"/>
      <c r="K1829" s="47"/>
      <c r="L1829" s="47"/>
      <c r="M1829" s="47"/>
      <c r="N1829" s="47"/>
      <c r="O1829" s="47"/>
      <c r="P1829" s="45" t="str">
        <f aca="false">IF($A1829="","",IF(COUNTIF(Accounts!$C$2:$C$201,$A1829)+COUNTIF('Service Principals'!$C$2:$C$201,$A1829)+COUNTIF('Managed Identities'!$C$2:$C$201,$A1829)&gt;0,"Yes","NOT IN INVENTORY"))</f>
        <v/>
      </c>
    </row>
    <row r="1830" customFormat="false" ht="15" hidden="false" customHeight="false" outlineLevel="0" collapsed="false">
      <c r="A1830" s="46"/>
      <c r="B1830" s="47"/>
      <c r="C1830" s="47"/>
      <c r="D1830" s="46"/>
      <c r="E1830" s="47"/>
      <c r="F1830" s="47"/>
      <c r="G1830" s="47"/>
      <c r="H1830" s="46"/>
      <c r="I1830" s="47"/>
      <c r="J1830" s="47"/>
      <c r="K1830" s="47"/>
      <c r="L1830" s="47"/>
      <c r="M1830" s="47"/>
      <c r="N1830" s="47"/>
      <c r="O1830" s="47"/>
      <c r="P1830" s="45" t="str">
        <f aca="false">IF($A1830="","",IF(COUNTIF(Accounts!$C$2:$C$201,$A1830)+COUNTIF('Service Principals'!$C$2:$C$201,$A1830)+COUNTIF('Managed Identities'!$C$2:$C$201,$A1830)&gt;0,"Yes","NOT IN INVENTORY"))</f>
        <v/>
      </c>
    </row>
    <row r="1831" customFormat="false" ht="15" hidden="false" customHeight="false" outlineLevel="0" collapsed="false">
      <c r="A1831" s="46"/>
      <c r="B1831" s="47"/>
      <c r="C1831" s="47"/>
      <c r="D1831" s="46"/>
      <c r="E1831" s="47"/>
      <c r="F1831" s="47"/>
      <c r="G1831" s="47"/>
      <c r="H1831" s="46"/>
      <c r="I1831" s="47"/>
      <c r="J1831" s="47"/>
      <c r="K1831" s="47"/>
      <c r="L1831" s="47"/>
      <c r="M1831" s="47"/>
      <c r="N1831" s="47"/>
      <c r="O1831" s="47"/>
      <c r="P1831" s="45" t="str">
        <f aca="false">IF($A1831="","",IF(COUNTIF(Accounts!$C$2:$C$201,$A1831)+COUNTIF('Service Principals'!$C$2:$C$201,$A1831)+COUNTIF('Managed Identities'!$C$2:$C$201,$A1831)&gt;0,"Yes","NOT IN INVENTORY"))</f>
        <v/>
      </c>
    </row>
    <row r="1832" customFormat="false" ht="15" hidden="false" customHeight="false" outlineLevel="0" collapsed="false">
      <c r="A1832" s="46"/>
      <c r="B1832" s="47"/>
      <c r="C1832" s="47"/>
      <c r="D1832" s="46"/>
      <c r="E1832" s="47"/>
      <c r="F1832" s="47"/>
      <c r="G1832" s="47"/>
      <c r="H1832" s="46"/>
      <c r="I1832" s="47"/>
      <c r="J1832" s="47"/>
      <c r="K1832" s="47"/>
      <c r="L1832" s="47"/>
      <c r="M1832" s="47"/>
      <c r="N1832" s="47"/>
      <c r="O1832" s="47"/>
      <c r="P1832" s="45" t="str">
        <f aca="false">IF($A1832="","",IF(COUNTIF(Accounts!$C$2:$C$201,$A1832)+COUNTIF('Service Principals'!$C$2:$C$201,$A1832)+COUNTIF('Managed Identities'!$C$2:$C$201,$A1832)&gt;0,"Yes","NOT IN INVENTORY"))</f>
        <v/>
      </c>
    </row>
    <row r="1833" customFormat="false" ht="15" hidden="false" customHeight="false" outlineLevel="0" collapsed="false">
      <c r="A1833" s="46"/>
      <c r="B1833" s="47"/>
      <c r="C1833" s="47"/>
      <c r="D1833" s="46"/>
      <c r="E1833" s="47"/>
      <c r="F1833" s="47"/>
      <c r="G1833" s="47"/>
      <c r="H1833" s="46"/>
      <c r="I1833" s="47"/>
      <c r="J1833" s="47"/>
      <c r="K1833" s="47"/>
      <c r="L1833" s="47"/>
      <c r="M1833" s="47"/>
      <c r="N1833" s="47"/>
      <c r="O1833" s="47"/>
      <c r="P1833" s="45" t="str">
        <f aca="false">IF($A1833="","",IF(COUNTIF(Accounts!$C$2:$C$201,$A1833)+COUNTIF('Service Principals'!$C$2:$C$201,$A1833)+COUNTIF('Managed Identities'!$C$2:$C$201,$A1833)&gt;0,"Yes","NOT IN INVENTORY"))</f>
        <v/>
      </c>
    </row>
    <row r="1834" customFormat="false" ht="15" hidden="false" customHeight="false" outlineLevel="0" collapsed="false">
      <c r="A1834" s="46"/>
      <c r="B1834" s="47"/>
      <c r="C1834" s="47"/>
      <c r="D1834" s="46"/>
      <c r="E1834" s="47"/>
      <c r="F1834" s="47"/>
      <c r="G1834" s="47"/>
      <c r="H1834" s="46"/>
      <c r="I1834" s="47"/>
      <c r="J1834" s="47"/>
      <c r="K1834" s="47"/>
      <c r="L1834" s="47"/>
      <c r="M1834" s="47"/>
      <c r="N1834" s="47"/>
      <c r="O1834" s="47"/>
      <c r="P1834" s="45" t="str">
        <f aca="false">IF($A1834="","",IF(COUNTIF(Accounts!$C$2:$C$201,$A1834)+COUNTIF('Service Principals'!$C$2:$C$201,$A1834)+COUNTIF('Managed Identities'!$C$2:$C$201,$A1834)&gt;0,"Yes","NOT IN INVENTORY"))</f>
        <v/>
      </c>
    </row>
    <row r="1835" customFormat="false" ht="15" hidden="false" customHeight="false" outlineLevel="0" collapsed="false">
      <c r="A1835" s="46"/>
      <c r="B1835" s="47"/>
      <c r="C1835" s="47"/>
      <c r="D1835" s="46"/>
      <c r="E1835" s="47"/>
      <c r="F1835" s="47"/>
      <c r="G1835" s="47"/>
      <c r="H1835" s="46"/>
      <c r="I1835" s="47"/>
      <c r="J1835" s="47"/>
      <c r="K1835" s="47"/>
      <c r="L1835" s="47"/>
      <c r="M1835" s="47"/>
      <c r="N1835" s="47"/>
      <c r="O1835" s="47"/>
      <c r="P1835" s="45" t="str">
        <f aca="false">IF($A1835="","",IF(COUNTIF(Accounts!$C$2:$C$201,$A1835)+COUNTIF('Service Principals'!$C$2:$C$201,$A1835)+COUNTIF('Managed Identities'!$C$2:$C$201,$A1835)&gt;0,"Yes","NOT IN INVENTORY"))</f>
        <v/>
      </c>
    </row>
    <row r="1836" customFormat="false" ht="15" hidden="false" customHeight="false" outlineLevel="0" collapsed="false">
      <c r="A1836" s="46"/>
      <c r="B1836" s="47"/>
      <c r="C1836" s="47"/>
      <c r="D1836" s="46"/>
      <c r="E1836" s="47"/>
      <c r="F1836" s="47"/>
      <c r="G1836" s="47"/>
      <c r="H1836" s="46"/>
      <c r="I1836" s="47"/>
      <c r="J1836" s="47"/>
      <c r="K1836" s="47"/>
      <c r="L1836" s="47"/>
      <c r="M1836" s="47"/>
      <c r="N1836" s="47"/>
      <c r="O1836" s="47"/>
      <c r="P1836" s="45" t="str">
        <f aca="false">IF($A1836="","",IF(COUNTIF(Accounts!$C$2:$C$201,$A1836)+COUNTIF('Service Principals'!$C$2:$C$201,$A1836)+COUNTIF('Managed Identities'!$C$2:$C$201,$A1836)&gt;0,"Yes","NOT IN INVENTORY"))</f>
        <v/>
      </c>
    </row>
    <row r="1837" customFormat="false" ht="15" hidden="false" customHeight="false" outlineLevel="0" collapsed="false">
      <c r="A1837" s="46"/>
      <c r="B1837" s="47"/>
      <c r="C1837" s="47"/>
      <c r="D1837" s="46"/>
      <c r="E1837" s="47"/>
      <c r="F1837" s="47"/>
      <c r="G1837" s="47"/>
      <c r="H1837" s="46"/>
      <c r="I1837" s="47"/>
      <c r="J1837" s="47"/>
      <c r="K1837" s="47"/>
      <c r="L1837" s="47"/>
      <c r="M1837" s="47"/>
      <c r="N1837" s="47"/>
      <c r="O1837" s="47"/>
      <c r="P1837" s="45" t="str">
        <f aca="false">IF($A1837="","",IF(COUNTIF(Accounts!$C$2:$C$201,$A1837)+COUNTIF('Service Principals'!$C$2:$C$201,$A1837)+COUNTIF('Managed Identities'!$C$2:$C$201,$A1837)&gt;0,"Yes","NOT IN INVENTORY"))</f>
        <v/>
      </c>
    </row>
    <row r="1838" customFormat="false" ht="15" hidden="false" customHeight="false" outlineLevel="0" collapsed="false">
      <c r="A1838" s="46"/>
      <c r="B1838" s="47"/>
      <c r="C1838" s="47"/>
      <c r="D1838" s="46"/>
      <c r="E1838" s="47"/>
      <c r="F1838" s="47"/>
      <c r="G1838" s="47"/>
      <c r="H1838" s="46"/>
      <c r="I1838" s="47"/>
      <c r="J1838" s="47"/>
      <c r="K1838" s="47"/>
      <c r="L1838" s="47"/>
      <c r="M1838" s="47"/>
      <c r="N1838" s="47"/>
      <c r="O1838" s="47"/>
      <c r="P1838" s="45" t="str">
        <f aca="false">IF($A1838="","",IF(COUNTIF(Accounts!$C$2:$C$201,$A1838)+COUNTIF('Service Principals'!$C$2:$C$201,$A1838)+COUNTIF('Managed Identities'!$C$2:$C$201,$A1838)&gt;0,"Yes","NOT IN INVENTORY"))</f>
        <v/>
      </c>
    </row>
    <row r="1839" customFormat="false" ht="15" hidden="false" customHeight="false" outlineLevel="0" collapsed="false">
      <c r="A1839" s="46"/>
      <c r="B1839" s="47"/>
      <c r="C1839" s="47"/>
      <c r="D1839" s="46"/>
      <c r="E1839" s="47"/>
      <c r="F1839" s="47"/>
      <c r="G1839" s="47"/>
      <c r="H1839" s="46"/>
      <c r="I1839" s="47"/>
      <c r="J1839" s="47"/>
      <c r="K1839" s="47"/>
      <c r="L1839" s="47"/>
      <c r="M1839" s="47"/>
      <c r="N1839" s="47"/>
      <c r="O1839" s="47"/>
      <c r="P1839" s="45" t="str">
        <f aca="false">IF($A1839="","",IF(COUNTIF(Accounts!$C$2:$C$201,$A1839)+COUNTIF('Service Principals'!$C$2:$C$201,$A1839)+COUNTIF('Managed Identities'!$C$2:$C$201,$A1839)&gt;0,"Yes","NOT IN INVENTORY"))</f>
        <v/>
      </c>
    </row>
    <row r="1840" customFormat="false" ht="15" hidden="false" customHeight="false" outlineLevel="0" collapsed="false">
      <c r="A1840" s="46"/>
      <c r="B1840" s="47"/>
      <c r="C1840" s="47"/>
      <c r="D1840" s="46"/>
      <c r="E1840" s="47"/>
      <c r="F1840" s="47"/>
      <c r="G1840" s="47"/>
      <c r="H1840" s="46"/>
      <c r="I1840" s="47"/>
      <c r="J1840" s="47"/>
      <c r="K1840" s="47"/>
      <c r="L1840" s="47"/>
      <c r="M1840" s="47"/>
      <c r="N1840" s="47"/>
      <c r="O1840" s="47"/>
      <c r="P1840" s="45" t="str">
        <f aca="false">IF($A1840="","",IF(COUNTIF(Accounts!$C$2:$C$201,$A1840)+COUNTIF('Service Principals'!$C$2:$C$201,$A1840)+COUNTIF('Managed Identities'!$C$2:$C$201,$A1840)&gt;0,"Yes","NOT IN INVENTORY"))</f>
        <v/>
      </c>
    </row>
    <row r="1841" customFormat="false" ht="15" hidden="false" customHeight="false" outlineLevel="0" collapsed="false">
      <c r="A1841" s="46"/>
      <c r="B1841" s="47"/>
      <c r="C1841" s="47"/>
      <c r="D1841" s="46"/>
      <c r="E1841" s="47"/>
      <c r="F1841" s="47"/>
      <c r="G1841" s="47"/>
      <c r="H1841" s="46"/>
      <c r="I1841" s="47"/>
      <c r="J1841" s="47"/>
      <c r="K1841" s="47"/>
      <c r="L1841" s="47"/>
      <c r="M1841" s="47"/>
      <c r="N1841" s="47"/>
      <c r="O1841" s="47"/>
      <c r="P1841" s="45" t="str">
        <f aca="false">IF($A1841="","",IF(COUNTIF(Accounts!$C$2:$C$201,$A1841)+COUNTIF('Service Principals'!$C$2:$C$201,$A1841)+COUNTIF('Managed Identities'!$C$2:$C$201,$A1841)&gt;0,"Yes","NOT IN INVENTORY"))</f>
        <v/>
      </c>
    </row>
    <row r="1842" customFormat="false" ht="15" hidden="false" customHeight="false" outlineLevel="0" collapsed="false">
      <c r="A1842" s="46"/>
      <c r="B1842" s="47"/>
      <c r="C1842" s="47"/>
      <c r="D1842" s="46"/>
      <c r="E1842" s="47"/>
      <c r="F1842" s="47"/>
      <c r="G1842" s="47"/>
      <c r="H1842" s="46"/>
      <c r="I1842" s="47"/>
      <c r="J1842" s="47"/>
      <c r="K1842" s="47"/>
      <c r="L1842" s="47"/>
      <c r="M1842" s="47"/>
      <c r="N1842" s="47"/>
      <c r="O1842" s="47"/>
      <c r="P1842" s="45" t="str">
        <f aca="false">IF($A1842="","",IF(COUNTIF(Accounts!$C$2:$C$201,$A1842)+COUNTIF('Service Principals'!$C$2:$C$201,$A1842)+COUNTIF('Managed Identities'!$C$2:$C$201,$A1842)&gt;0,"Yes","NOT IN INVENTORY"))</f>
        <v/>
      </c>
    </row>
    <row r="1843" customFormat="false" ht="15" hidden="false" customHeight="false" outlineLevel="0" collapsed="false">
      <c r="A1843" s="46"/>
      <c r="B1843" s="47"/>
      <c r="C1843" s="47"/>
      <c r="D1843" s="46"/>
      <c r="E1843" s="47"/>
      <c r="F1843" s="47"/>
      <c r="G1843" s="47"/>
      <c r="H1843" s="46"/>
      <c r="I1843" s="47"/>
      <c r="J1843" s="47"/>
      <c r="K1843" s="47"/>
      <c r="L1843" s="47"/>
      <c r="M1843" s="47"/>
      <c r="N1843" s="47"/>
      <c r="O1843" s="47"/>
      <c r="P1843" s="45" t="str">
        <f aca="false">IF($A1843="","",IF(COUNTIF(Accounts!$C$2:$C$201,$A1843)+COUNTIF('Service Principals'!$C$2:$C$201,$A1843)+COUNTIF('Managed Identities'!$C$2:$C$201,$A1843)&gt;0,"Yes","NOT IN INVENTORY"))</f>
        <v/>
      </c>
    </row>
    <row r="1844" customFormat="false" ht="15" hidden="false" customHeight="false" outlineLevel="0" collapsed="false">
      <c r="A1844" s="46"/>
      <c r="B1844" s="47"/>
      <c r="C1844" s="47"/>
      <c r="D1844" s="46"/>
      <c r="E1844" s="47"/>
      <c r="F1844" s="47"/>
      <c r="G1844" s="47"/>
      <c r="H1844" s="46"/>
      <c r="I1844" s="47"/>
      <c r="J1844" s="47"/>
      <c r="K1844" s="47"/>
      <c r="L1844" s="47"/>
      <c r="M1844" s="47"/>
      <c r="N1844" s="47"/>
      <c r="O1844" s="47"/>
      <c r="P1844" s="45" t="str">
        <f aca="false">IF($A1844="","",IF(COUNTIF(Accounts!$C$2:$C$201,$A1844)+COUNTIF('Service Principals'!$C$2:$C$201,$A1844)+COUNTIF('Managed Identities'!$C$2:$C$201,$A1844)&gt;0,"Yes","NOT IN INVENTORY"))</f>
        <v/>
      </c>
    </row>
    <row r="1845" customFormat="false" ht="15" hidden="false" customHeight="false" outlineLevel="0" collapsed="false">
      <c r="A1845" s="46"/>
      <c r="B1845" s="47"/>
      <c r="C1845" s="47"/>
      <c r="D1845" s="46"/>
      <c r="E1845" s="47"/>
      <c r="F1845" s="47"/>
      <c r="G1845" s="47"/>
      <c r="H1845" s="46"/>
      <c r="I1845" s="47"/>
      <c r="J1845" s="47"/>
      <c r="K1845" s="47"/>
      <c r="L1845" s="47"/>
      <c r="M1845" s="47"/>
      <c r="N1845" s="47"/>
      <c r="O1845" s="47"/>
      <c r="P1845" s="45" t="str">
        <f aca="false">IF($A1845="","",IF(COUNTIF(Accounts!$C$2:$C$201,$A1845)+COUNTIF('Service Principals'!$C$2:$C$201,$A1845)+COUNTIF('Managed Identities'!$C$2:$C$201,$A1845)&gt;0,"Yes","NOT IN INVENTORY"))</f>
        <v/>
      </c>
    </row>
    <row r="1846" customFormat="false" ht="15" hidden="false" customHeight="false" outlineLevel="0" collapsed="false">
      <c r="A1846" s="46"/>
      <c r="B1846" s="47"/>
      <c r="C1846" s="47"/>
      <c r="D1846" s="46"/>
      <c r="E1846" s="47"/>
      <c r="F1846" s="47"/>
      <c r="G1846" s="47"/>
      <c r="H1846" s="46"/>
      <c r="I1846" s="47"/>
      <c r="J1846" s="47"/>
      <c r="K1846" s="47"/>
      <c r="L1846" s="47"/>
      <c r="M1846" s="47"/>
      <c r="N1846" s="47"/>
      <c r="O1846" s="47"/>
      <c r="P1846" s="45" t="str">
        <f aca="false">IF($A1846="","",IF(COUNTIF(Accounts!$C$2:$C$201,$A1846)+COUNTIF('Service Principals'!$C$2:$C$201,$A1846)+COUNTIF('Managed Identities'!$C$2:$C$201,$A1846)&gt;0,"Yes","NOT IN INVENTORY"))</f>
        <v/>
      </c>
    </row>
    <row r="1847" customFormat="false" ht="15" hidden="false" customHeight="false" outlineLevel="0" collapsed="false">
      <c r="A1847" s="46"/>
      <c r="B1847" s="47"/>
      <c r="C1847" s="47"/>
      <c r="D1847" s="46"/>
      <c r="E1847" s="47"/>
      <c r="F1847" s="47"/>
      <c r="G1847" s="47"/>
      <c r="H1847" s="46"/>
      <c r="I1847" s="47"/>
      <c r="J1847" s="47"/>
      <c r="K1847" s="47"/>
      <c r="L1847" s="47"/>
      <c r="M1847" s="47"/>
      <c r="N1847" s="47"/>
      <c r="O1847" s="47"/>
      <c r="P1847" s="45" t="str">
        <f aca="false">IF($A1847="","",IF(COUNTIF(Accounts!$C$2:$C$201,$A1847)+COUNTIF('Service Principals'!$C$2:$C$201,$A1847)+COUNTIF('Managed Identities'!$C$2:$C$201,$A1847)&gt;0,"Yes","NOT IN INVENTORY"))</f>
        <v/>
      </c>
    </row>
    <row r="1848" customFormat="false" ht="15" hidden="false" customHeight="false" outlineLevel="0" collapsed="false">
      <c r="A1848" s="46"/>
      <c r="B1848" s="47"/>
      <c r="C1848" s="47"/>
      <c r="D1848" s="46"/>
      <c r="E1848" s="47"/>
      <c r="F1848" s="47"/>
      <c r="G1848" s="47"/>
      <c r="H1848" s="46"/>
      <c r="I1848" s="47"/>
      <c r="J1848" s="47"/>
      <c r="K1848" s="47"/>
      <c r="L1848" s="47"/>
      <c r="M1848" s="47"/>
      <c r="N1848" s="47"/>
      <c r="O1848" s="47"/>
      <c r="P1848" s="45" t="str">
        <f aca="false">IF($A1848="","",IF(COUNTIF(Accounts!$C$2:$C$201,$A1848)+COUNTIF('Service Principals'!$C$2:$C$201,$A1848)+COUNTIF('Managed Identities'!$C$2:$C$201,$A1848)&gt;0,"Yes","NOT IN INVENTORY"))</f>
        <v/>
      </c>
    </row>
    <row r="1849" customFormat="false" ht="15" hidden="false" customHeight="false" outlineLevel="0" collapsed="false">
      <c r="A1849" s="46"/>
      <c r="B1849" s="47"/>
      <c r="C1849" s="47"/>
      <c r="D1849" s="46"/>
      <c r="E1849" s="47"/>
      <c r="F1849" s="47"/>
      <c r="G1849" s="47"/>
      <c r="H1849" s="46"/>
      <c r="I1849" s="47"/>
      <c r="J1849" s="47"/>
      <c r="K1849" s="47"/>
      <c r="L1849" s="47"/>
      <c r="M1849" s="47"/>
      <c r="N1849" s="47"/>
      <c r="O1849" s="47"/>
      <c r="P1849" s="45" t="str">
        <f aca="false">IF($A1849="","",IF(COUNTIF(Accounts!$C$2:$C$201,$A1849)+COUNTIF('Service Principals'!$C$2:$C$201,$A1849)+COUNTIF('Managed Identities'!$C$2:$C$201,$A1849)&gt;0,"Yes","NOT IN INVENTORY"))</f>
        <v/>
      </c>
    </row>
    <row r="1850" customFormat="false" ht="15" hidden="false" customHeight="false" outlineLevel="0" collapsed="false">
      <c r="A1850" s="46"/>
      <c r="B1850" s="47"/>
      <c r="C1850" s="47"/>
      <c r="D1850" s="46"/>
      <c r="E1850" s="47"/>
      <c r="F1850" s="47"/>
      <c r="G1850" s="47"/>
      <c r="H1850" s="46"/>
      <c r="I1850" s="47"/>
      <c r="J1850" s="47"/>
      <c r="K1850" s="47"/>
      <c r="L1850" s="47"/>
      <c r="M1850" s="47"/>
      <c r="N1850" s="47"/>
      <c r="O1850" s="47"/>
      <c r="P1850" s="45" t="str">
        <f aca="false">IF($A1850="","",IF(COUNTIF(Accounts!$C$2:$C$201,$A1850)+COUNTIF('Service Principals'!$C$2:$C$201,$A1850)+COUNTIF('Managed Identities'!$C$2:$C$201,$A1850)&gt;0,"Yes","NOT IN INVENTORY"))</f>
        <v/>
      </c>
    </row>
    <row r="1851" customFormat="false" ht="15" hidden="false" customHeight="false" outlineLevel="0" collapsed="false">
      <c r="A1851" s="46"/>
      <c r="B1851" s="47"/>
      <c r="C1851" s="47"/>
      <c r="D1851" s="46"/>
      <c r="E1851" s="47"/>
      <c r="F1851" s="47"/>
      <c r="G1851" s="47"/>
      <c r="H1851" s="46"/>
      <c r="I1851" s="47"/>
      <c r="J1851" s="47"/>
      <c r="K1851" s="47"/>
      <c r="L1851" s="47"/>
      <c r="M1851" s="47"/>
      <c r="N1851" s="47"/>
      <c r="O1851" s="47"/>
      <c r="P1851" s="45" t="str">
        <f aca="false">IF($A1851="","",IF(COUNTIF(Accounts!$C$2:$C$201,$A1851)+COUNTIF('Service Principals'!$C$2:$C$201,$A1851)+COUNTIF('Managed Identities'!$C$2:$C$201,$A1851)&gt;0,"Yes","NOT IN INVENTORY"))</f>
        <v/>
      </c>
    </row>
    <row r="1852" customFormat="false" ht="15" hidden="false" customHeight="false" outlineLevel="0" collapsed="false">
      <c r="A1852" s="46"/>
      <c r="B1852" s="47"/>
      <c r="C1852" s="47"/>
      <c r="D1852" s="46"/>
      <c r="E1852" s="47"/>
      <c r="F1852" s="47"/>
      <c r="G1852" s="47"/>
      <c r="H1852" s="46"/>
      <c r="I1852" s="47"/>
      <c r="J1852" s="47"/>
      <c r="K1852" s="47"/>
      <c r="L1852" s="47"/>
      <c r="M1852" s="47"/>
      <c r="N1852" s="47"/>
      <c r="O1852" s="47"/>
      <c r="P1852" s="45" t="str">
        <f aca="false">IF($A1852="","",IF(COUNTIF(Accounts!$C$2:$C$201,$A1852)+COUNTIF('Service Principals'!$C$2:$C$201,$A1852)+COUNTIF('Managed Identities'!$C$2:$C$201,$A1852)&gt;0,"Yes","NOT IN INVENTORY"))</f>
        <v/>
      </c>
    </row>
    <row r="1853" customFormat="false" ht="15" hidden="false" customHeight="false" outlineLevel="0" collapsed="false">
      <c r="A1853" s="46"/>
      <c r="B1853" s="47"/>
      <c r="C1853" s="47"/>
      <c r="D1853" s="46"/>
      <c r="E1853" s="47"/>
      <c r="F1853" s="47"/>
      <c r="G1853" s="47"/>
      <c r="H1853" s="46"/>
      <c r="I1853" s="47"/>
      <c r="J1853" s="47"/>
      <c r="K1853" s="47"/>
      <c r="L1853" s="47"/>
      <c r="M1853" s="47"/>
      <c r="N1853" s="47"/>
      <c r="O1853" s="47"/>
      <c r="P1853" s="45" t="str">
        <f aca="false">IF($A1853="","",IF(COUNTIF(Accounts!$C$2:$C$201,$A1853)+COUNTIF('Service Principals'!$C$2:$C$201,$A1853)+COUNTIF('Managed Identities'!$C$2:$C$201,$A1853)&gt;0,"Yes","NOT IN INVENTORY"))</f>
        <v/>
      </c>
    </row>
    <row r="1854" customFormat="false" ht="15" hidden="false" customHeight="false" outlineLevel="0" collapsed="false">
      <c r="A1854" s="46"/>
      <c r="B1854" s="47"/>
      <c r="C1854" s="47"/>
      <c r="D1854" s="46"/>
      <c r="E1854" s="47"/>
      <c r="F1854" s="47"/>
      <c r="G1854" s="47"/>
      <c r="H1854" s="46"/>
      <c r="I1854" s="47"/>
      <c r="J1854" s="47"/>
      <c r="K1854" s="47"/>
      <c r="L1854" s="47"/>
      <c r="M1854" s="47"/>
      <c r="N1854" s="47"/>
      <c r="O1854" s="47"/>
      <c r="P1854" s="45" t="str">
        <f aca="false">IF($A1854="","",IF(COUNTIF(Accounts!$C$2:$C$201,$A1854)+COUNTIF('Service Principals'!$C$2:$C$201,$A1854)+COUNTIF('Managed Identities'!$C$2:$C$201,$A1854)&gt;0,"Yes","NOT IN INVENTORY"))</f>
        <v/>
      </c>
    </row>
    <row r="1855" customFormat="false" ht="15" hidden="false" customHeight="false" outlineLevel="0" collapsed="false">
      <c r="A1855" s="46"/>
      <c r="B1855" s="47"/>
      <c r="C1855" s="47"/>
      <c r="D1855" s="46"/>
      <c r="E1855" s="47"/>
      <c r="F1855" s="47"/>
      <c r="G1855" s="47"/>
      <c r="H1855" s="46"/>
      <c r="I1855" s="47"/>
      <c r="J1855" s="47"/>
      <c r="K1855" s="47"/>
      <c r="L1855" s="47"/>
      <c r="M1855" s="47"/>
      <c r="N1855" s="47"/>
      <c r="O1855" s="47"/>
      <c r="P1855" s="45" t="str">
        <f aca="false">IF($A1855="","",IF(COUNTIF(Accounts!$C$2:$C$201,$A1855)+COUNTIF('Service Principals'!$C$2:$C$201,$A1855)+COUNTIF('Managed Identities'!$C$2:$C$201,$A1855)&gt;0,"Yes","NOT IN INVENTORY"))</f>
        <v/>
      </c>
    </row>
    <row r="1856" customFormat="false" ht="15" hidden="false" customHeight="false" outlineLevel="0" collapsed="false">
      <c r="A1856" s="46"/>
      <c r="B1856" s="47"/>
      <c r="C1856" s="47"/>
      <c r="D1856" s="46"/>
      <c r="E1856" s="47"/>
      <c r="F1856" s="47"/>
      <c r="G1856" s="47"/>
      <c r="H1856" s="46"/>
      <c r="I1856" s="47"/>
      <c r="J1856" s="47"/>
      <c r="K1856" s="47"/>
      <c r="L1856" s="47"/>
      <c r="M1856" s="47"/>
      <c r="N1856" s="47"/>
      <c r="O1856" s="47"/>
      <c r="P1856" s="45" t="str">
        <f aca="false">IF($A1856="","",IF(COUNTIF(Accounts!$C$2:$C$201,$A1856)+COUNTIF('Service Principals'!$C$2:$C$201,$A1856)+COUNTIF('Managed Identities'!$C$2:$C$201,$A1856)&gt;0,"Yes","NOT IN INVENTORY"))</f>
        <v/>
      </c>
    </row>
    <row r="1857" customFormat="false" ht="15" hidden="false" customHeight="false" outlineLevel="0" collapsed="false">
      <c r="A1857" s="46"/>
      <c r="B1857" s="47"/>
      <c r="C1857" s="47"/>
      <c r="D1857" s="46"/>
      <c r="E1857" s="47"/>
      <c r="F1857" s="47"/>
      <c r="G1857" s="47"/>
      <c r="H1857" s="46"/>
      <c r="I1857" s="47"/>
      <c r="J1857" s="47"/>
      <c r="K1857" s="47"/>
      <c r="L1857" s="47"/>
      <c r="M1857" s="47"/>
      <c r="N1857" s="47"/>
      <c r="O1857" s="47"/>
      <c r="P1857" s="45" t="str">
        <f aca="false">IF($A1857="","",IF(COUNTIF(Accounts!$C$2:$C$201,$A1857)+COUNTIF('Service Principals'!$C$2:$C$201,$A1857)+COUNTIF('Managed Identities'!$C$2:$C$201,$A1857)&gt;0,"Yes","NOT IN INVENTORY"))</f>
        <v/>
      </c>
    </row>
    <row r="1858" customFormat="false" ht="15" hidden="false" customHeight="false" outlineLevel="0" collapsed="false">
      <c r="A1858" s="46"/>
      <c r="B1858" s="47"/>
      <c r="C1858" s="47"/>
      <c r="D1858" s="46"/>
      <c r="E1858" s="47"/>
      <c r="F1858" s="47"/>
      <c r="G1858" s="47"/>
      <c r="H1858" s="46"/>
      <c r="I1858" s="47"/>
      <c r="J1858" s="47"/>
      <c r="K1858" s="47"/>
      <c r="L1858" s="47"/>
      <c r="M1858" s="47"/>
      <c r="N1858" s="47"/>
      <c r="O1858" s="47"/>
      <c r="P1858" s="45" t="str">
        <f aca="false">IF($A1858="","",IF(COUNTIF(Accounts!$C$2:$C$201,$A1858)+COUNTIF('Service Principals'!$C$2:$C$201,$A1858)+COUNTIF('Managed Identities'!$C$2:$C$201,$A1858)&gt;0,"Yes","NOT IN INVENTORY"))</f>
        <v/>
      </c>
    </row>
    <row r="1859" customFormat="false" ht="15" hidden="false" customHeight="false" outlineLevel="0" collapsed="false">
      <c r="A1859" s="46"/>
      <c r="B1859" s="47"/>
      <c r="C1859" s="47"/>
      <c r="D1859" s="46"/>
      <c r="E1859" s="47"/>
      <c r="F1859" s="47"/>
      <c r="G1859" s="47"/>
      <c r="H1859" s="46"/>
      <c r="I1859" s="47"/>
      <c r="J1859" s="47"/>
      <c r="K1859" s="47"/>
      <c r="L1859" s="47"/>
      <c r="M1859" s="47"/>
      <c r="N1859" s="47"/>
      <c r="O1859" s="47"/>
      <c r="P1859" s="45" t="str">
        <f aca="false">IF($A1859="","",IF(COUNTIF(Accounts!$C$2:$C$201,$A1859)+COUNTIF('Service Principals'!$C$2:$C$201,$A1859)+COUNTIF('Managed Identities'!$C$2:$C$201,$A1859)&gt;0,"Yes","NOT IN INVENTORY"))</f>
        <v/>
      </c>
    </row>
    <row r="1860" customFormat="false" ht="15" hidden="false" customHeight="false" outlineLevel="0" collapsed="false">
      <c r="A1860" s="46"/>
      <c r="B1860" s="47"/>
      <c r="C1860" s="47"/>
      <c r="D1860" s="46"/>
      <c r="E1860" s="47"/>
      <c r="F1860" s="47"/>
      <c r="G1860" s="47"/>
      <c r="H1860" s="46"/>
      <c r="I1860" s="47"/>
      <c r="J1860" s="47"/>
      <c r="K1860" s="47"/>
      <c r="L1860" s="47"/>
      <c r="M1860" s="47"/>
      <c r="N1860" s="47"/>
      <c r="O1860" s="47"/>
      <c r="P1860" s="45" t="str">
        <f aca="false">IF($A1860="","",IF(COUNTIF(Accounts!$C$2:$C$201,$A1860)+COUNTIF('Service Principals'!$C$2:$C$201,$A1860)+COUNTIF('Managed Identities'!$C$2:$C$201,$A1860)&gt;0,"Yes","NOT IN INVENTORY"))</f>
        <v/>
      </c>
    </row>
    <row r="1861" customFormat="false" ht="15" hidden="false" customHeight="false" outlineLevel="0" collapsed="false">
      <c r="A1861" s="46"/>
      <c r="B1861" s="47"/>
      <c r="C1861" s="47"/>
      <c r="D1861" s="46"/>
      <c r="E1861" s="47"/>
      <c r="F1861" s="47"/>
      <c r="G1861" s="47"/>
      <c r="H1861" s="46"/>
      <c r="I1861" s="47"/>
      <c r="J1861" s="47"/>
      <c r="K1861" s="47"/>
      <c r="L1861" s="47"/>
      <c r="M1861" s="47"/>
      <c r="N1861" s="47"/>
      <c r="O1861" s="47"/>
      <c r="P1861" s="45" t="str">
        <f aca="false">IF($A1861="","",IF(COUNTIF(Accounts!$C$2:$C$201,$A1861)+COUNTIF('Service Principals'!$C$2:$C$201,$A1861)+COUNTIF('Managed Identities'!$C$2:$C$201,$A1861)&gt;0,"Yes","NOT IN INVENTORY"))</f>
        <v/>
      </c>
    </row>
    <row r="1862" customFormat="false" ht="15" hidden="false" customHeight="false" outlineLevel="0" collapsed="false">
      <c r="A1862" s="46"/>
      <c r="B1862" s="47"/>
      <c r="C1862" s="47"/>
      <c r="D1862" s="46"/>
      <c r="E1862" s="47"/>
      <c r="F1862" s="47"/>
      <c r="G1862" s="47"/>
      <c r="H1862" s="46"/>
      <c r="I1862" s="47"/>
      <c r="J1862" s="47"/>
      <c r="K1862" s="47"/>
      <c r="L1862" s="47"/>
      <c r="M1862" s="47"/>
      <c r="N1862" s="47"/>
      <c r="O1862" s="47"/>
      <c r="P1862" s="45" t="str">
        <f aca="false">IF($A1862="","",IF(COUNTIF(Accounts!$C$2:$C$201,$A1862)+COUNTIF('Service Principals'!$C$2:$C$201,$A1862)+COUNTIF('Managed Identities'!$C$2:$C$201,$A1862)&gt;0,"Yes","NOT IN INVENTORY"))</f>
        <v/>
      </c>
    </row>
    <row r="1863" customFormat="false" ht="15" hidden="false" customHeight="false" outlineLevel="0" collapsed="false">
      <c r="A1863" s="46"/>
      <c r="B1863" s="47"/>
      <c r="C1863" s="47"/>
      <c r="D1863" s="46"/>
      <c r="E1863" s="47"/>
      <c r="F1863" s="47"/>
      <c r="G1863" s="47"/>
      <c r="H1863" s="46"/>
      <c r="I1863" s="47"/>
      <c r="J1863" s="47"/>
      <c r="K1863" s="47"/>
      <c r="L1863" s="47"/>
      <c r="M1863" s="47"/>
      <c r="N1863" s="47"/>
      <c r="O1863" s="47"/>
      <c r="P1863" s="45" t="str">
        <f aca="false">IF($A1863="","",IF(COUNTIF(Accounts!$C$2:$C$201,$A1863)+COUNTIF('Service Principals'!$C$2:$C$201,$A1863)+COUNTIF('Managed Identities'!$C$2:$C$201,$A1863)&gt;0,"Yes","NOT IN INVENTORY"))</f>
        <v/>
      </c>
    </row>
    <row r="1864" customFormat="false" ht="15" hidden="false" customHeight="false" outlineLevel="0" collapsed="false">
      <c r="A1864" s="46"/>
      <c r="B1864" s="47"/>
      <c r="C1864" s="47"/>
      <c r="D1864" s="46"/>
      <c r="E1864" s="47"/>
      <c r="F1864" s="47"/>
      <c r="G1864" s="47"/>
      <c r="H1864" s="46"/>
      <c r="I1864" s="47"/>
      <c r="J1864" s="47"/>
      <c r="K1864" s="47"/>
      <c r="L1864" s="47"/>
      <c r="M1864" s="47"/>
      <c r="N1864" s="47"/>
      <c r="O1864" s="47"/>
      <c r="P1864" s="45" t="str">
        <f aca="false">IF($A1864="","",IF(COUNTIF(Accounts!$C$2:$C$201,$A1864)+COUNTIF('Service Principals'!$C$2:$C$201,$A1864)+COUNTIF('Managed Identities'!$C$2:$C$201,$A1864)&gt;0,"Yes","NOT IN INVENTORY"))</f>
        <v/>
      </c>
    </row>
    <row r="1865" customFormat="false" ht="15" hidden="false" customHeight="false" outlineLevel="0" collapsed="false">
      <c r="A1865" s="46"/>
      <c r="B1865" s="47"/>
      <c r="C1865" s="47"/>
      <c r="D1865" s="46"/>
      <c r="E1865" s="47"/>
      <c r="F1865" s="47"/>
      <c r="G1865" s="47"/>
      <c r="H1865" s="46"/>
      <c r="I1865" s="47"/>
      <c r="J1865" s="47"/>
      <c r="K1865" s="47"/>
      <c r="L1865" s="47"/>
      <c r="M1865" s="47"/>
      <c r="N1865" s="47"/>
      <c r="O1865" s="47"/>
      <c r="P1865" s="45" t="str">
        <f aca="false">IF($A1865="","",IF(COUNTIF(Accounts!$C$2:$C$201,$A1865)+COUNTIF('Service Principals'!$C$2:$C$201,$A1865)+COUNTIF('Managed Identities'!$C$2:$C$201,$A1865)&gt;0,"Yes","NOT IN INVENTORY"))</f>
        <v/>
      </c>
    </row>
    <row r="1866" customFormat="false" ht="15" hidden="false" customHeight="false" outlineLevel="0" collapsed="false">
      <c r="A1866" s="46"/>
      <c r="B1866" s="47"/>
      <c r="C1866" s="47"/>
      <c r="D1866" s="46"/>
      <c r="E1866" s="47"/>
      <c r="F1866" s="47"/>
      <c r="G1866" s="47"/>
      <c r="H1866" s="46"/>
      <c r="I1866" s="47"/>
      <c r="J1866" s="47"/>
      <c r="K1866" s="47"/>
      <c r="L1866" s="47"/>
      <c r="M1866" s="47"/>
      <c r="N1866" s="47"/>
      <c r="O1866" s="47"/>
      <c r="P1866" s="45" t="str">
        <f aca="false">IF($A1866="","",IF(COUNTIF(Accounts!$C$2:$C$201,$A1866)+COUNTIF('Service Principals'!$C$2:$C$201,$A1866)+COUNTIF('Managed Identities'!$C$2:$C$201,$A1866)&gt;0,"Yes","NOT IN INVENTORY"))</f>
        <v/>
      </c>
    </row>
    <row r="1867" customFormat="false" ht="15" hidden="false" customHeight="false" outlineLevel="0" collapsed="false">
      <c r="A1867" s="46"/>
      <c r="B1867" s="47"/>
      <c r="C1867" s="47"/>
      <c r="D1867" s="46"/>
      <c r="E1867" s="47"/>
      <c r="F1867" s="47"/>
      <c r="G1867" s="47"/>
      <c r="H1867" s="46"/>
      <c r="I1867" s="47"/>
      <c r="J1867" s="47"/>
      <c r="K1867" s="47"/>
      <c r="L1867" s="47"/>
      <c r="M1867" s="47"/>
      <c r="N1867" s="47"/>
      <c r="O1867" s="47"/>
      <c r="P1867" s="45" t="str">
        <f aca="false">IF($A1867="","",IF(COUNTIF(Accounts!$C$2:$C$201,$A1867)+COUNTIF('Service Principals'!$C$2:$C$201,$A1867)+COUNTIF('Managed Identities'!$C$2:$C$201,$A1867)&gt;0,"Yes","NOT IN INVENTORY"))</f>
        <v/>
      </c>
    </row>
    <row r="1868" customFormat="false" ht="15" hidden="false" customHeight="false" outlineLevel="0" collapsed="false">
      <c r="A1868" s="46"/>
      <c r="B1868" s="47"/>
      <c r="C1868" s="47"/>
      <c r="D1868" s="46"/>
      <c r="E1868" s="47"/>
      <c r="F1868" s="47"/>
      <c r="G1868" s="47"/>
      <c r="H1868" s="46"/>
      <c r="I1868" s="47"/>
      <c r="J1868" s="47"/>
      <c r="K1868" s="47"/>
      <c r="L1868" s="47"/>
      <c r="M1868" s="47"/>
      <c r="N1868" s="47"/>
      <c r="O1868" s="47"/>
      <c r="P1868" s="45" t="str">
        <f aca="false">IF($A1868="","",IF(COUNTIF(Accounts!$C$2:$C$201,$A1868)+COUNTIF('Service Principals'!$C$2:$C$201,$A1868)+COUNTIF('Managed Identities'!$C$2:$C$201,$A1868)&gt;0,"Yes","NOT IN INVENTORY"))</f>
        <v/>
      </c>
    </row>
    <row r="1869" customFormat="false" ht="15" hidden="false" customHeight="false" outlineLevel="0" collapsed="false">
      <c r="A1869" s="46"/>
      <c r="B1869" s="47"/>
      <c r="C1869" s="47"/>
      <c r="D1869" s="46"/>
      <c r="E1869" s="47"/>
      <c r="F1869" s="47"/>
      <c r="G1869" s="47"/>
      <c r="H1869" s="46"/>
      <c r="I1869" s="47"/>
      <c r="J1869" s="47"/>
      <c r="K1869" s="47"/>
      <c r="L1869" s="47"/>
      <c r="M1869" s="47"/>
      <c r="N1869" s="47"/>
      <c r="O1869" s="47"/>
      <c r="P1869" s="45" t="str">
        <f aca="false">IF($A1869="","",IF(COUNTIF(Accounts!$C$2:$C$201,$A1869)+COUNTIF('Service Principals'!$C$2:$C$201,$A1869)+COUNTIF('Managed Identities'!$C$2:$C$201,$A1869)&gt;0,"Yes","NOT IN INVENTORY"))</f>
        <v/>
      </c>
    </row>
    <row r="1870" customFormat="false" ht="15" hidden="false" customHeight="false" outlineLevel="0" collapsed="false">
      <c r="A1870" s="46"/>
      <c r="B1870" s="47"/>
      <c r="C1870" s="47"/>
      <c r="D1870" s="46"/>
      <c r="E1870" s="47"/>
      <c r="F1870" s="47"/>
      <c r="G1870" s="47"/>
      <c r="H1870" s="46"/>
      <c r="I1870" s="47"/>
      <c r="J1870" s="47"/>
      <c r="K1870" s="47"/>
      <c r="L1870" s="47"/>
      <c r="M1870" s="47"/>
      <c r="N1870" s="47"/>
      <c r="O1870" s="47"/>
      <c r="P1870" s="45" t="str">
        <f aca="false">IF($A1870="","",IF(COUNTIF(Accounts!$C$2:$C$201,$A1870)+COUNTIF('Service Principals'!$C$2:$C$201,$A1870)+COUNTIF('Managed Identities'!$C$2:$C$201,$A1870)&gt;0,"Yes","NOT IN INVENTORY"))</f>
        <v/>
      </c>
    </row>
    <row r="1871" customFormat="false" ht="15" hidden="false" customHeight="false" outlineLevel="0" collapsed="false">
      <c r="A1871" s="46"/>
      <c r="B1871" s="47"/>
      <c r="C1871" s="47"/>
      <c r="D1871" s="46"/>
      <c r="E1871" s="47"/>
      <c r="F1871" s="47"/>
      <c r="G1871" s="47"/>
      <c r="H1871" s="46"/>
      <c r="I1871" s="47"/>
      <c r="J1871" s="47"/>
      <c r="K1871" s="47"/>
      <c r="L1871" s="47"/>
      <c r="M1871" s="47"/>
      <c r="N1871" s="47"/>
      <c r="O1871" s="47"/>
      <c r="P1871" s="45" t="str">
        <f aca="false">IF($A1871="","",IF(COUNTIF(Accounts!$C$2:$C$201,$A1871)+COUNTIF('Service Principals'!$C$2:$C$201,$A1871)+COUNTIF('Managed Identities'!$C$2:$C$201,$A1871)&gt;0,"Yes","NOT IN INVENTORY"))</f>
        <v/>
      </c>
    </row>
    <row r="1872" customFormat="false" ht="15" hidden="false" customHeight="false" outlineLevel="0" collapsed="false">
      <c r="A1872" s="46"/>
      <c r="B1872" s="47"/>
      <c r="C1872" s="47"/>
      <c r="D1872" s="46"/>
      <c r="E1872" s="47"/>
      <c r="F1872" s="47"/>
      <c r="G1872" s="47"/>
      <c r="H1872" s="46"/>
      <c r="I1872" s="47"/>
      <c r="J1872" s="47"/>
      <c r="K1872" s="47"/>
      <c r="L1872" s="47"/>
      <c r="M1872" s="47"/>
      <c r="N1872" s="47"/>
      <c r="O1872" s="47"/>
      <c r="P1872" s="45" t="str">
        <f aca="false">IF($A1872="","",IF(COUNTIF(Accounts!$C$2:$C$201,$A1872)+COUNTIF('Service Principals'!$C$2:$C$201,$A1872)+COUNTIF('Managed Identities'!$C$2:$C$201,$A1872)&gt;0,"Yes","NOT IN INVENTORY"))</f>
        <v/>
      </c>
    </row>
    <row r="1873" customFormat="false" ht="15" hidden="false" customHeight="false" outlineLevel="0" collapsed="false">
      <c r="A1873" s="46"/>
      <c r="B1873" s="47"/>
      <c r="C1873" s="47"/>
      <c r="D1873" s="46"/>
      <c r="E1873" s="47"/>
      <c r="F1873" s="47"/>
      <c r="G1873" s="47"/>
      <c r="H1873" s="46"/>
      <c r="I1873" s="47"/>
      <c r="J1873" s="47"/>
      <c r="K1873" s="47"/>
      <c r="L1873" s="47"/>
      <c r="M1873" s="47"/>
      <c r="N1873" s="47"/>
      <c r="O1873" s="47"/>
      <c r="P1873" s="45" t="str">
        <f aca="false">IF($A1873="","",IF(COUNTIF(Accounts!$C$2:$C$201,$A1873)+COUNTIF('Service Principals'!$C$2:$C$201,$A1873)+COUNTIF('Managed Identities'!$C$2:$C$201,$A1873)&gt;0,"Yes","NOT IN INVENTORY"))</f>
        <v/>
      </c>
    </row>
    <row r="1874" customFormat="false" ht="15" hidden="false" customHeight="false" outlineLevel="0" collapsed="false">
      <c r="A1874" s="46"/>
      <c r="B1874" s="47"/>
      <c r="C1874" s="47"/>
      <c r="D1874" s="46"/>
      <c r="E1874" s="47"/>
      <c r="F1874" s="47"/>
      <c r="G1874" s="47"/>
      <c r="H1874" s="46"/>
      <c r="I1874" s="47"/>
      <c r="J1874" s="47"/>
      <c r="K1874" s="47"/>
      <c r="L1874" s="47"/>
      <c r="M1874" s="47"/>
      <c r="N1874" s="47"/>
      <c r="O1874" s="47"/>
      <c r="P1874" s="45" t="str">
        <f aca="false">IF($A1874="","",IF(COUNTIF(Accounts!$C$2:$C$201,$A1874)+COUNTIF('Service Principals'!$C$2:$C$201,$A1874)+COUNTIF('Managed Identities'!$C$2:$C$201,$A1874)&gt;0,"Yes","NOT IN INVENTORY"))</f>
        <v/>
      </c>
    </row>
    <row r="1875" customFormat="false" ht="15" hidden="false" customHeight="false" outlineLevel="0" collapsed="false">
      <c r="A1875" s="46"/>
      <c r="B1875" s="47"/>
      <c r="C1875" s="47"/>
      <c r="D1875" s="46"/>
      <c r="E1875" s="47"/>
      <c r="F1875" s="47"/>
      <c r="G1875" s="47"/>
      <c r="H1875" s="46"/>
      <c r="I1875" s="47"/>
      <c r="J1875" s="47"/>
      <c r="K1875" s="47"/>
      <c r="L1875" s="47"/>
      <c r="M1875" s="47"/>
      <c r="N1875" s="47"/>
      <c r="O1875" s="47"/>
      <c r="P1875" s="45" t="str">
        <f aca="false">IF($A1875="","",IF(COUNTIF(Accounts!$C$2:$C$201,$A1875)+COUNTIF('Service Principals'!$C$2:$C$201,$A1875)+COUNTIF('Managed Identities'!$C$2:$C$201,$A1875)&gt;0,"Yes","NOT IN INVENTORY"))</f>
        <v/>
      </c>
    </row>
    <row r="1876" customFormat="false" ht="15" hidden="false" customHeight="false" outlineLevel="0" collapsed="false">
      <c r="A1876" s="46"/>
      <c r="B1876" s="47"/>
      <c r="C1876" s="47"/>
      <c r="D1876" s="46"/>
      <c r="E1876" s="47"/>
      <c r="F1876" s="47"/>
      <c r="G1876" s="47"/>
      <c r="H1876" s="46"/>
      <c r="I1876" s="47"/>
      <c r="J1876" s="47"/>
      <c r="K1876" s="47"/>
      <c r="L1876" s="47"/>
      <c r="M1876" s="47"/>
      <c r="N1876" s="47"/>
      <c r="O1876" s="47"/>
      <c r="P1876" s="45" t="str">
        <f aca="false">IF($A1876="","",IF(COUNTIF(Accounts!$C$2:$C$201,$A1876)+COUNTIF('Service Principals'!$C$2:$C$201,$A1876)+COUNTIF('Managed Identities'!$C$2:$C$201,$A1876)&gt;0,"Yes","NOT IN INVENTORY"))</f>
        <v/>
      </c>
    </row>
    <row r="1877" customFormat="false" ht="15" hidden="false" customHeight="false" outlineLevel="0" collapsed="false">
      <c r="A1877" s="46"/>
      <c r="B1877" s="47"/>
      <c r="C1877" s="47"/>
      <c r="D1877" s="46"/>
      <c r="E1877" s="47"/>
      <c r="F1877" s="47"/>
      <c r="G1877" s="47"/>
      <c r="H1877" s="46"/>
      <c r="I1877" s="47"/>
      <c r="J1877" s="47"/>
      <c r="K1877" s="47"/>
      <c r="L1877" s="47"/>
      <c r="M1877" s="47"/>
      <c r="N1877" s="47"/>
      <c r="O1877" s="47"/>
      <c r="P1877" s="45" t="str">
        <f aca="false">IF($A1877="","",IF(COUNTIF(Accounts!$C$2:$C$201,$A1877)+COUNTIF('Service Principals'!$C$2:$C$201,$A1877)+COUNTIF('Managed Identities'!$C$2:$C$201,$A1877)&gt;0,"Yes","NOT IN INVENTORY"))</f>
        <v/>
      </c>
    </row>
    <row r="1878" customFormat="false" ht="15" hidden="false" customHeight="false" outlineLevel="0" collapsed="false">
      <c r="A1878" s="46"/>
      <c r="B1878" s="47"/>
      <c r="C1878" s="47"/>
      <c r="D1878" s="46"/>
      <c r="E1878" s="47"/>
      <c r="F1878" s="47"/>
      <c r="G1878" s="47"/>
      <c r="H1878" s="46"/>
      <c r="I1878" s="47"/>
      <c r="J1878" s="47"/>
      <c r="K1878" s="47"/>
      <c r="L1878" s="47"/>
      <c r="M1878" s="47"/>
      <c r="N1878" s="47"/>
      <c r="O1878" s="47"/>
      <c r="P1878" s="45" t="str">
        <f aca="false">IF($A1878="","",IF(COUNTIF(Accounts!$C$2:$C$201,$A1878)+COUNTIF('Service Principals'!$C$2:$C$201,$A1878)+COUNTIF('Managed Identities'!$C$2:$C$201,$A1878)&gt;0,"Yes","NOT IN INVENTORY"))</f>
        <v/>
      </c>
    </row>
    <row r="1879" customFormat="false" ht="15" hidden="false" customHeight="false" outlineLevel="0" collapsed="false">
      <c r="A1879" s="46"/>
      <c r="B1879" s="47"/>
      <c r="C1879" s="47"/>
      <c r="D1879" s="46"/>
      <c r="E1879" s="47"/>
      <c r="F1879" s="47"/>
      <c r="G1879" s="47"/>
      <c r="H1879" s="46"/>
      <c r="I1879" s="47"/>
      <c r="J1879" s="47"/>
      <c r="K1879" s="47"/>
      <c r="L1879" s="47"/>
      <c r="M1879" s="47"/>
      <c r="N1879" s="47"/>
      <c r="O1879" s="47"/>
      <c r="P1879" s="45" t="str">
        <f aca="false">IF($A1879="","",IF(COUNTIF(Accounts!$C$2:$C$201,$A1879)+COUNTIF('Service Principals'!$C$2:$C$201,$A1879)+COUNTIF('Managed Identities'!$C$2:$C$201,$A1879)&gt;0,"Yes","NOT IN INVENTORY"))</f>
        <v/>
      </c>
    </row>
    <row r="1880" customFormat="false" ht="15" hidden="false" customHeight="false" outlineLevel="0" collapsed="false">
      <c r="A1880" s="46"/>
      <c r="B1880" s="47"/>
      <c r="C1880" s="47"/>
      <c r="D1880" s="46"/>
      <c r="E1880" s="47"/>
      <c r="F1880" s="47"/>
      <c r="G1880" s="47"/>
      <c r="H1880" s="46"/>
      <c r="I1880" s="47"/>
      <c r="J1880" s="47"/>
      <c r="K1880" s="47"/>
      <c r="L1880" s="47"/>
      <c r="M1880" s="47"/>
      <c r="N1880" s="47"/>
      <c r="O1880" s="47"/>
      <c r="P1880" s="45" t="str">
        <f aca="false">IF($A1880="","",IF(COUNTIF(Accounts!$C$2:$C$201,$A1880)+COUNTIF('Service Principals'!$C$2:$C$201,$A1880)+COUNTIF('Managed Identities'!$C$2:$C$201,$A1880)&gt;0,"Yes","NOT IN INVENTORY"))</f>
        <v/>
      </c>
    </row>
    <row r="1881" customFormat="false" ht="15" hidden="false" customHeight="false" outlineLevel="0" collapsed="false">
      <c r="A1881" s="46"/>
      <c r="B1881" s="47"/>
      <c r="C1881" s="47"/>
      <c r="D1881" s="46"/>
      <c r="E1881" s="47"/>
      <c r="F1881" s="47"/>
      <c r="G1881" s="47"/>
      <c r="H1881" s="46"/>
      <c r="I1881" s="47"/>
      <c r="J1881" s="47"/>
      <c r="K1881" s="47"/>
      <c r="L1881" s="47"/>
      <c r="M1881" s="47"/>
      <c r="N1881" s="47"/>
      <c r="O1881" s="47"/>
      <c r="P1881" s="45" t="str">
        <f aca="false">IF($A1881="","",IF(COUNTIF(Accounts!$C$2:$C$201,$A1881)+COUNTIF('Service Principals'!$C$2:$C$201,$A1881)+COUNTIF('Managed Identities'!$C$2:$C$201,$A1881)&gt;0,"Yes","NOT IN INVENTORY"))</f>
        <v/>
      </c>
    </row>
    <row r="1882" customFormat="false" ht="15" hidden="false" customHeight="false" outlineLevel="0" collapsed="false">
      <c r="A1882" s="46"/>
      <c r="B1882" s="47"/>
      <c r="C1882" s="47"/>
      <c r="D1882" s="46"/>
      <c r="E1882" s="47"/>
      <c r="F1882" s="47"/>
      <c r="G1882" s="47"/>
      <c r="H1882" s="46"/>
      <c r="I1882" s="47"/>
      <c r="J1882" s="47"/>
      <c r="K1882" s="47"/>
      <c r="L1882" s="47"/>
      <c r="M1882" s="47"/>
      <c r="N1882" s="47"/>
      <c r="O1882" s="47"/>
      <c r="P1882" s="45" t="str">
        <f aca="false">IF($A1882="","",IF(COUNTIF(Accounts!$C$2:$C$201,$A1882)+COUNTIF('Service Principals'!$C$2:$C$201,$A1882)+COUNTIF('Managed Identities'!$C$2:$C$201,$A1882)&gt;0,"Yes","NOT IN INVENTORY"))</f>
        <v/>
      </c>
    </row>
    <row r="1883" customFormat="false" ht="15" hidden="false" customHeight="false" outlineLevel="0" collapsed="false">
      <c r="A1883" s="46"/>
      <c r="B1883" s="47"/>
      <c r="C1883" s="47"/>
      <c r="D1883" s="46"/>
      <c r="E1883" s="47"/>
      <c r="F1883" s="47"/>
      <c r="G1883" s="47"/>
      <c r="H1883" s="46"/>
      <c r="I1883" s="47"/>
      <c r="J1883" s="47"/>
      <c r="K1883" s="47"/>
      <c r="L1883" s="47"/>
      <c r="M1883" s="47"/>
      <c r="N1883" s="47"/>
      <c r="O1883" s="47"/>
      <c r="P1883" s="45" t="str">
        <f aca="false">IF($A1883="","",IF(COUNTIF(Accounts!$C$2:$C$201,$A1883)+COUNTIF('Service Principals'!$C$2:$C$201,$A1883)+COUNTIF('Managed Identities'!$C$2:$C$201,$A1883)&gt;0,"Yes","NOT IN INVENTORY"))</f>
        <v/>
      </c>
    </row>
    <row r="1884" customFormat="false" ht="15" hidden="false" customHeight="false" outlineLevel="0" collapsed="false">
      <c r="A1884" s="46"/>
      <c r="B1884" s="47"/>
      <c r="C1884" s="47"/>
      <c r="D1884" s="46"/>
      <c r="E1884" s="47"/>
      <c r="F1884" s="47"/>
      <c r="G1884" s="47"/>
      <c r="H1884" s="46"/>
      <c r="I1884" s="47"/>
      <c r="J1884" s="47"/>
      <c r="K1884" s="47"/>
      <c r="L1884" s="47"/>
      <c r="M1884" s="47"/>
      <c r="N1884" s="47"/>
      <c r="O1884" s="47"/>
      <c r="P1884" s="45" t="str">
        <f aca="false">IF($A1884="","",IF(COUNTIF(Accounts!$C$2:$C$201,$A1884)+COUNTIF('Service Principals'!$C$2:$C$201,$A1884)+COUNTIF('Managed Identities'!$C$2:$C$201,$A1884)&gt;0,"Yes","NOT IN INVENTORY"))</f>
        <v/>
      </c>
    </row>
    <row r="1885" customFormat="false" ht="15" hidden="false" customHeight="false" outlineLevel="0" collapsed="false">
      <c r="A1885" s="46"/>
      <c r="B1885" s="47"/>
      <c r="C1885" s="47"/>
      <c r="D1885" s="46"/>
      <c r="E1885" s="47"/>
      <c r="F1885" s="47"/>
      <c r="G1885" s="47"/>
      <c r="H1885" s="46"/>
      <c r="I1885" s="47"/>
      <c r="J1885" s="47"/>
      <c r="K1885" s="47"/>
      <c r="L1885" s="47"/>
      <c r="M1885" s="47"/>
      <c r="N1885" s="47"/>
      <c r="O1885" s="47"/>
      <c r="P1885" s="45" t="str">
        <f aca="false">IF($A1885="","",IF(COUNTIF(Accounts!$C$2:$C$201,$A1885)+COUNTIF('Service Principals'!$C$2:$C$201,$A1885)+COUNTIF('Managed Identities'!$C$2:$C$201,$A1885)&gt;0,"Yes","NOT IN INVENTORY"))</f>
        <v/>
      </c>
    </row>
    <row r="1886" customFormat="false" ht="15" hidden="false" customHeight="false" outlineLevel="0" collapsed="false">
      <c r="A1886" s="46"/>
      <c r="B1886" s="47"/>
      <c r="C1886" s="47"/>
      <c r="D1886" s="46"/>
      <c r="E1886" s="47"/>
      <c r="F1886" s="47"/>
      <c r="G1886" s="47"/>
      <c r="H1886" s="46"/>
      <c r="I1886" s="47"/>
      <c r="J1886" s="47"/>
      <c r="K1886" s="47"/>
      <c r="L1886" s="47"/>
      <c r="M1886" s="47"/>
      <c r="N1886" s="47"/>
      <c r="O1886" s="47"/>
      <c r="P1886" s="45" t="str">
        <f aca="false">IF($A1886="","",IF(COUNTIF(Accounts!$C$2:$C$201,$A1886)+COUNTIF('Service Principals'!$C$2:$C$201,$A1886)+COUNTIF('Managed Identities'!$C$2:$C$201,$A1886)&gt;0,"Yes","NOT IN INVENTORY"))</f>
        <v/>
      </c>
    </row>
    <row r="1887" customFormat="false" ht="15" hidden="false" customHeight="false" outlineLevel="0" collapsed="false">
      <c r="A1887" s="46"/>
      <c r="B1887" s="47"/>
      <c r="C1887" s="47"/>
      <c r="D1887" s="46"/>
      <c r="E1887" s="47"/>
      <c r="F1887" s="47"/>
      <c r="G1887" s="47"/>
      <c r="H1887" s="46"/>
      <c r="I1887" s="47"/>
      <c r="J1887" s="47"/>
      <c r="K1887" s="47"/>
      <c r="L1887" s="47"/>
      <c r="M1887" s="47"/>
      <c r="N1887" s="47"/>
      <c r="O1887" s="47"/>
      <c r="P1887" s="45" t="str">
        <f aca="false">IF($A1887="","",IF(COUNTIF(Accounts!$C$2:$C$201,$A1887)+COUNTIF('Service Principals'!$C$2:$C$201,$A1887)+COUNTIF('Managed Identities'!$C$2:$C$201,$A1887)&gt;0,"Yes","NOT IN INVENTORY"))</f>
        <v/>
      </c>
    </row>
    <row r="1888" customFormat="false" ht="15" hidden="false" customHeight="false" outlineLevel="0" collapsed="false">
      <c r="A1888" s="46"/>
      <c r="B1888" s="47"/>
      <c r="C1888" s="47"/>
      <c r="D1888" s="46"/>
      <c r="E1888" s="47"/>
      <c r="F1888" s="47"/>
      <c r="G1888" s="47"/>
      <c r="H1888" s="46"/>
      <c r="I1888" s="47"/>
      <c r="J1888" s="47"/>
      <c r="K1888" s="47"/>
      <c r="L1888" s="47"/>
      <c r="M1888" s="47"/>
      <c r="N1888" s="47"/>
      <c r="O1888" s="47"/>
      <c r="P1888" s="45" t="str">
        <f aca="false">IF($A1888="","",IF(COUNTIF(Accounts!$C$2:$C$201,$A1888)+COUNTIF('Service Principals'!$C$2:$C$201,$A1888)+COUNTIF('Managed Identities'!$C$2:$C$201,$A1888)&gt;0,"Yes","NOT IN INVENTORY"))</f>
        <v/>
      </c>
    </row>
    <row r="1889" customFormat="false" ht="15" hidden="false" customHeight="false" outlineLevel="0" collapsed="false">
      <c r="A1889" s="46"/>
      <c r="B1889" s="47"/>
      <c r="C1889" s="47"/>
      <c r="D1889" s="46"/>
      <c r="E1889" s="47"/>
      <c r="F1889" s="47"/>
      <c r="G1889" s="47"/>
      <c r="H1889" s="46"/>
      <c r="I1889" s="47"/>
      <c r="J1889" s="47"/>
      <c r="K1889" s="47"/>
      <c r="L1889" s="47"/>
      <c r="M1889" s="47"/>
      <c r="N1889" s="47"/>
      <c r="O1889" s="47"/>
      <c r="P1889" s="45" t="str">
        <f aca="false">IF($A1889="","",IF(COUNTIF(Accounts!$C$2:$C$201,$A1889)+COUNTIF('Service Principals'!$C$2:$C$201,$A1889)+COUNTIF('Managed Identities'!$C$2:$C$201,$A1889)&gt;0,"Yes","NOT IN INVENTORY"))</f>
        <v/>
      </c>
    </row>
    <row r="1890" customFormat="false" ht="15" hidden="false" customHeight="false" outlineLevel="0" collapsed="false">
      <c r="A1890" s="46"/>
      <c r="B1890" s="47"/>
      <c r="C1890" s="47"/>
      <c r="D1890" s="46"/>
      <c r="E1890" s="47"/>
      <c r="F1890" s="47"/>
      <c r="G1890" s="47"/>
      <c r="H1890" s="46"/>
      <c r="I1890" s="47"/>
      <c r="J1890" s="47"/>
      <c r="K1890" s="47"/>
      <c r="L1890" s="47"/>
      <c r="M1890" s="47"/>
      <c r="N1890" s="47"/>
      <c r="O1890" s="47"/>
      <c r="P1890" s="45" t="str">
        <f aca="false">IF($A1890="","",IF(COUNTIF(Accounts!$C$2:$C$201,$A1890)+COUNTIF('Service Principals'!$C$2:$C$201,$A1890)+COUNTIF('Managed Identities'!$C$2:$C$201,$A1890)&gt;0,"Yes","NOT IN INVENTORY"))</f>
        <v/>
      </c>
    </row>
    <row r="1891" customFormat="false" ht="15" hidden="false" customHeight="false" outlineLevel="0" collapsed="false">
      <c r="A1891" s="46"/>
      <c r="B1891" s="47"/>
      <c r="C1891" s="47"/>
      <c r="D1891" s="46"/>
      <c r="E1891" s="47"/>
      <c r="F1891" s="47"/>
      <c r="G1891" s="47"/>
      <c r="H1891" s="46"/>
      <c r="I1891" s="47"/>
      <c r="J1891" s="47"/>
      <c r="K1891" s="47"/>
      <c r="L1891" s="47"/>
      <c r="M1891" s="47"/>
      <c r="N1891" s="47"/>
      <c r="O1891" s="47"/>
      <c r="P1891" s="45" t="str">
        <f aca="false">IF($A1891="","",IF(COUNTIF(Accounts!$C$2:$C$201,$A1891)+COUNTIF('Service Principals'!$C$2:$C$201,$A1891)+COUNTIF('Managed Identities'!$C$2:$C$201,$A1891)&gt;0,"Yes","NOT IN INVENTORY"))</f>
        <v/>
      </c>
    </row>
    <row r="1892" customFormat="false" ht="15" hidden="false" customHeight="false" outlineLevel="0" collapsed="false">
      <c r="A1892" s="46"/>
      <c r="B1892" s="47"/>
      <c r="C1892" s="47"/>
      <c r="D1892" s="46"/>
      <c r="E1892" s="47"/>
      <c r="F1892" s="47"/>
      <c r="G1892" s="47"/>
      <c r="H1892" s="46"/>
      <c r="I1892" s="47"/>
      <c r="J1892" s="47"/>
      <c r="K1892" s="47"/>
      <c r="L1892" s="47"/>
      <c r="M1892" s="47"/>
      <c r="N1892" s="47"/>
      <c r="O1892" s="47"/>
      <c r="P1892" s="45" t="str">
        <f aca="false">IF($A1892="","",IF(COUNTIF(Accounts!$C$2:$C$201,$A1892)+COUNTIF('Service Principals'!$C$2:$C$201,$A1892)+COUNTIF('Managed Identities'!$C$2:$C$201,$A1892)&gt;0,"Yes","NOT IN INVENTORY"))</f>
        <v/>
      </c>
    </row>
    <row r="1893" customFormat="false" ht="15" hidden="false" customHeight="false" outlineLevel="0" collapsed="false">
      <c r="A1893" s="46"/>
      <c r="B1893" s="47"/>
      <c r="C1893" s="47"/>
      <c r="D1893" s="46"/>
      <c r="E1893" s="47"/>
      <c r="F1893" s="47"/>
      <c r="G1893" s="47"/>
      <c r="H1893" s="46"/>
      <c r="I1893" s="47"/>
      <c r="J1893" s="47"/>
      <c r="K1893" s="47"/>
      <c r="L1893" s="47"/>
      <c r="M1893" s="47"/>
      <c r="N1893" s="47"/>
      <c r="O1893" s="47"/>
      <c r="P1893" s="45" t="str">
        <f aca="false">IF($A1893="","",IF(COUNTIF(Accounts!$C$2:$C$201,$A1893)+COUNTIF('Service Principals'!$C$2:$C$201,$A1893)+COUNTIF('Managed Identities'!$C$2:$C$201,$A1893)&gt;0,"Yes","NOT IN INVENTORY"))</f>
        <v/>
      </c>
    </row>
    <row r="1894" customFormat="false" ht="15" hidden="false" customHeight="false" outlineLevel="0" collapsed="false">
      <c r="A1894" s="46"/>
      <c r="B1894" s="47"/>
      <c r="C1894" s="47"/>
      <c r="D1894" s="46"/>
      <c r="E1894" s="47"/>
      <c r="F1894" s="47"/>
      <c r="G1894" s="47"/>
      <c r="H1894" s="46"/>
      <c r="I1894" s="47"/>
      <c r="J1894" s="47"/>
      <c r="K1894" s="47"/>
      <c r="L1894" s="47"/>
      <c r="M1894" s="47"/>
      <c r="N1894" s="47"/>
      <c r="O1894" s="47"/>
      <c r="P1894" s="45" t="str">
        <f aca="false">IF($A1894="","",IF(COUNTIF(Accounts!$C$2:$C$201,$A1894)+COUNTIF('Service Principals'!$C$2:$C$201,$A1894)+COUNTIF('Managed Identities'!$C$2:$C$201,$A1894)&gt;0,"Yes","NOT IN INVENTORY"))</f>
        <v/>
      </c>
    </row>
    <row r="1895" customFormat="false" ht="15" hidden="false" customHeight="false" outlineLevel="0" collapsed="false">
      <c r="A1895" s="46"/>
      <c r="B1895" s="47"/>
      <c r="C1895" s="47"/>
      <c r="D1895" s="46"/>
      <c r="E1895" s="47"/>
      <c r="F1895" s="47"/>
      <c r="G1895" s="47"/>
      <c r="H1895" s="46"/>
      <c r="I1895" s="47"/>
      <c r="J1895" s="47"/>
      <c r="K1895" s="47"/>
      <c r="L1895" s="47"/>
      <c r="M1895" s="47"/>
      <c r="N1895" s="47"/>
      <c r="O1895" s="47"/>
      <c r="P1895" s="45" t="str">
        <f aca="false">IF($A1895="","",IF(COUNTIF(Accounts!$C$2:$C$201,$A1895)+COUNTIF('Service Principals'!$C$2:$C$201,$A1895)+COUNTIF('Managed Identities'!$C$2:$C$201,$A1895)&gt;0,"Yes","NOT IN INVENTORY"))</f>
        <v/>
      </c>
    </row>
    <row r="1896" customFormat="false" ht="15" hidden="false" customHeight="false" outlineLevel="0" collapsed="false">
      <c r="A1896" s="46"/>
      <c r="B1896" s="47"/>
      <c r="C1896" s="47"/>
      <c r="D1896" s="46"/>
      <c r="E1896" s="47"/>
      <c r="F1896" s="47"/>
      <c r="G1896" s="47"/>
      <c r="H1896" s="46"/>
      <c r="I1896" s="47"/>
      <c r="J1896" s="47"/>
      <c r="K1896" s="47"/>
      <c r="L1896" s="47"/>
      <c r="M1896" s="47"/>
      <c r="N1896" s="47"/>
      <c r="O1896" s="47"/>
      <c r="P1896" s="45" t="str">
        <f aca="false">IF($A1896="","",IF(COUNTIF(Accounts!$C$2:$C$201,$A1896)+COUNTIF('Service Principals'!$C$2:$C$201,$A1896)+COUNTIF('Managed Identities'!$C$2:$C$201,$A1896)&gt;0,"Yes","NOT IN INVENTORY"))</f>
        <v/>
      </c>
    </row>
    <row r="1897" customFormat="false" ht="15" hidden="false" customHeight="false" outlineLevel="0" collapsed="false">
      <c r="A1897" s="46"/>
      <c r="B1897" s="47"/>
      <c r="C1897" s="47"/>
      <c r="D1897" s="46"/>
      <c r="E1897" s="47"/>
      <c r="F1897" s="47"/>
      <c r="G1897" s="47"/>
      <c r="H1897" s="46"/>
      <c r="I1897" s="47"/>
      <c r="J1897" s="47"/>
      <c r="K1897" s="47"/>
      <c r="L1897" s="47"/>
      <c r="M1897" s="47"/>
      <c r="N1897" s="47"/>
      <c r="O1897" s="47"/>
      <c r="P1897" s="45" t="str">
        <f aca="false">IF($A1897="","",IF(COUNTIF(Accounts!$C$2:$C$201,$A1897)+COUNTIF('Service Principals'!$C$2:$C$201,$A1897)+COUNTIF('Managed Identities'!$C$2:$C$201,$A1897)&gt;0,"Yes","NOT IN INVENTORY"))</f>
        <v/>
      </c>
    </row>
    <row r="1898" customFormat="false" ht="15" hidden="false" customHeight="false" outlineLevel="0" collapsed="false">
      <c r="A1898" s="46"/>
      <c r="B1898" s="47"/>
      <c r="C1898" s="47"/>
      <c r="D1898" s="46"/>
      <c r="E1898" s="47"/>
      <c r="F1898" s="47"/>
      <c r="G1898" s="47"/>
      <c r="H1898" s="46"/>
      <c r="I1898" s="47"/>
      <c r="J1898" s="47"/>
      <c r="K1898" s="47"/>
      <c r="L1898" s="47"/>
      <c r="M1898" s="47"/>
      <c r="N1898" s="47"/>
      <c r="O1898" s="47"/>
      <c r="P1898" s="45" t="str">
        <f aca="false">IF($A1898="","",IF(COUNTIF(Accounts!$C$2:$C$201,$A1898)+COUNTIF('Service Principals'!$C$2:$C$201,$A1898)+COUNTIF('Managed Identities'!$C$2:$C$201,$A1898)&gt;0,"Yes","NOT IN INVENTORY"))</f>
        <v/>
      </c>
    </row>
    <row r="1899" customFormat="false" ht="15" hidden="false" customHeight="false" outlineLevel="0" collapsed="false">
      <c r="A1899" s="46"/>
      <c r="B1899" s="47"/>
      <c r="C1899" s="47"/>
      <c r="D1899" s="46"/>
      <c r="E1899" s="47"/>
      <c r="F1899" s="47"/>
      <c r="G1899" s="47"/>
      <c r="H1899" s="46"/>
      <c r="I1899" s="47"/>
      <c r="J1899" s="47"/>
      <c r="K1899" s="47"/>
      <c r="L1899" s="47"/>
      <c r="M1899" s="47"/>
      <c r="N1899" s="47"/>
      <c r="O1899" s="47"/>
      <c r="P1899" s="45" t="str">
        <f aca="false">IF($A1899="","",IF(COUNTIF(Accounts!$C$2:$C$201,$A1899)+COUNTIF('Service Principals'!$C$2:$C$201,$A1899)+COUNTIF('Managed Identities'!$C$2:$C$201,$A1899)&gt;0,"Yes","NOT IN INVENTORY"))</f>
        <v/>
      </c>
    </row>
    <row r="1900" customFormat="false" ht="15" hidden="false" customHeight="false" outlineLevel="0" collapsed="false">
      <c r="A1900" s="46"/>
      <c r="B1900" s="47"/>
      <c r="C1900" s="47"/>
      <c r="D1900" s="46"/>
      <c r="E1900" s="47"/>
      <c r="F1900" s="47"/>
      <c r="G1900" s="47"/>
      <c r="H1900" s="46"/>
      <c r="I1900" s="47"/>
      <c r="J1900" s="47"/>
      <c r="K1900" s="47"/>
      <c r="L1900" s="47"/>
      <c r="M1900" s="47"/>
      <c r="N1900" s="47"/>
      <c r="O1900" s="47"/>
      <c r="P1900" s="45" t="str">
        <f aca="false">IF($A1900="","",IF(COUNTIF(Accounts!$C$2:$C$201,$A1900)+COUNTIF('Service Principals'!$C$2:$C$201,$A1900)+COUNTIF('Managed Identities'!$C$2:$C$201,$A1900)&gt;0,"Yes","NOT IN INVENTORY"))</f>
        <v/>
      </c>
    </row>
    <row r="1901" customFormat="false" ht="15" hidden="false" customHeight="false" outlineLevel="0" collapsed="false">
      <c r="A1901" s="46"/>
      <c r="B1901" s="47"/>
      <c r="C1901" s="47"/>
      <c r="D1901" s="46"/>
      <c r="E1901" s="47"/>
      <c r="F1901" s="47"/>
      <c r="G1901" s="47"/>
      <c r="H1901" s="46"/>
      <c r="I1901" s="47"/>
      <c r="J1901" s="47"/>
      <c r="K1901" s="47"/>
      <c r="L1901" s="47"/>
      <c r="M1901" s="47"/>
      <c r="N1901" s="47"/>
      <c r="O1901" s="47"/>
      <c r="P1901" s="45" t="str">
        <f aca="false">IF($A1901="","",IF(COUNTIF(Accounts!$C$2:$C$201,$A1901)+COUNTIF('Service Principals'!$C$2:$C$201,$A1901)+COUNTIF('Managed Identities'!$C$2:$C$201,$A1901)&gt;0,"Yes","NOT IN INVENTORY"))</f>
        <v/>
      </c>
    </row>
    <row r="1902" customFormat="false" ht="15" hidden="false" customHeight="false" outlineLevel="0" collapsed="false">
      <c r="A1902" s="46"/>
      <c r="B1902" s="47"/>
      <c r="C1902" s="47"/>
      <c r="D1902" s="46"/>
      <c r="E1902" s="47"/>
      <c r="F1902" s="47"/>
      <c r="G1902" s="47"/>
      <c r="H1902" s="46"/>
      <c r="I1902" s="47"/>
      <c r="J1902" s="47"/>
      <c r="K1902" s="47"/>
      <c r="L1902" s="47"/>
      <c r="M1902" s="47"/>
      <c r="N1902" s="47"/>
      <c r="O1902" s="47"/>
      <c r="P1902" s="45" t="str">
        <f aca="false">IF($A1902="","",IF(COUNTIF(Accounts!$C$2:$C$201,$A1902)+COUNTIF('Service Principals'!$C$2:$C$201,$A1902)+COUNTIF('Managed Identities'!$C$2:$C$201,$A1902)&gt;0,"Yes","NOT IN INVENTORY"))</f>
        <v/>
      </c>
    </row>
    <row r="1903" customFormat="false" ht="15" hidden="false" customHeight="false" outlineLevel="0" collapsed="false">
      <c r="A1903" s="46"/>
      <c r="B1903" s="47"/>
      <c r="C1903" s="47"/>
      <c r="D1903" s="46"/>
      <c r="E1903" s="47"/>
      <c r="F1903" s="47"/>
      <c r="G1903" s="47"/>
      <c r="H1903" s="46"/>
      <c r="I1903" s="47"/>
      <c r="J1903" s="47"/>
      <c r="K1903" s="47"/>
      <c r="L1903" s="47"/>
      <c r="M1903" s="47"/>
      <c r="N1903" s="47"/>
      <c r="O1903" s="47"/>
      <c r="P1903" s="45" t="str">
        <f aca="false">IF($A1903="","",IF(COUNTIF(Accounts!$C$2:$C$201,$A1903)+COUNTIF('Service Principals'!$C$2:$C$201,$A1903)+COUNTIF('Managed Identities'!$C$2:$C$201,$A1903)&gt;0,"Yes","NOT IN INVENTORY"))</f>
        <v/>
      </c>
    </row>
    <row r="1904" customFormat="false" ht="15" hidden="false" customHeight="false" outlineLevel="0" collapsed="false">
      <c r="A1904" s="46"/>
      <c r="B1904" s="47"/>
      <c r="C1904" s="47"/>
      <c r="D1904" s="46"/>
      <c r="E1904" s="47"/>
      <c r="F1904" s="47"/>
      <c r="G1904" s="47"/>
      <c r="H1904" s="46"/>
      <c r="I1904" s="47"/>
      <c r="J1904" s="47"/>
      <c r="K1904" s="47"/>
      <c r="L1904" s="47"/>
      <c r="M1904" s="47"/>
      <c r="N1904" s="47"/>
      <c r="O1904" s="47"/>
      <c r="P1904" s="45" t="str">
        <f aca="false">IF($A1904="","",IF(COUNTIF(Accounts!$C$2:$C$201,$A1904)+COUNTIF('Service Principals'!$C$2:$C$201,$A1904)+COUNTIF('Managed Identities'!$C$2:$C$201,$A1904)&gt;0,"Yes","NOT IN INVENTORY"))</f>
        <v/>
      </c>
    </row>
    <row r="1905" customFormat="false" ht="15" hidden="false" customHeight="false" outlineLevel="0" collapsed="false">
      <c r="A1905" s="46"/>
      <c r="B1905" s="47"/>
      <c r="C1905" s="47"/>
      <c r="D1905" s="46"/>
      <c r="E1905" s="47"/>
      <c r="F1905" s="47"/>
      <c r="G1905" s="47"/>
      <c r="H1905" s="46"/>
      <c r="I1905" s="47"/>
      <c r="J1905" s="47"/>
      <c r="K1905" s="47"/>
      <c r="L1905" s="47"/>
      <c r="M1905" s="47"/>
      <c r="N1905" s="47"/>
      <c r="O1905" s="47"/>
      <c r="P1905" s="45" t="str">
        <f aca="false">IF($A1905="","",IF(COUNTIF(Accounts!$C$2:$C$201,$A1905)+COUNTIF('Service Principals'!$C$2:$C$201,$A1905)+COUNTIF('Managed Identities'!$C$2:$C$201,$A1905)&gt;0,"Yes","NOT IN INVENTORY"))</f>
        <v/>
      </c>
    </row>
    <row r="1906" customFormat="false" ht="15" hidden="false" customHeight="false" outlineLevel="0" collapsed="false">
      <c r="A1906" s="46"/>
      <c r="B1906" s="47"/>
      <c r="C1906" s="47"/>
      <c r="D1906" s="46"/>
      <c r="E1906" s="47"/>
      <c r="F1906" s="47"/>
      <c r="G1906" s="47"/>
      <c r="H1906" s="46"/>
      <c r="I1906" s="47"/>
      <c r="J1906" s="47"/>
      <c r="K1906" s="47"/>
      <c r="L1906" s="47"/>
      <c r="M1906" s="47"/>
      <c r="N1906" s="47"/>
      <c r="O1906" s="47"/>
      <c r="P1906" s="45" t="str">
        <f aca="false">IF($A1906="","",IF(COUNTIF(Accounts!$C$2:$C$201,$A1906)+COUNTIF('Service Principals'!$C$2:$C$201,$A1906)+COUNTIF('Managed Identities'!$C$2:$C$201,$A1906)&gt;0,"Yes","NOT IN INVENTORY"))</f>
        <v/>
      </c>
    </row>
    <row r="1907" customFormat="false" ht="15" hidden="false" customHeight="false" outlineLevel="0" collapsed="false">
      <c r="A1907" s="46"/>
      <c r="B1907" s="47"/>
      <c r="C1907" s="47"/>
      <c r="D1907" s="46"/>
      <c r="E1907" s="47"/>
      <c r="F1907" s="47"/>
      <c r="G1907" s="47"/>
      <c r="H1907" s="46"/>
      <c r="I1907" s="47"/>
      <c r="J1907" s="47"/>
      <c r="K1907" s="47"/>
      <c r="L1907" s="47"/>
      <c r="M1907" s="47"/>
      <c r="N1907" s="47"/>
      <c r="O1907" s="47"/>
      <c r="P1907" s="45" t="str">
        <f aca="false">IF($A1907="","",IF(COUNTIF(Accounts!$C$2:$C$201,$A1907)+COUNTIF('Service Principals'!$C$2:$C$201,$A1907)+COUNTIF('Managed Identities'!$C$2:$C$201,$A1907)&gt;0,"Yes","NOT IN INVENTORY"))</f>
        <v/>
      </c>
    </row>
    <row r="1908" customFormat="false" ht="15" hidden="false" customHeight="false" outlineLevel="0" collapsed="false">
      <c r="A1908" s="46"/>
      <c r="B1908" s="47"/>
      <c r="C1908" s="47"/>
      <c r="D1908" s="46"/>
      <c r="E1908" s="47"/>
      <c r="F1908" s="47"/>
      <c r="G1908" s="47"/>
      <c r="H1908" s="46"/>
      <c r="I1908" s="47"/>
      <c r="J1908" s="47"/>
      <c r="K1908" s="47"/>
      <c r="L1908" s="47"/>
      <c r="M1908" s="47"/>
      <c r="N1908" s="47"/>
      <c r="O1908" s="47"/>
      <c r="P1908" s="45" t="str">
        <f aca="false">IF($A1908="","",IF(COUNTIF(Accounts!$C$2:$C$201,$A1908)+COUNTIF('Service Principals'!$C$2:$C$201,$A1908)+COUNTIF('Managed Identities'!$C$2:$C$201,$A1908)&gt;0,"Yes","NOT IN INVENTORY"))</f>
        <v/>
      </c>
    </row>
    <row r="1909" customFormat="false" ht="15" hidden="false" customHeight="false" outlineLevel="0" collapsed="false">
      <c r="A1909" s="46"/>
      <c r="B1909" s="47"/>
      <c r="C1909" s="47"/>
      <c r="D1909" s="46"/>
      <c r="E1909" s="47"/>
      <c r="F1909" s="47"/>
      <c r="G1909" s="47"/>
      <c r="H1909" s="46"/>
      <c r="I1909" s="47"/>
      <c r="J1909" s="47"/>
      <c r="K1909" s="47"/>
      <c r="L1909" s="47"/>
      <c r="M1909" s="47"/>
      <c r="N1909" s="47"/>
      <c r="O1909" s="47"/>
      <c r="P1909" s="45" t="str">
        <f aca="false">IF($A1909="","",IF(COUNTIF(Accounts!$C$2:$C$201,$A1909)+COUNTIF('Service Principals'!$C$2:$C$201,$A1909)+COUNTIF('Managed Identities'!$C$2:$C$201,$A1909)&gt;0,"Yes","NOT IN INVENTORY"))</f>
        <v/>
      </c>
    </row>
    <row r="1910" customFormat="false" ht="15" hidden="false" customHeight="false" outlineLevel="0" collapsed="false">
      <c r="A1910" s="46"/>
      <c r="B1910" s="47"/>
      <c r="C1910" s="47"/>
      <c r="D1910" s="46"/>
      <c r="E1910" s="47"/>
      <c r="F1910" s="47"/>
      <c r="G1910" s="47"/>
      <c r="H1910" s="46"/>
      <c r="I1910" s="47"/>
      <c r="J1910" s="47"/>
      <c r="K1910" s="47"/>
      <c r="L1910" s="47"/>
      <c r="M1910" s="47"/>
      <c r="N1910" s="47"/>
      <c r="O1910" s="47"/>
      <c r="P1910" s="45" t="str">
        <f aca="false">IF($A1910="","",IF(COUNTIF(Accounts!$C$2:$C$201,$A1910)+COUNTIF('Service Principals'!$C$2:$C$201,$A1910)+COUNTIF('Managed Identities'!$C$2:$C$201,$A1910)&gt;0,"Yes","NOT IN INVENTORY"))</f>
        <v/>
      </c>
    </row>
    <row r="1911" customFormat="false" ht="15" hidden="false" customHeight="false" outlineLevel="0" collapsed="false">
      <c r="A1911" s="46"/>
      <c r="B1911" s="47"/>
      <c r="C1911" s="47"/>
      <c r="D1911" s="46"/>
      <c r="E1911" s="47"/>
      <c r="F1911" s="47"/>
      <c r="G1911" s="47"/>
      <c r="H1911" s="46"/>
      <c r="I1911" s="47"/>
      <c r="J1911" s="47"/>
      <c r="K1911" s="47"/>
      <c r="L1911" s="47"/>
      <c r="M1911" s="47"/>
      <c r="N1911" s="47"/>
      <c r="O1911" s="47"/>
      <c r="P1911" s="45" t="str">
        <f aca="false">IF($A1911="","",IF(COUNTIF(Accounts!$C$2:$C$201,$A1911)+COUNTIF('Service Principals'!$C$2:$C$201,$A1911)+COUNTIF('Managed Identities'!$C$2:$C$201,$A1911)&gt;0,"Yes","NOT IN INVENTORY"))</f>
        <v/>
      </c>
    </row>
    <row r="1912" customFormat="false" ht="15" hidden="false" customHeight="false" outlineLevel="0" collapsed="false">
      <c r="A1912" s="46"/>
      <c r="B1912" s="47"/>
      <c r="C1912" s="47"/>
      <c r="D1912" s="46"/>
      <c r="E1912" s="47"/>
      <c r="F1912" s="47"/>
      <c r="G1912" s="47"/>
      <c r="H1912" s="46"/>
      <c r="I1912" s="47"/>
      <c r="J1912" s="47"/>
      <c r="K1912" s="47"/>
      <c r="L1912" s="47"/>
      <c r="M1912" s="47"/>
      <c r="N1912" s="47"/>
      <c r="O1912" s="47"/>
      <c r="P1912" s="45" t="str">
        <f aca="false">IF($A1912="","",IF(COUNTIF(Accounts!$C$2:$C$201,$A1912)+COUNTIF('Service Principals'!$C$2:$C$201,$A1912)+COUNTIF('Managed Identities'!$C$2:$C$201,$A1912)&gt;0,"Yes","NOT IN INVENTORY"))</f>
        <v/>
      </c>
    </row>
    <row r="1913" customFormat="false" ht="15" hidden="false" customHeight="false" outlineLevel="0" collapsed="false">
      <c r="A1913" s="46"/>
      <c r="B1913" s="47"/>
      <c r="C1913" s="47"/>
      <c r="D1913" s="46"/>
      <c r="E1913" s="47"/>
      <c r="F1913" s="47"/>
      <c r="G1913" s="47"/>
      <c r="H1913" s="46"/>
      <c r="I1913" s="47"/>
      <c r="J1913" s="47"/>
      <c r="K1913" s="47"/>
      <c r="L1913" s="47"/>
      <c r="M1913" s="47"/>
      <c r="N1913" s="47"/>
      <c r="O1913" s="47"/>
      <c r="P1913" s="45" t="str">
        <f aca="false">IF($A1913="","",IF(COUNTIF(Accounts!$C$2:$C$201,$A1913)+COUNTIF('Service Principals'!$C$2:$C$201,$A1913)+COUNTIF('Managed Identities'!$C$2:$C$201,$A1913)&gt;0,"Yes","NOT IN INVENTORY"))</f>
        <v/>
      </c>
    </row>
    <row r="1914" customFormat="false" ht="15" hidden="false" customHeight="false" outlineLevel="0" collapsed="false">
      <c r="A1914" s="46"/>
      <c r="B1914" s="47"/>
      <c r="C1914" s="47"/>
      <c r="D1914" s="46"/>
      <c r="E1914" s="47"/>
      <c r="F1914" s="47"/>
      <c r="G1914" s="47"/>
      <c r="H1914" s="46"/>
      <c r="I1914" s="47"/>
      <c r="J1914" s="47"/>
      <c r="K1914" s="47"/>
      <c r="L1914" s="47"/>
      <c r="M1914" s="47"/>
      <c r="N1914" s="47"/>
      <c r="O1914" s="47"/>
      <c r="P1914" s="45" t="str">
        <f aca="false">IF($A1914="","",IF(COUNTIF(Accounts!$C$2:$C$201,$A1914)+COUNTIF('Service Principals'!$C$2:$C$201,$A1914)+COUNTIF('Managed Identities'!$C$2:$C$201,$A1914)&gt;0,"Yes","NOT IN INVENTORY"))</f>
        <v/>
      </c>
    </row>
    <row r="1915" customFormat="false" ht="15" hidden="false" customHeight="false" outlineLevel="0" collapsed="false">
      <c r="A1915" s="46"/>
      <c r="B1915" s="47"/>
      <c r="C1915" s="47"/>
      <c r="D1915" s="46"/>
      <c r="E1915" s="47"/>
      <c r="F1915" s="47"/>
      <c r="G1915" s="47"/>
      <c r="H1915" s="46"/>
      <c r="I1915" s="47"/>
      <c r="J1915" s="47"/>
      <c r="K1915" s="47"/>
      <c r="L1915" s="47"/>
      <c r="M1915" s="47"/>
      <c r="N1915" s="47"/>
      <c r="O1915" s="47"/>
      <c r="P1915" s="45" t="str">
        <f aca="false">IF($A1915="","",IF(COUNTIF(Accounts!$C$2:$C$201,$A1915)+COUNTIF('Service Principals'!$C$2:$C$201,$A1915)+COUNTIF('Managed Identities'!$C$2:$C$201,$A1915)&gt;0,"Yes","NOT IN INVENTORY"))</f>
        <v/>
      </c>
    </row>
    <row r="1916" customFormat="false" ht="15" hidden="false" customHeight="false" outlineLevel="0" collapsed="false">
      <c r="A1916" s="46"/>
      <c r="B1916" s="47"/>
      <c r="C1916" s="47"/>
      <c r="D1916" s="46"/>
      <c r="E1916" s="47"/>
      <c r="F1916" s="47"/>
      <c r="G1916" s="47"/>
      <c r="H1916" s="46"/>
      <c r="I1916" s="47"/>
      <c r="J1916" s="47"/>
      <c r="K1916" s="47"/>
      <c r="L1916" s="47"/>
      <c r="M1916" s="47"/>
      <c r="N1916" s="47"/>
      <c r="O1916" s="47"/>
      <c r="P1916" s="45" t="str">
        <f aca="false">IF($A1916="","",IF(COUNTIF(Accounts!$C$2:$C$201,$A1916)+COUNTIF('Service Principals'!$C$2:$C$201,$A1916)+COUNTIF('Managed Identities'!$C$2:$C$201,$A1916)&gt;0,"Yes","NOT IN INVENTORY"))</f>
        <v/>
      </c>
    </row>
    <row r="1917" customFormat="false" ht="15" hidden="false" customHeight="false" outlineLevel="0" collapsed="false">
      <c r="A1917" s="46"/>
      <c r="B1917" s="47"/>
      <c r="C1917" s="47"/>
      <c r="D1917" s="46"/>
      <c r="E1917" s="47"/>
      <c r="F1917" s="47"/>
      <c r="G1917" s="47"/>
      <c r="H1917" s="46"/>
      <c r="I1917" s="47"/>
      <c r="J1917" s="47"/>
      <c r="K1917" s="47"/>
      <c r="L1917" s="47"/>
      <c r="M1917" s="47"/>
      <c r="N1917" s="47"/>
      <c r="O1917" s="47"/>
      <c r="P1917" s="45" t="str">
        <f aca="false">IF($A1917="","",IF(COUNTIF(Accounts!$C$2:$C$201,$A1917)+COUNTIF('Service Principals'!$C$2:$C$201,$A1917)+COUNTIF('Managed Identities'!$C$2:$C$201,$A1917)&gt;0,"Yes","NOT IN INVENTORY"))</f>
        <v/>
      </c>
    </row>
    <row r="1918" customFormat="false" ht="15" hidden="false" customHeight="false" outlineLevel="0" collapsed="false">
      <c r="A1918" s="46"/>
      <c r="B1918" s="47"/>
      <c r="C1918" s="47"/>
      <c r="D1918" s="46"/>
      <c r="E1918" s="47"/>
      <c r="F1918" s="47"/>
      <c r="G1918" s="47"/>
      <c r="H1918" s="46"/>
      <c r="I1918" s="47"/>
      <c r="J1918" s="47"/>
      <c r="K1918" s="47"/>
      <c r="L1918" s="47"/>
      <c r="M1918" s="47"/>
      <c r="N1918" s="47"/>
      <c r="O1918" s="47"/>
      <c r="P1918" s="45" t="str">
        <f aca="false">IF($A1918="","",IF(COUNTIF(Accounts!$C$2:$C$201,$A1918)+COUNTIF('Service Principals'!$C$2:$C$201,$A1918)+COUNTIF('Managed Identities'!$C$2:$C$201,$A1918)&gt;0,"Yes","NOT IN INVENTORY"))</f>
        <v/>
      </c>
    </row>
    <row r="1919" customFormat="false" ht="15" hidden="false" customHeight="false" outlineLevel="0" collapsed="false">
      <c r="A1919" s="46"/>
      <c r="B1919" s="47"/>
      <c r="C1919" s="47"/>
      <c r="D1919" s="46"/>
      <c r="E1919" s="47"/>
      <c r="F1919" s="47"/>
      <c r="G1919" s="47"/>
      <c r="H1919" s="46"/>
      <c r="I1919" s="47"/>
      <c r="J1919" s="47"/>
      <c r="K1919" s="47"/>
      <c r="L1919" s="47"/>
      <c r="M1919" s="47"/>
      <c r="N1919" s="47"/>
      <c r="O1919" s="47"/>
      <c r="P1919" s="45" t="str">
        <f aca="false">IF($A1919="","",IF(COUNTIF(Accounts!$C$2:$C$201,$A1919)+COUNTIF('Service Principals'!$C$2:$C$201,$A1919)+COUNTIF('Managed Identities'!$C$2:$C$201,$A1919)&gt;0,"Yes","NOT IN INVENTORY"))</f>
        <v/>
      </c>
    </row>
    <row r="1920" customFormat="false" ht="15" hidden="false" customHeight="false" outlineLevel="0" collapsed="false">
      <c r="A1920" s="46"/>
      <c r="B1920" s="47"/>
      <c r="C1920" s="47"/>
      <c r="D1920" s="46"/>
      <c r="E1920" s="47"/>
      <c r="F1920" s="47"/>
      <c r="G1920" s="47"/>
      <c r="H1920" s="46"/>
      <c r="I1920" s="47"/>
      <c r="J1920" s="47"/>
      <c r="K1920" s="47"/>
      <c r="L1920" s="47"/>
      <c r="M1920" s="47"/>
      <c r="N1920" s="47"/>
      <c r="O1920" s="47"/>
      <c r="P1920" s="45" t="str">
        <f aca="false">IF($A1920="","",IF(COUNTIF(Accounts!$C$2:$C$201,$A1920)+COUNTIF('Service Principals'!$C$2:$C$201,$A1920)+COUNTIF('Managed Identities'!$C$2:$C$201,$A1920)&gt;0,"Yes","NOT IN INVENTORY"))</f>
        <v/>
      </c>
    </row>
    <row r="1921" customFormat="false" ht="15" hidden="false" customHeight="false" outlineLevel="0" collapsed="false">
      <c r="A1921" s="46"/>
      <c r="B1921" s="47"/>
      <c r="C1921" s="47"/>
      <c r="D1921" s="46"/>
      <c r="E1921" s="47"/>
      <c r="F1921" s="47"/>
      <c r="G1921" s="47"/>
      <c r="H1921" s="46"/>
      <c r="I1921" s="47"/>
      <c r="J1921" s="47"/>
      <c r="K1921" s="47"/>
      <c r="L1921" s="47"/>
      <c r="M1921" s="47"/>
      <c r="N1921" s="47"/>
      <c r="O1921" s="47"/>
      <c r="P1921" s="45" t="str">
        <f aca="false">IF($A1921="","",IF(COUNTIF(Accounts!$C$2:$C$201,$A1921)+COUNTIF('Service Principals'!$C$2:$C$201,$A1921)+COUNTIF('Managed Identities'!$C$2:$C$201,$A1921)&gt;0,"Yes","NOT IN INVENTORY"))</f>
        <v/>
      </c>
    </row>
    <row r="1922" customFormat="false" ht="15" hidden="false" customHeight="false" outlineLevel="0" collapsed="false">
      <c r="A1922" s="46"/>
      <c r="B1922" s="47"/>
      <c r="C1922" s="47"/>
      <c r="D1922" s="46"/>
      <c r="E1922" s="47"/>
      <c r="F1922" s="47"/>
      <c r="G1922" s="47"/>
      <c r="H1922" s="46"/>
      <c r="I1922" s="47"/>
      <c r="J1922" s="47"/>
      <c r="K1922" s="47"/>
      <c r="L1922" s="47"/>
      <c r="M1922" s="47"/>
      <c r="N1922" s="47"/>
      <c r="O1922" s="47"/>
      <c r="P1922" s="45" t="str">
        <f aca="false">IF($A1922="","",IF(COUNTIF(Accounts!$C$2:$C$201,$A1922)+COUNTIF('Service Principals'!$C$2:$C$201,$A1922)+COUNTIF('Managed Identities'!$C$2:$C$201,$A1922)&gt;0,"Yes","NOT IN INVENTORY"))</f>
        <v/>
      </c>
    </row>
    <row r="1923" customFormat="false" ht="15" hidden="false" customHeight="false" outlineLevel="0" collapsed="false">
      <c r="A1923" s="46"/>
      <c r="B1923" s="47"/>
      <c r="C1923" s="47"/>
      <c r="D1923" s="46"/>
      <c r="E1923" s="47"/>
      <c r="F1923" s="47"/>
      <c r="G1923" s="47"/>
      <c r="H1923" s="46"/>
      <c r="I1923" s="47"/>
      <c r="J1923" s="47"/>
      <c r="K1923" s="47"/>
      <c r="L1923" s="47"/>
      <c r="M1923" s="47"/>
      <c r="N1923" s="47"/>
      <c r="O1923" s="47"/>
      <c r="P1923" s="45" t="str">
        <f aca="false">IF($A1923="","",IF(COUNTIF(Accounts!$C$2:$C$201,$A1923)+COUNTIF('Service Principals'!$C$2:$C$201,$A1923)+COUNTIF('Managed Identities'!$C$2:$C$201,$A1923)&gt;0,"Yes","NOT IN INVENTORY"))</f>
        <v/>
      </c>
    </row>
    <row r="1924" customFormat="false" ht="15" hidden="false" customHeight="false" outlineLevel="0" collapsed="false">
      <c r="A1924" s="46"/>
      <c r="B1924" s="47"/>
      <c r="C1924" s="47"/>
      <c r="D1924" s="46"/>
      <c r="E1924" s="47"/>
      <c r="F1924" s="47"/>
      <c r="G1924" s="47"/>
      <c r="H1924" s="46"/>
      <c r="I1924" s="47"/>
      <c r="J1924" s="47"/>
      <c r="K1924" s="47"/>
      <c r="L1924" s="47"/>
      <c r="M1924" s="47"/>
      <c r="N1924" s="47"/>
      <c r="O1924" s="47"/>
      <c r="P1924" s="45" t="str">
        <f aca="false">IF($A1924="","",IF(COUNTIF(Accounts!$C$2:$C$201,$A1924)+COUNTIF('Service Principals'!$C$2:$C$201,$A1924)+COUNTIF('Managed Identities'!$C$2:$C$201,$A1924)&gt;0,"Yes","NOT IN INVENTORY"))</f>
        <v/>
      </c>
    </row>
    <row r="1925" customFormat="false" ht="15" hidden="false" customHeight="false" outlineLevel="0" collapsed="false">
      <c r="A1925" s="46"/>
      <c r="B1925" s="47"/>
      <c r="C1925" s="47"/>
      <c r="D1925" s="46"/>
      <c r="E1925" s="47"/>
      <c r="F1925" s="47"/>
      <c r="G1925" s="47"/>
      <c r="H1925" s="46"/>
      <c r="I1925" s="47"/>
      <c r="J1925" s="47"/>
      <c r="K1925" s="47"/>
      <c r="L1925" s="47"/>
      <c r="M1925" s="47"/>
      <c r="N1925" s="47"/>
      <c r="O1925" s="47"/>
      <c r="P1925" s="45" t="str">
        <f aca="false">IF($A1925="","",IF(COUNTIF(Accounts!$C$2:$C$201,$A1925)+COUNTIF('Service Principals'!$C$2:$C$201,$A1925)+COUNTIF('Managed Identities'!$C$2:$C$201,$A1925)&gt;0,"Yes","NOT IN INVENTORY"))</f>
        <v/>
      </c>
    </row>
    <row r="1926" customFormat="false" ht="15" hidden="false" customHeight="false" outlineLevel="0" collapsed="false">
      <c r="A1926" s="46"/>
      <c r="B1926" s="47"/>
      <c r="C1926" s="47"/>
      <c r="D1926" s="46"/>
      <c r="E1926" s="47"/>
      <c r="F1926" s="47"/>
      <c r="G1926" s="47"/>
      <c r="H1926" s="46"/>
      <c r="I1926" s="47"/>
      <c r="J1926" s="47"/>
      <c r="K1926" s="47"/>
      <c r="L1926" s="47"/>
      <c r="M1926" s="47"/>
      <c r="N1926" s="47"/>
      <c r="O1926" s="47"/>
      <c r="P1926" s="45" t="str">
        <f aca="false">IF($A1926="","",IF(COUNTIF(Accounts!$C$2:$C$201,$A1926)+COUNTIF('Service Principals'!$C$2:$C$201,$A1926)+COUNTIF('Managed Identities'!$C$2:$C$201,$A1926)&gt;0,"Yes","NOT IN INVENTORY"))</f>
        <v/>
      </c>
    </row>
    <row r="1927" customFormat="false" ht="15" hidden="false" customHeight="false" outlineLevel="0" collapsed="false">
      <c r="A1927" s="46"/>
      <c r="B1927" s="47"/>
      <c r="C1927" s="47"/>
      <c r="D1927" s="46"/>
      <c r="E1927" s="47"/>
      <c r="F1927" s="47"/>
      <c r="G1927" s="47"/>
      <c r="H1927" s="46"/>
      <c r="I1927" s="47"/>
      <c r="J1927" s="47"/>
      <c r="K1927" s="47"/>
      <c r="L1927" s="47"/>
      <c r="M1927" s="47"/>
      <c r="N1927" s="47"/>
      <c r="O1927" s="47"/>
      <c r="P1927" s="45" t="str">
        <f aca="false">IF($A1927="","",IF(COUNTIF(Accounts!$C$2:$C$201,$A1927)+COUNTIF('Service Principals'!$C$2:$C$201,$A1927)+COUNTIF('Managed Identities'!$C$2:$C$201,$A1927)&gt;0,"Yes","NOT IN INVENTORY"))</f>
        <v/>
      </c>
    </row>
    <row r="1928" customFormat="false" ht="15" hidden="false" customHeight="false" outlineLevel="0" collapsed="false">
      <c r="A1928" s="46"/>
      <c r="B1928" s="47"/>
      <c r="C1928" s="47"/>
      <c r="D1928" s="46"/>
      <c r="E1928" s="47"/>
      <c r="F1928" s="47"/>
      <c r="G1928" s="47"/>
      <c r="H1928" s="46"/>
      <c r="I1928" s="47"/>
      <c r="J1928" s="47"/>
      <c r="K1928" s="47"/>
      <c r="L1928" s="47"/>
      <c r="M1928" s="47"/>
      <c r="N1928" s="47"/>
      <c r="O1928" s="47"/>
      <c r="P1928" s="45" t="str">
        <f aca="false">IF($A1928="","",IF(COUNTIF(Accounts!$C$2:$C$201,$A1928)+COUNTIF('Service Principals'!$C$2:$C$201,$A1928)+COUNTIF('Managed Identities'!$C$2:$C$201,$A1928)&gt;0,"Yes","NOT IN INVENTORY"))</f>
        <v/>
      </c>
    </row>
    <row r="1929" customFormat="false" ht="15" hidden="false" customHeight="false" outlineLevel="0" collapsed="false">
      <c r="A1929" s="46"/>
      <c r="B1929" s="47"/>
      <c r="C1929" s="47"/>
      <c r="D1929" s="46"/>
      <c r="E1929" s="47"/>
      <c r="F1929" s="47"/>
      <c r="G1929" s="47"/>
      <c r="H1929" s="46"/>
      <c r="I1929" s="47"/>
      <c r="J1929" s="47"/>
      <c r="K1929" s="47"/>
      <c r="L1929" s="47"/>
      <c r="M1929" s="47"/>
      <c r="N1929" s="47"/>
      <c r="O1929" s="47"/>
      <c r="P1929" s="45" t="str">
        <f aca="false">IF($A1929="","",IF(COUNTIF(Accounts!$C$2:$C$201,$A1929)+COUNTIF('Service Principals'!$C$2:$C$201,$A1929)+COUNTIF('Managed Identities'!$C$2:$C$201,$A1929)&gt;0,"Yes","NOT IN INVENTORY"))</f>
        <v/>
      </c>
    </row>
    <row r="1930" customFormat="false" ht="15" hidden="false" customHeight="false" outlineLevel="0" collapsed="false">
      <c r="A1930" s="46"/>
      <c r="B1930" s="47"/>
      <c r="C1930" s="47"/>
      <c r="D1930" s="46"/>
      <c r="E1930" s="47"/>
      <c r="F1930" s="47"/>
      <c r="G1930" s="47"/>
      <c r="H1930" s="46"/>
      <c r="I1930" s="47"/>
      <c r="J1930" s="47"/>
      <c r="K1930" s="47"/>
      <c r="L1930" s="47"/>
      <c r="M1930" s="47"/>
      <c r="N1930" s="47"/>
      <c r="O1930" s="47"/>
      <c r="P1930" s="45" t="str">
        <f aca="false">IF($A1930="","",IF(COUNTIF(Accounts!$C$2:$C$201,$A1930)+COUNTIF('Service Principals'!$C$2:$C$201,$A1930)+COUNTIF('Managed Identities'!$C$2:$C$201,$A1930)&gt;0,"Yes","NOT IN INVENTORY"))</f>
        <v/>
      </c>
    </row>
    <row r="1931" customFormat="false" ht="15" hidden="false" customHeight="false" outlineLevel="0" collapsed="false">
      <c r="A1931" s="46"/>
      <c r="B1931" s="47"/>
      <c r="C1931" s="47"/>
      <c r="D1931" s="46"/>
      <c r="E1931" s="47"/>
      <c r="F1931" s="47"/>
      <c r="G1931" s="47"/>
      <c r="H1931" s="46"/>
      <c r="I1931" s="47"/>
      <c r="J1931" s="47"/>
      <c r="K1931" s="47"/>
      <c r="L1931" s="47"/>
      <c r="M1931" s="47"/>
      <c r="N1931" s="47"/>
      <c r="O1931" s="47"/>
      <c r="P1931" s="45" t="str">
        <f aca="false">IF($A1931="","",IF(COUNTIF(Accounts!$C$2:$C$201,$A1931)+COUNTIF('Service Principals'!$C$2:$C$201,$A1931)+COUNTIF('Managed Identities'!$C$2:$C$201,$A1931)&gt;0,"Yes","NOT IN INVENTORY"))</f>
        <v/>
      </c>
    </row>
    <row r="1932" customFormat="false" ht="15" hidden="false" customHeight="false" outlineLevel="0" collapsed="false">
      <c r="A1932" s="46"/>
      <c r="B1932" s="47"/>
      <c r="C1932" s="47"/>
      <c r="D1932" s="46"/>
      <c r="E1932" s="47"/>
      <c r="F1932" s="47"/>
      <c r="G1932" s="47"/>
      <c r="H1932" s="46"/>
      <c r="I1932" s="47"/>
      <c r="J1932" s="47"/>
      <c r="K1932" s="47"/>
      <c r="L1932" s="47"/>
      <c r="M1932" s="47"/>
      <c r="N1932" s="47"/>
      <c r="O1932" s="47"/>
      <c r="P1932" s="45" t="str">
        <f aca="false">IF($A1932="","",IF(COUNTIF(Accounts!$C$2:$C$201,$A1932)+COUNTIF('Service Principals'!$C$2:$C$201,$A1932)+COUNTIF('Managed Identities'!$C$2:$C$201,$A1932)&gt;0,"Yes","NOT IN INVENTORY"))</f>
        <v/>
      </c>
    </row>
    <row r="1933" customFormat="false" ht="15" hidden="false" customHeight="false" outlineLevel="0" collapsed="false">
      <c r="A1933" s="46"/>
      <c r="B1933" s="47"/>
      <c r="C1933" s="47"/>
      <c r="D1933" s="46"/>
      <c r="E1933" s="47"/>
      <c r="F1933" s="47"/>
      <c r="G1933" s="47"/>
      <c r="H1933" s="46"/>
      <c r="I1933" s="47"/>
      <c r="J1933" s="47"/>
      <c r="K1933" s="47"/>
      <c r="L1933" s="47"/>
      <c r="M1933" s="47"/>
      <c r="N1933" s="47"/>
      <c r="O1933" s="47"/>
      <c r="P1933" s="45" t="str">
        <f aca="false">IF($A1933="","",IF(COUNTIF(Accounts!$C$2:$C$201,$A1933)+COUNTIF('Service Principals'!$C$2:$C$201,$A1933)+COUNTIF('Managed Identities'!$C$2:$C$201,$A1933)&gt;0,"Yes","NOT IN INVENTORY"))</f>
        <v/>
      </c>
    </row>
    <row r="1934" customFormat="false" ht="15" hidden="false" customHeight="false" outlineLevel="0" collapsed="false">
      <c r="A1934" s="46"/>
      <c r="B1934" s="47"/>
      <c r="C1934" s="47"/>
      <c r="D1934" s="46"/>
      <c r="E1934" s="47"/>
      <c r="F1934" s="47"/>
      <c r="G1934" s="47"/>
      <c r="H1934" s="46"/>
      <c r="I1934" s="47"/>
      <c r="J1934" s="47"/>
      <c r="K1934" s="47"/>
      <c r="L1934" s="47"/>
      <c r="M1934" s="47"/>
      <c r="N1934" s="47"/>
      <c r="O1934" s="47"/>
      <c r="P1934" s="45" t="str">
        <f aca="false">IF($A1934="","",IF(COUNTIF(Accounts!$C$2:$C$201,$A1934)+COUNTIF('Service Principals'!$C$2:$C$201,$A1934)+COUNTIF('Managed Identities'!$C$2:$C$201,$A1934)&gt;0,"Yes","NOT IN INVENTORY"))</f>
        <v/>
      </c>
    </row>
    <row r="1935" customFormat="false" ht="15" hidden="false" customHeight="false" outlineLevel="0" collapsed="false">
      <c r="A1935" s="46"/>
      <c r="B1935" s="47"/>
      <c r="C1935" s="47"/>
      <c r="D1935" s="46"/>
      <c r="E1935" s="47"/>
      <c r="F1935" s="47"/>
      <c r="G1935" s="47"/>
      <c r="H1935" s="46"/>
      <c r="I1935" s="47"/>
      <c r="J1935" s="47"/>
      <c r="K1935" s="47"/>
      <c r="L1935" s="47"/>
      <c r="M1935" s="47"/>
      <c r="N1935" s="47"/>
      <c r="O1935" s="47"/>
      <c r="P1935" s="45" t="str">
        <f aca="false">IF($A1935="","",IF(COUNTIF(Accounts!$C$2:$C$201,$A1935)+COUNTIF('Service Principals'!$C$2:$C$201,$A1935)+COUNTIF('Managed Identities'!$C$2:$C$201,$A1935)&gt;0,"Yes","NOT IN INVENTORY"))</f>
        <v/>
      </c>
    </row>
    <row r="1936" customFormat="false" ht="15" hidden="false" customHeight="false" outlineLevel="0" collapsed="false">
      <c r="A1936" s="46"/>
      <c r="B1936" s="47"/>
      <c r="C1936" s="47"/>
      <c r="D1936" s="46"/>
      <c r="E1936" s="47"/>
      <c r="F1936" s="47"/>
      <c r="G1936" s="47"/>
      <c r="H1936" s="46"/>
      <c r="I1936" s="47"/>
      <c r="J1936" s="47"/>
      <c r="K1936" s="47"/>
      <c r="L1936" s="47"/>
      <c r="M1936" s="47"/>
      <c r="N1936" s="47"/>
      <c r="O1936" s="47"/>
      <c r="P1936" s="45" t="str">
        <f aca="false">IF($A1936="","",IF(COUNTIF(Accounts!$C$2:$C$201,$A1936)+COUNTIF('Service Principals'!$C$2:$C$201,$A1936)+COUNTIF('Managed Identities'!$C$2:$C$201,$A1936)&gt;0,"Yes","NOT IN INVENTORY"))</f>
        <v/>
      </c>
    </row>
    <row r="1937" customFormat="false" ht="15" hidden="false" customHeight="false" outlineLevel="0" collapsed="false">
      <c r="A1937" s="46"/>
      <c r="B1937" s="47"/>
      <c r="C1937" s="47"/>
      <c r="D1937" s="46"/>
      <c r="E1937" s="47"/>
      <c r="F1937" s="47"/>
      <c r="G1937" s="47"/>
      <c r="H1937" s="46"/>
      <c r="I1937" s="47"/>
      <c r="J1937" s="47"/>
      <c r="K1937" s="47"/>
      <c r="L1937" s="47"/>
      <c r="M1937" s="47"/>
      <c r="N1937" s="47"/>
      <c r="O1937" s="47"/>
      <c r="P1937" s="45" t="str">
        <f aca="false">IF($A1937="","",IF(COUNTIF(Accounts!$C$2:$C$201,$A1937)+COUNTIF('Service Principals'!$C$2:$C$201,$A1937)+COUNTIF('Managed Identities'!$C$2:$C$201,$A1937)&gt;0,"Yes","NOT IN INVENTORY"))</f>
        <v/>
      </c>
    </row>
    <row r="1938" customFormat="false" ht="15" hidden="false" customHeight="false" outlineLevel="0" collapsed="false">
      <c r="A1938" s="46"/>
      <c r="B1938" s="47"/>
      <c r="C1938" s="47"/>
      <c r="D1938" s="46"/>
      <c r="E1938" s="47"/>
      <c r="F1938" s="47"/>
      <c r="G1938" s="47"/>
      <c r="H1938" s="46"/>
      <c r="I1938" s="47"/>
      <c r="J1938" s="47"/>
      <c r="K1938" s="47"/>
      <c r="L1938" s="47"/>
      <c r="M1938" s="47"/>
      <c r="N1938" s="47"/>
      <c r="O1938" s="47"/>
      <c r="P1938" s="45" t="str">
        <f aca="false">IF($A1938="","",IF(COUNTIF(Accounts!$C$2:$C$201,$A1938)+COUNTIF('Service Principals'!$C$2:$C$201,$A1938)+COUNTIF('Managed Identities'!$C$2:$C$201,$A1938)&gt;0,"Yes","NOT IN INVENTORY"))</f>
        <v/>
      </c>
    </row>
    <row r="1939" customFormat="false" ht="15" hidden="false" customHeight="false" outlineLevel="0" collapsed="false">
      <c r="A1939" s="46"/>
      <c r="B1939" s="47"/>
      <c r="C1939" s="47"/>
      <c r="D1939" s="46"/>
      <c r="E1939" s="47"/>
      <c r="F1939" s="47"/>
      <c r="G1939" s="47"/>
      <c r="H1939" s="46"/>
      <c r="I1939" s="47"/>
      <c r="J1939" s="47"/>
      <c r="K1939" s="47"/>
      <c r="L1939" s="47"/>
      <c r="M1939" s="47"/>
      <c r="N1939" s="47"/>
      <c r="O1939" s="47"/>
      <c r="P1939" s="45" t="str">
        <f aca="false">IF($A1939="","",IF(COUNTIF(Accounts!$C$2:$C$201,$A1939)+COUNTIF('Service Principals'!$C$2:$C$201,$A1939)+COUNTIF('Managed Identities'!$C$2:$C$201,$A1939)&gt;0,"Yes","NOT IN INVENTORY"))</f>
        <v/>
      </c>
    </row>
    <row r="1940" customFormat="false" ht="15" hidden="false" customHeight="false" outlineLevel="0" collapsed="false">
      <c r="A1940" s="46"/>
      <c r="B1940" s="47"/>
      <c r="C1940" s="47"/>
      <c r="D1940" s="46"/>
      <c r="E1940" s="47"/>
      <c r="F1940" s="47"/>
      <c r="G1940" s="47"/>
      <c r="H1940" s="46"/>
      <c r="I1940" s="47"/>
      <c r="J1940" s="47"/>
      <c r="K1940" s="47"/>
      <c r="L1940" s="47"/>
      <c r="M1940" s="47"/>
      <c r="N1940" s="47"/>
      <c r="O1940" s="47"/>
      <c r="P1940" s="45" t="str">
        <f aca="false">IF($A1940="","",IF(COUNTIF(Accounts!$C$2:$C$201,$A1940)+COUNTIF('Service Principals'!$C$2:$C$201,$A1940)+COUNTIF('Managed Identities'!$C$2:$C$201,$A1940)&gt;0,"Yes","NOT IN INVENTORY"))</f>
        <v/>
      </c>
    </row>
    <row r="1941" customFormat="false" ht="15" hidden="false" customHeight="false" outlineLevel="0" collapsed="false">
      <c r="A1941" s="46"/>
      <c r="B1941" s="47"/>
      <c r="C1941" s="47"/>
      <c r="D1941" s="46"/>
      <c r="E1941" s="47"/>
      <c r="F1941" s="47"/>
      <c r="G1941" s="47"/>
      <c r="H1941" s="46"/>
      <c r="I1941" s="47"/>
      <c r="J1941" s="47"/>
      <c r="K1941" s="47"/>
      <c r="L1941" s="47"/>
      <c r="M1941" s="47"/>
      <c r="N1941" s="47"/>
      <c r="O1941" s="47"/>
      <c r="P1941" s="45" t="str">
        <f aca="false">IF($A1941="","",IF(COUNTIF(Accounts!$C$2:$C$201,$A1941)+COUNTIF('Service Principals'!$C$2:$C$201,$A1941)+COUNTIF('Managed Identities'!$C$2:$C$201,$A1941)&gt;0,"Yes","NOT IN INVENTORY"))</f>
        <v/>
      </c>
    </row>
    <row r="1942" customFormat="false" ht="15" hidden="false" customHeight="false" outlineLevel="0" collapsed="false">
      <c r="A1942" s="46"/>
      <c r="B1942" s="47"/>
      <c r="C1942" s="47"/>
      <c r="D1942" s="46"/>
      <c r="E1942" s="47"/>
      <c r="F1942" s="47"/>
      <c r="G1942" s="47"/>
      <c r="H1942" s="46"/>
      <c r="I1942" s="47"/>
      <c r="J1942" s="47"/>
      <c r="K1942" s="47"/>
      <c r="L1942" s="47"/>
      <c r="M1942" s="47"/>
      <c r="N1942" s="47"/>
      <c r="O1942" s="47"/>
      <c r="P1942" s="45" t="str">
        <f aca="false">IF($A1942="","",IF(COUNTIF(Accounts!$C$2:$C$201,$A1942)+COUNTIF('Service Principals'!$C$2:$C$201,$A1942)+COUNTIF('Managed Identities'!$C$2:$C$201,$A1942)&gt;0,"Yes","NOT IN INVENTORY"))</f>
        <v/>
      </c>
    </row>
    <row r="1943" customFormat="false" ht="15" hidden="false" customHeight="false" outlineLevel="0" collapsed="false">
      <c r="A1943" s="46"/>
      <c r="B1943" s="47"/>
      <c r="C1943" s="47"/>
      <c r="D1943" s="46"/>
      <c r="E1943" s="47"/>
      <c r="F1943" s="47"/>
      <c r="G1943" s="47"/>
      <c r="H1943" s="46"/>
      <c r="I1943" s="47"/>
      <c r="J1943" s="47"/>
      <c r="K1943" s="47"/>
      <c r="L1943" s="47"/>
      <c r="M1943" s="47"/>
      <c r="N1943" s="47"/>
      <c r="O1943" s="47"/>
      <c r="P1943" s="45" t="str">
        <f aca="false">IF($A1943="","",IF(COUNTIF(Accounts!$C$2:$C$201,$A1943)+COUNTIF('Service Principals'!$C$2:$C$201,$A1943)+COUNTIF('Managed Identities'!$C$2:$C$201,$A1943)&gt;0,"Yes","NOT IN INVENTORY"))</f>
        <v/>
      </c>
    </row>
    <row r="1944" customFormat="false" ht="15" hidden="false" customHeight="false" outlineLevel="0" collapsed="false">
      <c r="A1944" s="46"/>
      <c r="B1944" s="47"/>
      <c r="C1944" s="47"/>
      <c r="D1944" s="46"/>
      <c r="E1944" s="47"/>
      <c r="F1944" s="47"/>
      <c r="G1944" s="47"/>
      <c r="H1944" s="46"/>
      <c r="I1944" s="47"/>
      <c r="J1944" s="47"/>
      <c r="K1944" s="47"/>
      <c r="L1944" s="47"/>
      <c r="M1944" s="47"/>
      <c r="N1944" s="47"/>
      <c r="O1944" s="47"/>
      <c r="P1944" s="45" t="str">
        <f aca="false">IF($A1944="","",IF(COUNTIF(Accounts!$C$2:$C$201,$A1944)+COUNTIF('Service Principals'!$C$2:$C$201,$A1944)+COUNTIF('Managed Identities'!$C$2:$C$201,$A1944)&gt;0,"Yes","NOT IN INVENTORY"))</f>
        <v/>
      </c>
    </row>
    <row r="1945" customFormat="false" ht="15" hidden="false" customHeight="false" outlineLevel="0" collapsed="false">
      <c r="A1945" s="46"/>
      <c r="B1945" s="47"/>
      <c r="C1945" s="47"/>
      <c r="D1945" s="46"/>
      <c r="E1945" s="47"/>
      <c r="F1945" s="47"/>
      <c r="G1945" s="47"/>
      <c r="H1945" s="46"/>
      <c r="I1945" s="47"/>
      <c r="J1945" s="47"/>
      <c r="K1945" s="47"/>
      <c r="L1945" s="47"/>
      <c r="M1945" s="47"/>
      <c r="N1945" s="47"/>
      <c r="O1945" s="47"/>
      <c r="P1945" s="45" t="str">
        <f aca="false">IF($A1945="","",IF(COUNTIF(Accounts!$C$2:$C$201,$A1945)+COUNTIF('Service Principals'!$C$2:$C$201,$A1945)+COUNTIF('Managed Identities'!$C$2:$C$201,$A1945)&gt;0,"Yes","NOT IN INVENTORY"))</f>
        <v/>
      </c>
    </row>
    <row r="1946" customFormat="false" ht="15" hidden="false" customHeight="false" outlineLevel="0" collapsed="false">
      <c r="A1946" s="46"/>
      <c r="B1946" s="47"/>
      <c r="C1946" s="47"/>
      <c r="D1946" s="46"/>
      <c r="E1946" s="47"/>
      <c r="F1946" s="47"/>
      <c r="G1946" s="47"/>
      <c r="H1946" s="46"/>
      <c r="I1946" s="47"/>
      <c r="J1946" s="47"/>
      <c r="K1946" s="47"/>
      <c r="L1946" s="47"/>
      <c r="M1946" s="47"/>
      <c r="N1946" s="47"/>
      <c r="O1946" s="47"/>
      <c r="P1946" s="45" t="str">
        <f aca="false">IF($A1946="","",IF(COUNTIF(Accounts!$C$2:$C$201,$A1946)+COUNTIF('Service Principals'!$C$2:$C$201,$A1946)+COUNTIF('Managed Identities'!$C$2:$C$201,$A1946)&gt;0,"Yes","NOT IN INVENTORY"))</f>
        <v/>
      </c>
    </row>
    <row r="1947" customFormat="false" ht="15" hidden="false" customHeight="false" outlineLevel="0" collapsed="false">
      <c r="A1947" s="46"/>
      <c r="B1947" s="47"/>
      <c r="C1947" s="47"/>
      <c r="D1947" s="46"/>
      <c r="E1947" s="47"/>
      <c r="F1947" s="47"/>
      <c r="G1947" s="47"/>
      <c r="H1947" s="46"/>
      <c r="I1947" s="47"/>
      <c r="J1947" s="47"/>
      <c r="K1947" s="47"/>
      <c r="L1947" s="47"/>
      <c r="M1947" s="47"/>
      <c r="N1947" s="47"/>
      <c r="O1947" s="47"/>
      <c r="P1947" s="45" t="str">
        <f aca="false">IF($A1947="","",IF(COUNTIF(Accounts!$C$2:$C$201,$A1947)+COUNTIF('Service Principals'!$C$2:$C$201,$A1947)+COUNTIF('Managed Identities'!$C$2:$C$201,$A1947)&gt;0,"Yes","NOT IN INVENTORY"))</f>
        <v/>
      </c>
    </row>
    <row r="1948" customFormat="false" ht="15" hidden="false" customHeight="false" outlineLevel="0" collapsed="false">
      <c r="A1948" s="46"/>
      <c r="B1948" s="47"/>
      <c r="C1948" s="47"/>
      <c r="D1948" s="46"/>
      <c r="E1948" s="47"/>
      <c r="F1948" s="47"/>
      <c r="G1948" s="47"/>
      <c r="H1948" s="46"/>
      <c r="I1948" s="47"/>
      <c r="J1948" s="47"/>
      <c r="K1948" s="47"/>
      <c r="L1948" s="47"/>
      <c r="M1948" s="47"/>
      <c r="N1948" s="47"/>
      <c r="O1948" s="47"/>
      <c r="P1948" s="45" t="str">
        <f aca="false">IF($A1948="","",IF(COUNTIF(Accounts!$C$2:$C$201,$A1948)+COUNTIF('Service Principals'!$C$2:$C$201,$A1948)+COUNTIF('Managed Identities'!$C$2:$C$201,$A1948)&gt;0,"Yes","NOT IN INVENTORY"))</f>
        <v/>
      </c>
    </row>
    <row r="1949" customFormat="false" ht="15" hidden="false" customHeight="false" outlineLevel="0" collapsed="false">
      <c r="A1949" s="46"/>
      <c r="B1949" s="47"/>
      <c r="C1949" s="47"/>
      <c r="D1949" s="46"/>
      <c r="E1949" s="47"/>
      <c r="F1949" s="47"/>
      <c r="G1949" s="47"/>
      <c r="H1949" s="46"/>
      <c r="I1949" s="47"/>
      <c r="J1949" s="47"/>
      <c r="K1949" s="47"/>
      <c r="L1949" s="47"/>
      <c r="M1949" s="47"/>
      <c r="N1949" s="47"/>
      <c r="O1949" s="47"/>
      <c r="P1949" s="45" t="str">
        <f aca="false">IF($A1949="","",IF(COUNTIF(Accounts!$C$2:$C$201,$A1949)+COUNTIF('Service Principals'!$C$2:$C$201,$A1949)+COUNTIF('Managed Identities'!$C$2:$C$201,$A1949)&gt;0,"Yes","NOT IN INVENTORY"))</f>
        <v/>
      </c>
    </row>
    <row r="1950" customFormat="false" ht="15" hidden="false" customHeight="false" outlineLevel="0" collapsed="false">
      <c r="A1950" s="46"/>
      <c r="B1950" s="47"/>
      <c r="C1950" s="47"/>
      <c r="D1950" s="46"/>
      <c r="E1950" s="47"/>
      <c r="F1950" s="47"/>
      <c r="G1950" s="47"/>
      <c r="H1950" s="46"/>
      <c r="I1950" s="47"/>
      <c r="J1950" s="47"/>
      <c r="K1950" s="47"/>
      <c r="L1950" s="47"/>
      <c r="M1950" s="47"/>
      <c r="N1950" s="47"/>
      <c r="O1950" s="47"/>
      <c r="P1950" s="45" t="str">
        <f aca="false">IF($A1950="","",IF(COUNTIF(Accounts!$C$2:$C$201,$A1950)+COUNTIF('Service Principals'!$C$2:$C$201,$A1950)+COUNTIF('Managed Identities'!$C$2:$C$201,$A1950)&gt;0,"Yes","NOT IN INVENTORY"))</f>
        <v/>
      </c>
    </row>
    <row r="1951" customFormat="false" ht="15" hidden="false" customHeight="false" outlineLevel="0" collapsed="false">
      <c r="A1951" s="46"/>
      <c r="B1951" s="47"/>
      <c r="C1951" s="47"/>
      <c r="D1951" s="46"/>
      <c r="E1951" s="47"/>
      <c r="F1951" s="47"/>
      <c r="G1951" s="47"/>
      <c r="H1951" s="46"/>
      <c r="I1951" s="47"/>
      <c r="J1951" s="47"/>
      <c r="K1951" s="47"/>
      <c r="L1951" s="47"/>
      <c r="M1951" s="47"/>
      <c r="N1951" s="47"/>
      <c r="O1951" s="47"/>
      <c r="P1951" s="45" t="str">
        <f aca="false">IF($A1951="","",IF(COUNTIF(Accounts!$C$2:$C$201,$A1951)+COUNTIF('Service Principals'!$C$2:$C$201,$A1951)+COUNTIF('Managed Identities'!$C$2:$C$201,$A1951)&gt;0,"Yes","NOT IN INVENTORY"))</f>
        <v/>
      </c>
    </row>
    <row r="1952" customFormat="false" ht="15" hidden="false" customHeight="false" outlineLevel="0" collapsed="false">
      <c r="A1952" s="46"/>
      <c r="B1952" s="47"/>
      <c r="C1952" s="47"/>
      <c r="D1952" s="46"/>
      <c r="E1952" s="47"/>
      <c r="F1952" s="47"/>
      <c r="G1952" s="47"/>
      <c r="H1952" s="46"/>
      <c r="I1952" s="47"/>
      <c r="J1952" s="47"/>
      <c r="K1952" s="47"/>
      <c r="L1952" s="47"/>
      <c r="M1952" s="47"/>
      <c r="N1952" s="47"/>
      <c r="O1952" s="47"/>
      <c r="P1952" s="45" t="str">
        <f aca="false">IF($A1952="","",IF(COUNTIF(Accounts!$C$2:$C$201,$A1952)+COUNTIF('Service Principals'!$C$2:$C$201,$A1952)+COUNTIF('Managed Identities'!$C$2:$C$201,$A1952)&gt;0,"Yes","NOT IN INVENTORY"))</f>
        <v/>
      </c>
    </row>
    <row r="1953" customFormat="false" ht="15" hidden="false" customHeight="false" outlineLevel="0" collapsed="false">
      <c r="A1953" s="46"/>
      <c r="B1953" s="47"/>
      <c r="C1953" s="47"/>
      <c r="D1953" s="46"/>
      <c r="E1953" s="47"/>
      <c r="F1953" s="47"/>
      <c r="G1953" s="47"/>
      <c r="H1953" s="46"/>
      <c r="I1953" s="47"/>
      <c r="J1953" s="47"/>
      <c r="K1953" s="47"/>
      <c r="L1953" s="47"/>
      <c r="M1953" s="47"/>
      <c r="N1953" s="47"/>
      <c r="O1953" s="47"/>
      <c r="P1953" s="45" t="str">
        <f aca="false">IF($A1953="","",IF(COUNTIF(Accounts!$C$2:$C$201,$A1953)+COUNTIF('Service Principals'!$C$2:$C$201,$A1953)+COUNTIF('Managed Identities'!$C$2:$C$201,$A1953)&gt;0,"Yes","NOT IN INVENTORY"))</f>
        <v/>
      </c>
    </row>
    <row r="1954" customFormat="false" ht="15" hidden="false" customHeight="false" outlineLevel="0" collapsed="false">
      <c r="A1954" s="46"/>
      <c r="B1954" s="47"/>
      <c r="C1954" s="47"/>
      <c r="D1954" s="46"/>
      <c r="E1954" s="47"/>
      <c r="F1954" s="47"/>
      <c r="G1954" s="47"/>
      <c r="H1954" s="46"/>
      <c r="I1954" s="47"/>
      <c r="J1954" s="47"/>
      <c r="K1954" s="47"/>
      <c r="L1954" s="47"/>
      <c r="M1954" s="47"/>
      <c r="N1954" s="47"/>
      <c r="O1954" s="47"/>
      <c r="P1954" s="45" t="str">
        <f aca="false">IF($A1954="","",IF(COUNTIF(Accounts!$C$2:$C$201,$A1954)+COUNTIF('Service Principals'!$C$2:$C$201,$A1954)+COUNTIF('Managed Identities'!$C$2:$C$201,$A1954)&gt;0,"Yes","NOT IN INVENTORY"))</f>
        <v/>
      </c>
    </row>
    <row r="1955" customFormat="false" ht="15" hidden="false" customHeight="false" outlineLevel="0" collapsed="false">
      <c r="A1955" s="46"/>
      <c r="B1955" s="47"/>
      <c r="C1955" s="47"/>
      <c r="D1955" s="46"/>
      <c r="E1955" s="47"/>
      <c r="F1955" s="47"/>
      <c r="G1955" s="47"/>
      <c r="H1955" s="46"/>
      <c r="I1955" s="47"/>
      <c r="J1955" s="47"/>
      <c r="K1955" s="47"/>
      <c r="L1955" s="47"/>
      <c r="M1955" s="47"/>
      <c r="N1955" s="47"/>
      <c r="O1955" s="47"/>
      <c r="P1955" s="45" t="str">
        <f aca="false">IF($A1955="","",IF(COUNTIF(Accounts!$C$2:$C$201,$A1955)+COUNTIF('Service Principals'!$C$2:$C$201,$A1955)+COUNTIF('Managed Identities'!$C$2:$C$201,$A1955)&gt;0,"Yes","NOT IN INVENTORY"))</f>
        <v/>
      </c>
    </row>
    <row r="1956" customFormat="false" ht="15" hidden="false" customHeight="false" outlineLevel="0" collapsed="false">
      <c r="A1956" s="46"/>
      <c r="B1956" s="47"/>
      <c r="C1956" s="47"/>
      <c r="D1956" s="46"/>
      <c r="E1956" s="47"/>
      <c r="F1956" s="47"/>
      <c r="G1956" s="47"/>
      <c r="H1956" s="46"/>
      <c r="I1956" s="47"/>
      <c r="J1956" s="47"/>
      <c r="K1956" s="47"/>
      <c r="L1956" s="47"/>
      <c r="M1956" s="47"/>
      <c r="N1956" s="47"/>
      <c r="O1956" s="47"/>
      <c r="P1956" s="45" t="str">
        <f aca="false">IF($A1956="","",IF(COUNTIF(Accounts!$C$2:$C$201,$A1956)+COUNTIF('Service Principals'!$C$2:$C$201,$A1956)+COUNTIF('Managed Identities'!$C$2:$C$201,$A1956)&gt;0,"Yes","NOT IN INVENTORY"))</f>
        <v/>
      </c>
    </row>
    <row r="1957" customFormat="false" ht="15" hidden="false" customHeight="false" outlineLevel="0" collapsed="false">
      <c r="A1957" s="46"/>
      <c r="B1957" s="47"/>
      <c r="C1957" s="47"/>
      <c r="D1957" s="46"/>
      <c r="E1957" s="47"/>
      <c r="F1957" s="47"/>
      <c r="G1957" s="47"/>
      <c r="H1957" s="46"/>
      <c r="I1957" s="47"/>
      <c r="J1957" s="47"/>
      <c r="K1957" s="47"/>
      <c r="L1957" s="47"/>
      <c r="M1957" s="47"/>
      <c r="N1957" s="47"/>
      <c r="O1957" s="47"/>
      <c r="P1957" s="45" t="str">
        <f aca="false">IF($A1957="","",IF(COUNTIF(Accounts!$C$2:$C$201,$A1957)+COUNTIF('Service Principals'!$C$2:$C$201,$A1957)+COUNTIF('Managed Identities'!$C$2:$C$201,$A1957)&gt;0,"Yes","NOT IN INVENTORY"))</f>
        <v/>
      </c>
    </row>
    <row r="1958" customFormat="false" ht="15" hidden="false" customHeight="false" outlineLevel="0" collapsed="false">
      <c r="A1958" s="46"/>
      <c r="B1958" s="47"/>
      <c r="C1958" s="47"/>
      <c r="D1958" s="46"/>
      <c r="E1958" s="47"/>
      <c r="F1958" s="47"/>
      <c r="G1958" s="47"/>
      <c r="H1958" s="46"/>
      <c r="I1958" s="47"/>
      <c r="J1958" s="47"/>
      <c r="K1958" s="47"/>
      <c r="L1958" s="47"/>
      <c r="M1958" s="47"/>
      <c r="N1958" s="47"/>
      <c r="O1958" s="47"/>
      <c r="P1958" s="45" t="str">
        <f aca="false">IF($A1958="","",IF(COUNTIF(Accounts!$C$2:$C$201,$A1958)+COUNTIF('Service Principals'!$C$2:$C$201,$A1958)+COUNTIF('Managed Identities'!$C$2:$C$201,$A1958)&gt;0,"Yes","NOT IN INVENTORY"))</f>
        <v/>
      </c>
    </row>
    <row r="1959" customFormat="false" ht="15" hidden="false" customHeight="false" outlineLevel="0" collapsed="false">
      <c r="A1959" s="46"/>
      <c r="B1959" s="47"/>
      <c r="C1959" s="47"/>
      <c r="D1959" s="46"/>
      <c r="E1959" s="47"/>
      <c r="F1959" s="47"/>
      <c r="G1959" s="47"/>
      <c r="H1959" s="46"/>
      <c r="I1959" s="47"/>
      <c r="J1959" s="47"/>
      <c r="K1959" s="47"/>
      <c r="L1959" s="47"/>
      <c r="M1959" s="47"/>
      <c r="N1959" s="47"/>
      <c r="O1959" s="47"/>
      <c r="P1959" s="45" t="str">
        <f aca="false">IF($A1959="","",IF(COUNTIF(Accounts!$C$2:$C$201,$A1959)+COUNTIF('Service Principals'!$C$2:$C$201,$A1959)+COUNTIF('Managed Identities'!$C$2:$C$201,$A1959)&gt;0,"Yes","NOT IN INVENTORY"))</f>
        <v/>
      </c>
    </row>
    <row r="1960" customFormat="false" ht="15" hidden="false" customHeight="false" outlineLevel="0" collapsed="false">
      <c r="A1960" s="46"/>
      <c r="B1960" s="47"/>
      <c r="C1960" s="47"/>
      <c r="D1960" s="46"/>
      <c r="E1960" s="47"/>
      <c r="F1960" s="47"/>
      <c r="G1960" s="47"/>
      <c r="H1960" s="46"/>
      <c r="I1960" s="47"/>
      <c r="J1960" s="47"/>
      <c r="K1960" s="47"/>
      <c r="L1960" s="47"/>
      <c r="M1960" s="47"/>
      <c r="N1960" s="47"/>
      <c r="O1960" s="47"/>
      <c r="P1960" s="45" t="str">
        <f aca="false">IF($A1960="","",IF(COUNTIF(Accounts!$C$2:$C$201,$A1960)+COUNTIF('Service Principals'!$C$2:$C$201,$A1960)+COUNTIF('Managed Identities'!$C$2:$C$201,$A1960)&gt;0,"Yes","NOT IN INVENTORY"))</f>
        <v/>
      </c>
    </row>
    <row r="1961" customFormat="false" ht="15" hidden="false" customHeight="false" outlineLevel="0" collapsed="false">
      <c r="A1961" s="46"/>
      <c r="B1961" s="47"/>
      <c r="C1961" s="47"/>
      <c r="D1961" s="46"/>
      <c r="E1961" s="47"/>
      <c r="F1961" s="47"/>
      <c r="G1961" s="47"/>
      <c r="H1961" s="46"/>
      <c r="I1961" s="47"/>
      <c r="J1961" s="47"/>
      <c r="K1961" s="47"/>
      <c r="L1961" s="47"/>
      <c r="M1961" s="47"/>
      <c r="N1961" s="47"/>
      <c r="O1961" s="47"/>
      <c r="P1961" s="45" t="str">
        <f aca="false">IF($A1961="","",IF(COUNTIF(Accounts!$C$2:$C$201,$A1961)+COUNTIF('Service Principals'!$C$2:$C$201,$A1961)+COUNTIF('Managed Identities'!$C$2:$C$201,$A1961)&gt;0,"Yes","NOT IN INVENTORY"))</f>
        <v/>
      </c>
    </row>
    <row r="1962" customFormat="false" ht="15" hidden="false" customHeight="false" outlineLevel="0" collapsed="false">
      <c r="A1962" s="46"/>
      <c r="B1962" s="47"/>
      <c r="C1962" s="47"/>
      <c r="D1962" s="46"/>
      <c r="E1962" s="47"/>
      <c r="F1962" s="47"/>
      <c r="G1962" s="47"/>
      <c r="H1962" s="46"/>
      <c r="I1962" s="47"/>
      <c r="J1962" s="47"/>
      <c r="K1962" s="47"/>
      <c r="L1962" s="47"/>
      <c r="M1962" s="47"/>
      <c r="N1962" s="47"/>
      <c r="O1962" s="47"/>
      <c r="P1962" s="45" t="str">
        <f aca="false">IF($A1962="","",IF(COUNTIF(Accounts!$C$2:$C$201,$A1962)+COUNTIF('Service Principals'!$C$2:$C$201,$A1962)+COUNTIF('Managed Identities'!$C$2:$C$201,$A1962)&gt;0,"Yes","NOT IN INVENTORY"))</f>
        <v/>
      </c>
    </row>
    <row r="1963" customFormat="false" ht="15" hidden="false" customHeight="false" outlineLevel="0" collapsed="false">
      <c r="A1963" s="46"/>
      <c r="B1963" s="47"/>
      <c r="C1963" s="47"/>
      <c r="D1963" s="46"/>
      <c r="E1963" s="47"/>
      <c r="F1963" s="47"/>
      <c r="G1963" s="47"/>
      <c r="H1963" s="46"/>
      <c r="I1963" s="47"/>
      <c r="J1963" s="47"/>
      <c r="K1963" s="47"/>
      <c r="L1963" s="47"/>
      <c r="M1963" s="47"/>
      <c r="N1963" s="47"/>
      <c r="O1963" s="47"/>
      <c r="P1963" s="45" t="str">
        <f aca="false">IF($A1963="","",IF(COUNTIF(Accounts!$C$2:$C$201,$A1963)+COUNTIF('Service Principals'!$C$2:$C$201,$A1963)+COUNTIF('Managed Identities'!$C$2:$C$201,$A1963)&gt;0,"Yes","NOT IN INVENTORY"))</f>
        <v/>
      </c>
    </row>
    <row r="1964" customFormat="false" ht="15" hidden="false" customHeight="false" outlineLevel="0" collapsed="false">
      <c r="A1964" s="46"/>
      <c r="B1964" s="47"/>
      <c r="C1964" s="47"/>
      <c r="D1964" s="46"/>
      <c r="E1964" s="47"/>
      <c r="F1964" s="47"/>
      <c r="G1964" s="47"/>
      <c r="H1964" s="46"/>
      <c r="I1964" s="47"/>
      <c r="J1964" s="47"/>
      <c r="K1964" s="47"/>
      <c r="L1964" s="47"/>
      <c r="M1964" s="47"/>
      <c r="N1964" s="47"/>
      <c r="O1964" s="47"/>
      <c r="P1964" s="45" t="str">
        <f aca="false">IF($A1964="","",IF(COUNTIF(Accounts!$C$2:$C$201,$A1964)+COUNTIF('Service Principals'!$C$2:$C$201,$A1964)+COUNTIF('Managed Identities'!$C$2:$C$201,$A1964)&gt;0,"Yes","NOT IN INVENTORY"))</f>
        <v/>
      </c>
    </row>
    <row r="1965" customFormat="false" ht="15" hidden="false" customHeight="false" outlineLevel="0" collapsed="false">
      <c r="A1965" s="46"/>
      <c r="B1965" s="47"/>
      <c r="C1965" s="47"/>
      <c r="D1965" s="46"/>
      <c r="E1965" s="47"/>
      <c r="F1965" s="47"/>
      <c r="G1965" s="47"/>
      <c r="H1965" s="46"/>
      <c r="I1965" s="47"/>
      <c r="J1965" s="47"/>
      <c r="K1965" s="47"/>
      <c r="L1965" s="47"/>
      <c r="M1965" s="47"/>
      <c r="N1965" s="47"/>
      <c r="O1965" s="47"/>
      <c r="P1965" s="45" t="str">
        <f aca="false">IF($A1965="","",IF(COUNTIF(Accounts!$C$2:$C$201,$A1965)+COUNTIF('Service Principals'!$C$2:$C$201,$A1965)+COUNTIF('Managed Identities'!$C$2:$C$201,$A1965)&gt;0,"Yes","NOT IN INVENTORY"))</f>
        <v/>
      </c>
    </row>
    <row r="1966" customFormat="false" ht="15" hidden="false" customHeight="false" outlineLevel="0" collapsed="false">
      <c r="A1966" s="46"/>
      <c r="B1966" s="47"/>
      <c r="C1966" s="47"/>
      <c r="D1966" s="46"/>
      <c r="E1966" s="47"/>
      <c r="F1966" s="47"/>
      <c r="G1966" s="47"/>
      <c r="H1966" s="46"/>
      <c r="I1966" s="47"/>
      <c r="J1966" s="47"/>
      <c r="K1966" s="47"/>
      <c r="L1966" s="47"/>
      <c r="M1966" s="47"/>
      <c r="N1966" s="47"/>
      <c r="O1966" s="47"/>
      <c r="P1966" s="45" t="str">
        <f aca="false">IF($A1966="","",IF(COUNTIF(Accounts!$C$2:$C$201,$A1966)+COUNTIF('Service Principals'!$C$2:$C$201,$A1966)+COUNTIF('Managed Identities'!$C$2:$C$201,$A1966)&gt;0,"Yes","NOT IN INVENTORY"))</f>
        <v/>
      </c>
    </row>
    <row r="1967" customFormat="false" ht="15" hidden="false" customHeight="false" outlineLevel="0" collapsed="false">
      <c r="A1967" s="46"/>
      <c r="B1967" s="47"/>
      <c r="C1967" s="47"/>
      <c r="D1967" s="46"/>
      <c r="E1967" s="47"/>
      <c r="F1967" s="47"/>
      <c r="G1967" s="47"/>
      <c r="H1967" s="46"/>
      <c r="I1967" s="47"/>
      <c r="J1967" s="47"/>
      <c r="K1967" s="47"/>
      <c r="L1967" s="47"/>
      <c r="M1967" s="47"/>
      <c r="N1967" s="47"/>
      <c r="O1967" s="47"/>
      <c r="P1967" s="45" t="str">
        <f aca="false">IF($A1967="","",IF(COUNTIF(Accounts!$C$2:$C$201,$A1967)+COUNTIF('Service Principals'!$C$2:$C$201,$A1967)+COUNTIF('Managed Identities'!$C$2:$C$201,$A1967)&gt;0,"Yes","NOT IN INVENTORY"))</f>
        <v/>
      </c>
    </row>
    <row r="1968" customFormat="false" ht="15" hidden="false" customHeight="false" outlineLevel="0" collapsed="false">
      <c r="A1968" s="46"/>
      <c r="B1968" s="47"/>
      <c r="C1968" s="47"/>
      <c r="D1968" s="46"/>
      <c r="E1968" s="47"/>
      <c r="F1968" s="47"/>
      <c r="G1968" s="47"/>
      <c r="H1968" s="46"/>
      <c r="I1968" s="47"/>
      <c r="J1968" s="47"/>
      <c r="K1968" s="47"/>
      <c r="L1968" s="47"/>
      <c r="M1968" s="47"/>
      <c r="N1968" s="47"/>
      <c r="O1968" s="47"/>
      <c r="P1968" s="45" t="str">
        <f aca="false">IF($A1968="","",IF(COUNTIF(Accounts!$C$2:$C$201,$A1968)+COUNTIF('Service Principals'!$C$2:$C$201,$A1968)+COUNTIF('Managed Identities'!$C$2:$C$201,$A1968)&gt;0,"Yes","NOT IN INVENTORY"))</f>
        <v/>
      </c>
    </row>
    <row r="1969" customFormat="false" ht="15" hidden="false" customHeight="false" outlineLevel="0" collapsed="false">
      <c r="A1969" s="46"/>
      <c r="B1969" s="47"/>
      <c r="C1969" s="47"/>
      <c r="D1969" s="46"/>
      <c r="E1969" s="47"/>
      <c r="F1969" s="47"/>
      <c r="G1969" s="47"/>
      <c r="H1969" s="46"/>
      <c r="I1969" s="47"/>
      <c r="J1969" s="47"/>
      <c r="K1969" s="47"/>
      <c r="L1969" s="47"/>
      <c r="M1969" s="47"/>
      <c r="N1969" s="47"/>
      <c r="O1969" s="47"/>
      <c r="P1969" s="45" t="str">
        <f aca="false">IF($A1969="","",IF(COUNTIF(Accounts!$C$2:$C$201,$A1969)+COUNTIF('Service Principals'!$C$2:$C$201,$A1969)+COUNTIF('Managed Identities'!$C$2:$C$201,$A1969)&gt;0,"Yes","NOT IN INVENTORY"))</f>
        <v/>
      </c>
    </row>
    <row r="1970" customFormat="false" ht="15" hidden="false" customHeight="false" outlineLevel="0" collapsed="false">
      <c r="A1970" s="46"/>
      <c r="B1970" s="47"/>
      <c r="C1970" s="47"/>
      <c r="D1970" s="46"/>
      <c r="E1970" s="47"/>
      <c r="F1970" s="47"/>
      <c r="G1970" s="47"/>
      <c r="H1970" s="46"/>
      <c r="I1970" s="47"/>
      <c r="J1970" s="47"/>
      <c r="K1970" s="47"/>
      <c r="L1970" s="47"/>
      <c r="M1970" s="47"/>
      <c r="N1970" s="47"/>
      <c r="O1970" s="47"/>
      <c r="P1970" s="45" t="str">
        <f aca="false">IF($A1970="","",IF(COUNTIF(Accounts!$C$2:$C$201,$A1970)+COUNTIF('Service Principals'!$C$2:$C$201,$A1970)+COUNTIF('Managed Identities'!$C$2:$C$201,$A1970)&gt;0,"Yes","NOT IN INVENTORY"))</f>
        <v/>
      </c>
    </row>
    <row r="1971" customFormat="false" ht="15" hidden="false" customHeight="false" outlineLevel="0" collapsed="false">
      <c r="A1971" s="46"/>
      <c r="B1971" s="47"/>
      <c r="C1971" s="47"/>
      <c r="D1971" s="46"/>
      <c r="E1971" s="47"/>
      <c r="F1971" s="47"/>
      <c r="G1971" s="47"/>
      <c r="H1971" s="46"/>
      <c r="I1971" s="47"/>
      <c r="J1971" s="47"/>
      <c r="K1971" s="47"/>
      <c r="L1971" s="47"/>
      <c r="M1971" s="47"/>
      <c r="N1971" s="47"/>
      <c r="O1971" s="47"/>
      <c r="P1971" s="45" t="str">
        <f aca="false">IF($A1971="","",IF(COUNTIF(Accounts!$C$2:$C$201,$A1971)+COUNTIF('Service Principals'!$C$2:$C$201,$A1971)+COUNTIF('Managed Identities'!$C$2:$C$201,$A1971)&gt;0,"Yes","NOT IN INVENTORY"))</f>
        <v/>
      </c>
    </row>
    <row r="1972" customFormat="false" ht="15" hidden="false" customHeight="false" outlineLevel="0" collapsed="false">
      <c r="A1972" s="46"/>
      <c r="B1972" s="47"/>
      <c r="C1972" s="47"/>
      <c r="D1972" s="46"/>
      <c r="E1972" s="47"/>
      <c r="F1972" s="47"/>
      <c r="G1972" s="47"/>
      <c r="H1972" s="46"/>
      <c r="I1972" s="47"/>
      <c r="J1972" s="47"/>
      <c r="K1972" s="47"/>
      <c r="L1972" s="47"/>
      <c r="M1972" s="47"/>
      <c r="N1972" s="47"/>
      <c r="O1972" s="47"/>
      <c r="P1972" s="45" t="str">
        <f aca="false">IF($A1972="","",IF(COUNTIF(Accounts!$C$2:$C$201,$A1972)+COUNTIF('Service Principals'!$C$2:$C$201,$A1972)+COUNTIF('Managed Identities'!$C$2:$C$201,$A1972)&gt;0,"Yes","NOT IN INVENTORY"))</f>
        <v/>
      </c>
    </row>
    <row r="1973" customFormat="false" ht="15" hidden="false" customHeight="false" outlineLevel="0" collapsed="false">
      <c r="A1973" s="46"/>
      <c r="B1973" s="47"/>
      <c r="C1973" s="47"/>
      <c r="D1973" s="46"/>
      <c r="E1973" s="47"/>
      <c r="F1973" s="47"/>
      <c r="G1973" s="47"/>
      <c r="H1973" s="46"/>
      <c r="I1973" s="47"/>
      <c r="J1973" s="47"/>
      <c r="K1973" s="47"/>
      <c r="L1973" s="47"/>
      <c r="M1973" s="47"/>
      <c r="N1973" s="47"/>
      <c r="O1973" s="47"/>
      <c r="P1973" s="45" t="str">
        <f aca="false">IF($A1973="","",IF(COUNTIF(Accounts!$C$2:$C$201,$A1973)+COUNTIF('Service Principals'!$C$2:$C$201,$A1973)+COUNTIF('Managed Identities'!$C$2:$C$201,$A1973)&gt;0,"Yes","NOT IN INVENTORY"))</f>
        <v/>
      </c>
    </row>
    <row r="1974" customFormat="false" ht="15" hidden="false" customHeight="false" outlineLevel="0" collapsed="false">
      <c r="A1974" s="46"/>
      <c r="B1974" s="47"/>
      <c r="C1974" s="47"/>
      <c r="D1974" s="46"/>
      <c r="E1974" s="47"/>
      <c r="F1974" s="47"/>
      <c r="G1974" s="47"/>
      <c r="H1974" s="46"/>
      <c r="I1974" s="47"/>
      <c r="J1974" s="47"/>
      <c r="K1974" s="47"/>
      <c r="L1974" s="47"/>
      <c r="M1974" s="47"/>
      <c r="N1974" s="47"/>
      <c r="O1974" s="47"/>
      <c r="P1974" s="45" t="str">
        <f aca="false">IF($A1974="","",IF(COUNTIF(Accounts!$C$2:$C$201,$A1974)+COUNTIF('Service Principals'!$C$2:$C$201,$A1974)+COUNTIF('Managed Identities'!$C$2:$C$201,$A1974)&gt;0,"Yes","NOT IN INVENTORY"))</f>
        <v/>
      </c>
    </row>
    <row r="1975" customFormat="false" ht="15" hidden="false" customHeight="false" outlineLevel="0" collapsed="false">
      <c r="A1975" s="46"/>
      <c r="B1975" s="47"/>
      <c r="C1975" s="47"/>
      <c r="D1975" s="46"/>
      <c r="E1975" s="47"/>
      <c r="F1975" s="47"/>
      <c r="G1975" s="47"/>
      <c r="H1975" s="46"/>
      <c r="I1975" s="47"/>
      <c r="J1975" s="47"/>
      <c r="K1975" s="47"/>
      <c r="L1975" s="47"/>
      <c r="M1975" s="47"/>
      <c r="N1975" s="47"/>
      <c r="O1975" s="47"/>
      <c r="P1975" s="45" t="str">
        <f aca="false">IF($A1975="","",IF(COUNTIF(Accounts!$C$2:$C$201,$A1975)+COUNTIF('Service Principals'!$C$2:$C$201,$A1975)+COUNTIF('Managed Identities'!$C$2:$C$201,$A1975)&gt;0,"Yes","NOT IN INVENTORY"))</f>
        <v/>
      </c>
    </row>
    <row r="1976" customFormat="false" ht="15" hidden="false" customHeight="false" outlineLevel="0" collapsed="false">
      <c r="A1976" s="46"/>
      <c r="B1976" s="47"/>
      <c r="C1976" s="47"/>
      <c r="D1976" s="46"/>
      <c r="E1976" s="47"/>
      <c r="F1976" s="47"/>
      <c r="G1976" s="47"/>
      <c r="H1976" s="46"/>
      <c r="I1976" s="47"/>
      <c r="J1976" s="47"/>
      <c r="K1976" s="47"/>
      <c r="L1976" s="47"/>
      <c r="M1976" s="47"/>
      <c r="N1976" s="47"/>
      <c r="O1976" s="47"/>
      <c r="P1976" s="45" t="str">
        <f aca="false">IF($A1976="","",IF(COUNTIF(Accounts!$C$2:$C$201,$A1976)+COUNTIF('Service Principals'!$C$2:$C$201,$A1976)+COUNTIF('Managed Identities'!$C$2:$C$201,$A1976)&gt;0,"Yes","NOT IN INVENTORY"))</f>
        <v/>
      </c>
    </row>
    <row r="1977" customFormat="false" ht="15" hidden="false" customHeight="false" outlineLevel="0" collapsed="false">
      <c r="A1977" s="46"/>
      <c r="B1977" s="47"/>
      <c r="C1977" s="47"/>
      <c r="D1977" s="46"/>
      <c r="E1977" s="47"/>
      <c r="F1977" s="47"/>
      <c r="G1977" s="47"/>
      <c r="H1977" s="46"/>
      <c r="I1977" s="47"/>
      <c r="J1977" s="47"/>
      <c r="K1977" s="47"/>
      <c r="L1977" s="47"/>
      <c r="M1977" s="47"/>
      <c r="N1977" s="47"/>
      <c r="O1977" s="47"/>
      <c r="P1977" s="45" t="str">
        <f aca="false">IF($A1977="","",IF(COUNTIF(Accounts!$C$2:$C$201,$A1977)+COUNTIF('Service Principals'!$C$2:$C$201,$A1977)+COUNTIF('Managed Identities'!$C$2:$C$201,$A1977)&gt;0,"Yes","NOT IN INVENTORY"))</f>
        <v/>
      </c>
    </row>
    <row r="1978" customFormat="false" ht="15" hidden="false" customHeight="false" outlineLevel="0" collapsed="false">
      <c r="A1978" s="46"/>
      <c r="B1978" s="47"/>
      <c r="C1978" s="47"/>
      <c r="D1978" s="46"/>
      <c r="E1978" s="47"/>
      <c r="F1978" s="47"/>
      <c r="G1978" s="47"/>
      <c r="H1978" s="46"/>
      <c r="I1978" s="47"/>
      <c r="J1978" s="47"/>
      <c r="K1978" s="47"/>
      <c r="L1978" s="47"/>
      <c r="M1978" s="47"/>
      <c r="N1978" s="47"/>
      <c r="O1978" s="47"/>
      <c r="P1978" s="45" t="str">
        <f aca="false">IF($A1978="","",IF(COUNTIF(Accounts!$C$2:$C$201,$A1978)+COUNTIF('Service Principals'!$C$2:$C$201,$A1978)+COUNTIF('Managed Identities'!$C$2:$C$201,$A1978)&gt;0,"Yes","NOT IN INVENTORY"))</f>
        <v/>
      </c>
    </row>
    <row r="1979" customFormat="false" ht="15" hidden="false" customHeight="false" outlineLevel="0" collapsed="false">
      <c r="A1979" s="46"/>
      <c r="B1979" s="47"/>
      <c r="C1979" s="47"/>
      <c r="D1979" s="46"/>
      <c r="E1979" s="47"/>
      <c r="F1979" s="47"/>
      <c r="G1979" s="47"/>
      <c r="H1979" s="46"/>
      <c r="I1979" s="47"/>
      <c r="J1979" s="47"/>
      <c r="K1979" s="47"/>
      <c r="L1979" s="47"/>
      <c r="M1979" s="47"/>
      <c r="N1979" s="47"/>
      <c r="O1979" s="47"/>
      <c r="P1979" s="45" t="str">
        <f aca="false">IF($A1979="","",IF(COUNTIF(Accounts!$C$2:$C$201,$A1979)+COUNTIF('Service Principals'!$C$2:$C$201,$A1979)+COUNTIF('Managed Identities'!$C$2:$C$201,$A1979)&gt;0,"Yes","NOT IN INVENTORY"))</f>
        <v/>
      </c>
    </row>
    <row r="1980" customFormat="false" ht="15" hidden="false" customHeight="false" outlineLevel="0" collapsed="false">
      <c r="A1980" s="46"/>
      <c r="B1980" s="47"/>
      <c r="C1980" s="47"/>
      <c r="D1980" s="46"/>
      <c r="E1980" s="47"/>
      <c r="F1980" s="47"/>
      <c r="G1980" s="47"/>
      <c r="H1980" s="46"/>
      <c r="I1980" s="47"/>
      <c r="J1980" s="47"/>
      <c r="K1980" s="47"/>
      <c r="L1980" s="47"/>
      <c r="M1980" s="47"/>
      <c r="N1980" s="47"/>
      <c r="O1980" s="47"/>
      <c r="P1980" s="45" t="str">
        <f aca="false">IF($A1980="","",IF(COUNTIF(Accounts!$C$2:$C$201,$A1980)+COUNTIF('Service Principals'!$C$2:$C$201,$A1980)+COUNTIF('Managed Identities'!$C$2:$C$201,$A1980)&gt;0,"Yes","NOT IN INVENTORY"))</f>
        <v/>
      </c>
    </row>
    <row r="1981" customFormat="false" ht="15" hidden="false" customHeight="false" outlineLevel="0" collapsed="false">
      <c r="A1981" s="46"/>
      <c r="B1981" s="47"/>
      <c r="C1981" s="47"/>
      <c r="D1981" s="46"/>
      <c r="E1981" s="47"/>
      <c r="F1981" s="47"/>
      <c r="G1981" s="47"/>
      <c r="H1981" s="46"/>
      <c r="I1981" s="47"/>
      <c r="J1981" s="47"/>
      <c r="K1981" s="47"/>
      <c r="L1981" s="47"/>
      <c r="M1981" s="47"/>
      <c r="N1981" s="47"/>
      <c r="O1981" s="47"/>
      <c r="P1981" s="45" t="str">
        <f aca="false">IF($A1981="","",IF(COUNTIF(Accounts!$C$2:$C$201,$A1981)+COUNTIF('Service Principals'!$C$2:$C$201,$A1981)+COUNTIF('Managed Identities'!$C$2:$C$201,$A1981)&gt;0,"Yes","NOT IN INVENTORY"))</f>
        <v/>
      </c>
    </row>
    <row r="1982" customFormat="false" ht="15" hidden="false" customHeight="false" outlineLevel="0" collapsed="false">
      <c r="A1982" s="46"/>
      <c r="B1982" s="47"/>
      <c r="C1982" s="47"/>
      <c r="D1982" s="46"/>
      <c r="E1982" s="47"/>
      <c r="F1982" s="47"/>
      <c r="G1982" s="47"/>
      <c r="H1982" s="46"/>
      <c r="I1982" s="47"/>
      <c r="J1982" s="47"/>
      <c r="K1982" s="47"/>
      <c r="L1982" s="47"/>
      <c r="M1982" s="47"/>
      <c r="N1982" s="47"/>
      <c r="O1982" s="47"/>
      <c r="P1982" s="45" t="str">
        <f aca="false">IF($A1982="","",IF(COUNTIF(Accounts!$C$2:$C$201,$A1982)+COUNTIF('Service Principals'!$C$2:$C$201,$A1982)+COUNTIF('Managed Identities'!$C$2:$C$201,$A1982)&gt;0,"Yes","NOT IN INVENTORY"))</f>
        <v/>
      </c>
    </row>
    <row r="1983" customFormat="false" ht="15" hidden="false" customHeight="false" outlineLevel="0" collapsed="false">
      <c r="A1983" s="46"/>
      <c r="B1983" s="47"/>
      <c r="C1983" s="47"/>
      <c r="D1983" s="46"/>
      <c r="E1983" s="47"/>
      <c r="F1983" s="47"/>
      <c r="G1983" s="47"/>
      <c r="H1983" s="46"/>
      <c r="I1983" s="47"/>
      <c r="J1983" s="47"/>
      <c r="K1983" s="47"/>
      <c r="L1983" s="47"/>
      <c r="M1983" s="47"/>
      <c r="N1983" s="47"/>
      <c r="O1983" s="47"/>
      <c r="P1983" s="45" t="str">
        <f aca="false">IF($A1983="","",IF(COUNTIF(Accounts!$C$2:$C$201,$A1983)+COUNTIF('Service Principals'!$C$2:$C$201,$A1983)+COUNTIF('Managed Identities'!$C$2:$C$201,$A1983)&gt;0,"Yes","NOT IN INVENTORY"))</f>
        <v/>
      </c>
    </row>
    <row r="1984" customFormat="false" ht="15" hidden="false" customHeight="false" outlineLevel="0" collapsed="false">
      <c r="A1984" s="46"/>
      <c r="B1984" s="47"/>
      <c r="C1984" s="47"/>
      <c r="D1984" s="46"/>
      <c r="E1984" s="47"/>
      <c r="F1984" s="47"/>
      <c r="G1984" s="47"/>
      <c r="H1984" s="46"/>
      <c r="I1984" s="47"/>
      <c r="J1984" s="47"/>
      <c r="K1984" s="47"/>
      <c r="L1984" s="47"/>
      <c r="M1984" s="47"/>
      <c r="N1984" s="47"/>
      <c r="O1984" s="47"/>
      <c r="P1984" s="45" t="str">
        <f aca="false">IF($A1984="","",IF(COUNTIF(Accounts!$C$2:$C$201,$A1984)+COUNTIF('Service Principals'!$C$2:$C$201,$A1984)+COUNTIF('Managed Identities'!$C$2:$C$201,$A1984)&gt;0,"Yes","NOT IN INVENTORY"))</f>
        <v/>
      </c>
    </row>
    <row r="1985" customFormat="false" ht="15" hidden="false" customHeight="false" outlineLevel="0" collapsed="false">
      <c r="A1985" s="46"/>
      <c r="B1985" s="47"/>
      <c r="C1985" s="47"/>
      <c r="D1985" s="46"/>
      <c r="E1985" s="47"/>
      <c r="F1985" s="47"/>
      <c r="G1985" s="47"/>
      <c r="H1985" s="46"/>
      <c r="I1985" s="47"/>
      <c r="J1985" s="47"/>
      <c r="K1985" s="47"/>
      <c r="L1985" s="47"/>
      <c r="M1985" s="47"/>
      <c r="N1985" s="47"/>
      <c r="O1985" s="47"/>
      <c r="P1985" s="45" t="str">
        <f aca="false">IF($A1985="","",IF(COUNTIF(Accounts!$C$2:$C$201,$A1985)+COUNTIF('Service Principals'!$C$2:$C$201,$A1985)+COUNTIF('Managed Identities'!$C$2:$C$201,$A1985)&gt;0,"Yes","NOT IN INVENTORY"))</f>
        <v/>
      </c>
    </row>
    <row r="1986" customFormat="false" ht="15" hidden="false" customHeight="false" outlineLevel="0" collapsed="false">
      <c r="A1986" s="46"/>
      <c r="B1986" s="47"/>
      <c r="C1986" s="47"/>
      <c r="D1986" s="46"/>
      <c r="E1986" s="47"/>
      <c r="F1986" s="47"/>
      <c r="G1986" s="47"/>
      <c r="H1986" s="46"/>
      <c r="I1986" s="47"/>
      <c r="J1986" s="47"/>
      <c r="K1986" s="47"/>
      <c r="L1986" s="47"/>
      <c r="M1986" s="47"/>
      <c r="N1986" s="47"/>
      <c r="O1986" s="47"/>
      <c r="P1986" s="45" t="str">
        <f aca="false">IF($A1986="","",IF(COUNTIF(Accounts!$C$2:$C$201,$A1986)+COUNTIF('Service Principals'!$C$2:$C$201,$A1986)+COUNTIF('Managed Identities'!$C$2:$C$201,$A1986)&gt;0,"Yes","NOT IN INVENTORY"))</f>
        <v/>
      </c>
    </row>
    <row r="1987" customFormat="false" ht="15" hidden="false" customHeight="false" outlineLevel="0" collapsed="false">
      <c r="A1987" s="46"/>
      <c r="B1987" s="47"/>
      <c r="C1987" s="47"/>
      <c r="D1987" s="46"/>
      <c r="E1987" s="47"/>
      <c r="F1987" s="47"/>
      <c r="G1987" s="47"/>
      <c r="H1987" s="46"/>
      <c r="I1987" s="47"/>
      <c r="J1987" s="47"/>
      <c r="K1987" s="47"/>
      <c r="L1987" s="47"/>
      <c r="M1987" s="47"/>
      <c r="N1987" s="47"/>
      <c r="O1987" s="47"/>
      <c r="P1987" s="45" t="str">
        <f aca="false">IF($A1987="","",IF(COUNTIF(Accounts!$C$2:$C$201,$A1987)+COUNTIF('Service Principals'!$C$2:$C$201,$A1987)+COUNTIF('Managed Identities'!$C$2:$C$201,$A1987)&gt;0,"Yes","NOT IN INVENTORY"))</f>
        <v/>
      </c>
    </row>
    <row r="1988" customFormat="false" ht="15" hidden="false" customHeight="false" outlineLevel="0" collapsed="false">
      <c r="A1988" s="46"/>
      <c r="B1988" s="47"/>
      <c r="C1988" s="47"/>
      <c r="D1988" s="46"/>
      <c r="E1988" s="47"/>
      <c r="F1988" s="47"/>
      <c r="G1988" s="47"/>
      <c r="H1988" s="46"/>
      <c r="I1988" s="47"/>
      <c r="J1988" s="47"/>
      <c r="K1988" s="47"/>
      <c r="L1988" s="47"/>
      <c r="M1988" s="47"/>
      <c r="N1988" s="47"/>
      <c r="O1988" s="47"/>
      <c r="P1988" s="45" t="str">
        <f aca="false">IF($A1988="","",IF(COUNTIF(Accounts!$C$2:$C$201,$A1988)+COUNTIF('Service Principals'!$C$2:$C$201,$A1988)+COUNTIF('Managed Identities'!$C$2:$C$201,$A1988)&gt;0,"Yes","NOT IN INVENTORY"))</f>
        <v/>
      </c>
    </row>
    <row r="1989" customFormat="false" ht="15" hidden="false" customHeight="false" outlineLevel="0" collapsed="false">
      <c r="A1989" s="46"/>
      <c r="B1989" s="47"/>
      <c r="C1989" s="47"/>
      <c r="D1989" s="46"/>
      <c r="E1989" s="47"/>
      <c r="F1989" s="47"/>
      <c r="G1989" s="47"/>
      <c r="H1989" s="46"/>
      <c r="I1989" s="47"/>
      <c r="J1989" s="47"/>
      <c r="K1989" s="47"/>
      <c r="L1989" s="47"/>
      <c r="M1989" s="47"/>
      <c r="N1989" s="47"/>
      <c r="O1989" s="47"/>
      <c r="P1989" s="45" t="str">
        <f aca="false">IF($A1989="","",IF(COUNTIF(Accounts!$C$2:$C$201,$A1989)+COUNTIF('Service Principals'!$C$2:$C$201,$A1989)+COUNTIF('Managed Identities'!$C$2:$C$201,$A1989)&gt;0,"Yes","NOT IN INVENTORY"))</f>
        <v/>
      </c>
    </row>
    <row r="1990" customFormat="false" ht="15" hidden="false" customHeight="false" outlineLevel="0" collapsed="false">
      <c r="A1990" s="46"/>
      <c r="B1990" s="47"/>
      <c r="C1990" s="47"/>
      <c r="D1990" s="46"/>
      <c r="E1990" s="47"/>
      <c r="F1990" s="47"/>
      <c r="G1990" s="47"/>
      <c r="H1990" s="46"/>
      <c r="I1990" s="47"/>
      <c r="J1990" s="47"/>
      <c r="K1990" s="47"/>
      <c r="L1990" s="47"/>
      <c r="M1990" s="47"/>
      <c r="N1990" s="47"/>
      <c r="O1990" s="47"/>
      <c r="P1990" s="45" t="str">
        <f aca="false">IF($A1990="","",IF(COUNTIF(Accounts!$C$2:$C$201,$A1990)+COUNTIF('Service Principals'!$C$2:$C$201,$A1990)+COUNTIF('Managed Identities'!$C$2:$C$201,$A1990)&gt;0,"Yes","NOT IN INVENTORY"))</f>
        <v/>
      </c>
    </row>
    <row r="1991" customFormat="false" ht="15" hidden="false" customHeight="false" outlineLevel="0" collapsed="false">
      <c r="A1991" s="46"/>
      <c r="B1991" s="47"/>
      <c r="C1991" s="47"/>
      <c r="D1991" s="46"/>
      <c r="E1991" s="47"/>
      <c r="F1991" s="47"/>
      <c r="G1991" s="47"/>
      <c r="H1991" s="46"/>
      <c r="I1991" s="47"/>
      <c r="J1991" s="47"/>
      <c r="K1991" s="47"/>
      <c r="L1991" s="47"/>
      <c r="M1991" s="47"/>
      <c r="N1991" s="47"/>
      <c r="O1991" s="47"/>
      <c r="P1991" s="45" t="str">
        <f aca="false">IF($A1991="","",IF(COUNTIF(Accounts!$C$2:$C$201,$A1991)+COUNTIF('Service Principals'!$C$2:$C$201,$A1991)+COUNTIF('Managed Identities'!$C$2:$C$201,$A1991)&gt;0,"Yes","NOT IN INVENTORY"))</f>
        <v/>
      </c>
    </row>
    <row r="1992" customFormat="false" ht="15" hidden="false" customHeight="false" outlineLevel="0" collapsed="false">
      <c r="A1992" s="46"/>
      <c r="B1992" s="47"/>
      <c r="C1992" s="47"/>
      <c r="D1992" s="46"/>
      <c r="E1992" s="47"/>
      <c r="F1992" s="47"/>
      <c r="G1992" s="47"/>
      <c r="H1992" s="46"/>
      <c r="I1992" s="47"/>
      <c r="J1992" s="47"/>
      <c r="K1992" s="47"/>
      <c r="L1992" s="47"/>
      <c r="M1992" s="47"/>
      <c r="N1992" s="47"/>
      <c r="O1992" s="47"/>
      <c r="P1992" s="45" t="str">
        <f aca="false">IF($A1992="","",IF(COUNTIF(Accounts!$C$2:$C$201,$A1992)+COUNTIF('Service Principals'!$C$2:$C$201,$A1992)+COUNTIF('Managed Identities'!$C$2:$C$201,$A1992)&gt;0,"Yes","NOT IN INVENTORY"))</f>
        <v/>
      </c>
    </row>
    <row r="1993" customFormat="false" ht="15" hidden="false" customHeight="false" outlineLevel="0" collapsed="false">
      <c r="A1993" s="46"/>
      <c r="B1993" s="47"/>
      <c r="C1993" s="47"/>
      <c r="D1993" s="46"/>
      <c r="E1993" s="47"/>
      <c r="F1993" s="47"/>
      <c r="G1993" s="47"/>
      <c r="H1993" s="46"/>
      <c r="I1993" s="47"/>
      <c r="J1993" s="47"/>
      <c r="K1993" s="47"/>
      <c r="L1993" s="47"/>
      <c r="M1993" s="47"/>
      <c r="N1993" s="47"/>
      <c r="O1993" s="47"/>
      <c r="P1993" s="45" t="str">
        <f aca="false">IF($A1993="","",IF(COUNTIF(Accounts!$C$2:$C$201,$A1993)+COUNTIF('Service Principals'!$C$2:$C$201,$A1993)+COUNTIF('Managed Identities'!$C$2:$C$201,$A1993)&gt;0,"Yes","NOT IN INVENTORY"))</f>
        <v/>
      </c>
    </row>
    <row r="1994" customFormat="false" ht="15" hidden="false" customHeight="false" outlineLevel="0" collapsed="false">
      <c r="A1994" s="46"/>
      <c r="B1994" s="47"/>
      <c r="C1994" s="47"/>
      <c r="D1994" s="46"/>
      <c r="E1994" s="47"/>
      <c r="F1994" s="47"/>
      <c r="G1994" s="47"/>
      <c r="H1994" s="46"/>
      <c r="I1994" s="47"/>
      <c r="J1994" s="47"/>
      <c r="K1994" s="47"/>
      <c r="L1994" s="47"/>
      <c r="M1994" s="47"/>
      <c r="N1994" s="47"/>
      <c r="O1994" s="47"/>
      <c r="P1994" s="45" t="str">
        <f aca="false">IF($A1994="","",IF(COUNTIF(Accounts!$C$2:$C$201,$A1994)+COUNTIF('Service Principals'!$C$2:$C$201,$A1994)+COUNTIF('Managed Identities'!$C$2:$C$201,$A1994)&gt;0,"Yes","NOT IN INVENTORY"))</f>
        <v/>
      </c>
    </row>
    <row r="1995" customFormat="false" ht="15" hidden="false" customHeight="false" outlineLevel="0" collapsed="false">
      <c r="A1995" s="46"/>
      <c r="B1995" s="47"/>
      <c r="C1995" s="47"/>
      <c r="D1995" s="46"/>
      <c r="E1995" s="47"/>
      <c r="F1995" s="47"/>
      <c r="G1995" s="47"/>
      <c r="H1995" s="46"/>
      <c r="I1995" s="47"/>
      <c r="J1995" s="47"/>
      <c r="K1995" s="47"/>
      <c r="L1995" s="47"/>
      <c r="M1995" s="47"/>
      <c r="N1995" s="47"/>
      <c r="O1995" s="47"/>
      <c r="P1995" s="45" t="str">
        <f aca="false">IF($A1995="","",IF(COUNTIF(Accounts!$C$2:$C$201,$A1995)+COUNTIF('Service Principals'!$C$2:$C$201,$A1995)+COUNTIF('Managed Identities'!$C$2:$C$201,$A1995)&gt;0,"Yes","NOT IN INVENTORY"))</f>
        <v/>
      </c>
    </row>
    <row r="1996" customFormat="false" ht="15" hidden="false" customHeight="false" outlineLevel="0" collapsed="false">
      <c r="A1996" s="46"/>
      <c r="B1996" s="47"/>
      <c r="C1996" s="47"/>
      <c r="D1996" s="46"/>
      <c r="E1996" s="47"/>
      <c r="F1996" s="47"/>
      <c r="G1996" s="47"/>
      <c r="H1996" s="46"/>
      <c r="I1996" s="47"/>
      <c r="J1996" s="47"/>
      <c r="K1996" s="47"/>
      <c r="L1996" s="47"/>
      <c r="M1996" s="47"/>
      <c r="N1996" s="47"/>
      <c r="O1996" s="47"/>
      <c r="P1996" s="45" t="str">
        <f aca="false">IF($A1996="","",IF(COUNTIF(Accounts!$C$2:$C$201,$A1996)+COUNTIF('Service Principals'!$C$2:$C$201,$A1996)+COUNTIF('Managed Identities'!$C$2:$C$201,$A1996)&gt;0,"Yes","NOT IN INVENTORY"))</f>
        <v/>
      </c>
    </row>
    <row r="1997" customFormat="false" ht="15" hidden="false" customHeight="false" outlineLevel="0" collapsed="false">
      <c r="A1997" s="46"/>
      <c r="B1997" s="47"/>
      <c r="C1997" s="47"/>
      <c r="D1997" s="46"/>
      <c r="E1997" s="47"/>
      <c r="F1997" s="47"/>
      <c r="G1997" s="47"/>
      <c r="H1997" s="46"/>
      <c r="I1997" s="47"/>
      <c r="J1997" s="47"/>
      <c r="K1997" s="47"/>
      <c r="L1997" s="47"/>
      <c r="M1997" s="47"/>
      <c r="N1997" s="47"/>
      <c r="O1997" s="47"/>
      <c r="P1997" s="45" t="str">
        <f aca="false">IF($A1997="","",IF(COUNTIF(Accounts!$C$2:$C$201,$A1997)+COUNTIF('Service Principals'!$C$2:$C$201,$A1997)+COUNTIF('Managed Identities'!$C$2:$C$201,$A1997)&gt;0,"Yes","NOT IN INVENTORY"))</f>
        <v/>
      </c>
    </row>
    <row r="1998" customFormat="false" ht="15" hidden="false" customHeight="false" outlineLevel="0" collapsed="false">
      <c r="A1998" s="46"/>
      <c r="B1998" s="47"/>
      <c r="C1998" s="47"/>
      <c r="D1998" s="46"/>
      <c r="E1998" s="47"/>
      <c r="F1998" s="47"/>
      <c r="G1998" s="47"/>
      <c r="H1998" s="46"/>
      <c r="I1998" s="47"/>
      <c r="J1998" s="47"/>
      <c r="K1998" s="47"/>
      <c r="L1998" s="47"/>
      <c r="M1998" s="47"/>
      <c r="N1998" s="47"/>
      <c r="O1998" s="47"/>
      <c r="P1998" s="45" t="str">
        <f aca="false">IF($A1998="","",IF(COUNTIF(Accounts!$C$2:$C$201,$A1998)+COUNTIF('Service Principals'!$C$2:$C$201,$A1998)+COUNTIF('Managed Identities'!$C$2:$C$201,$A1998)&gt;0,"Yes","NOT IN INVENTORY"))</f>
        <v/>
      </c>
    </row>
    <row r="1999" customFormat="false" ht="15" hidden="false" customHeight="false" outlineLevel="0" collapsed="false">
      <c r="A1999" s="46"/>
      <c r="B1999" s="47"/>
      <c r="C1999" s="47"/>
      <c r="D1999" s="46"/>
      <c r="E1999" s="47"/>
      <c r="F1999" s="47"/>
      <c r="G1999" s="47"/>
      <c r="H1999" s="46"/>
      <c r="I1999" s="47"/>
      <c r="J1999" s="47"/>
      <c r="K1999" s="47"/>
      <c r="L1999" s="47"/>
      <c r="M1999" s="47"/>
      <c r="N1999" s="47"/>
      <c r="O1999" s="47"/>
      <c r="P1999" s="45" t="str">
        <f aca="false">IF($A1999="","",IF(COUNTIF(Accounts!$C$2:$C$201,$A1999)+COUNTIF('Service Principals'!$C$2:$C$201,$A1999)+COUNTIF('Managed Identities'!$C$2:$C$201,$A1999)&gt;0,"Yes","NOT IN INVENTORY"))</f>
        <v/>
      </c>
    </row>
    <row r="2000" customFormat="false" ht="15" hidden="false" customHeight="false" outlineLevel="0" collapsed="false">
      <c r="A2000" s="46"/>
      <c r="B2000" s="47"/>
      <c r="C2000" s="47"/>
      <c r="D2000" s="46"/>
      <c r="E2000" s="47"/>
      <c r="F2000" s="47"/>
      <c r="G2000" s="47"/>
      <c r="H2000" s="46"/>
      <c r="I2000" s="47"/>
      <c r="J2000" s="47"/>
      <c r="K2000" s="47"/>
      <c r="L2000" s="47"/>
      <c r="M2000" s="47"/>
      <c r="N2000" s="47"/>
      <c r="O2000" s="47"/>
      <c r="P2000" s="45" t="str">
        <f aca="false">IF($A2000="","",IF(COUNTIF(Accounts!$C$2:$C$201,$A2000)+COUNTIF('Service Principals'!$C$2:$C$201,$A2000)+COUNTIF('Managed Identities'!$C$2:$C$201,$A2000)&gt;0,"Yes","NOT IN INVENTORY"))</f>
        <v/>
      </c>
    </row>
    <row r="2001" customFormat="false" ht="15" hidden="false" customHeight="false" outlineLevel="0" collapsed="false">
      <c r="A2001" s="46"/>
      <c r="B2001" s="47"/>
      <c r="C2001" s="47"/>
      <c r="D2001" s="46"/>
      <c r="E2001" s="47"/>
      <c r="F2001" s="47"/>
      <c r="G2001" s="47"/>
      <c r="H2001" s="46"/>
      <c r="I2001" s="47"/>
      <c r="J2001" s="47"/>
      <c r="K2001" s="47"/>
      <c r="L2001" s="47"/>
      <c r="M2001" s="47"/>
      <c r="N2001" s="47"/>
      <c r="O2001" s="47"/>
      <c r="P2001" s="45" t="str">
        <f aca="false">IF($A2001="","",IF(COUNTIF(Accounts!$C$2:$C$201,$A2001)+COUNTIF('Service Principals'!$C$2:$C$201,$A2001)+COUNTIF('Managed Identities'!$C$2:$C$201,$A2001)&gt;0,"Yes","NOT IN INVENTORY"))</f>
        <v/>
      </c>
    </row>
  </sheetData>
  <autoFilter ref="A1:P2001"/>
  <conditionalFormatting sqref="P2:P2001">
    <cfRule type="expression" priority="2" aboveAverage="0" equalAverage="0" bottom="0" percent="0" rank="0" text="" dxfId="14">
      <formula>P2="NOT IN INVENTORY"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K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4"/>
    <col collapsed="false" customWidth="true" hidden="false" outlineLevel="0" max="3" min="3" style="0" width="13"/>
    <col collapsed="false" customWidth="true" hidden="false" outlineLevel="0" max="4" min="4" style="0" width="15"/>
    <col collapsed="false" customWidth="true" hidden="false" outlineLevel="0" max="5" min="5" style="0" width="13"/>
    <col collapsed="false" customWidth="true" hidden="false" outlineLevel="0" max="6" min="6" style="0" width="14"/>
    <col collapsed="false" customWidth="true" hidden="false" outlineLevel="0" max="7" min="7" style="0" width="16"/>
    <col collapsed="false" customWidth="true" hidden="false" outlineLevel="0" max="9" min="8" style="0" width="17"/>
    <col collapsed="false" customWidth="true" hidden="false" outlineLevel="0" max="10" min="10" style="0" width="19"/>
    <col collapsed="false" customWidth="true" hidden="false" outlineLevel="0" max="11" min="11" style="0" width="40"/>
  </cols>
  <sheetData>
    <row r="1" customFormat="false" ht="19.7" hidden="false" customHeight="false" outlineLevel="0" collapsed="false">
      <c r="A1" s="1" t="s">
        <v>350</v>
      </c>
      <c r="B1" s="1"/>
      <c r="C1" s="1"/>
      <c r="D1" s="1"/>
      <c r="E1" s="1"/>
      <c r="F1" s="1"/>
      <c r="G1" s="1"/>
      <c r="H1" s="1"/>
      <c r="I1" s="1"/>
      <c r="J1" s="1"/>
      <c r="K1" s="1"/>
    </row>
    <row r="2" customFormat="false" ht="15" hidden="false" customHeight="false" outlineLevel="0" collapsed="false">
      <c r="A2" s="48" t="s">
        <v>351</v>
      </c>
      <c r="B2" s="48"/>
      <c r="C2" s="48"/>
      <c r="D2" s="48"/>
      <c r="E2" s="48"/>
      <c r="F2" s="48"/>
      <c r="G2" s="48"/>
      <c r="H2" s="48"/>
      <c r="I2" s="48"/>
      <c r="J2" s="48"/>
      <c r="K2" s="48"/>
    </row>
    <row r="3" customFormat="false" ht="39.75" hidden="false" customHeight="true" outlineLevel="0" collapsed="false">
      <c r="A3" s="49" t="s">
        <v>352</v>
      </c>
      <c r="B3" s="49" t="s">
        <v>353</v>
      </c>
      <c r="C3" s="49" t="s">
        <v>354</v>
      </c>
      <c r="D3" s="49" t="s">
        <v>355</v>
      </c>
      <c r="E3" s="49" t="s">
        <v>356</v>
      </c>
      <c r="F3" s="49" t="s">
        <v>357</v>
      </c>
      <c r="G3" s="49" t="s">
        <v>358</v>
      </c>
      <c r="H3" s="49" t="s">
        <v>359</v>
      </c>
      <c r="I3" s="49" t="s">
        <v>360</v>
      </c>
      <c r="J3" s="49" t="s">
        <v>361</v>
      </c>
      <c r="K3" s="49" t="s">
        <v>225</v>
      </c>
    </row>
    <row r="4" customFormat="false" ht="15" hidden="false" customHeight="false" outlineLevel="0" collapsed="false">
      <c r="A4" s="50" t="n">
        <f aca="true">TODAY()</f>
        <v>46239</v>
      </c>
      <c r="B4" s="51" t="n">
        <f aca="false">(Dashboard!$C$6+Dashboard!$D$6+Dashboard!$E$6)</f>
        <v>3</v>
      </c>
      <c r="C4" s="51" t="n">
        <f aca="false">(Dashboard!$C$11+Dashboard!$D$11+Dashboard!$E$11)</f>
        <v>2</v>
      </c>
      <c r="D4" s="51" t="n">
        <f aca="false">(Dashboard!$C$12+Dashboard!$D$12+Dashboard!$E$12)</f>
        <v>0</v>
      </c>
      <c r="E4" s="51" t="n">
        <f aca="false">(Dashboard!$C$13+Dashboard!$D$13+Dashboard!$E$13)</f>
        <v>0</v>
      </c>
      <c r="F4" s="51" t="n">
        <f aca="false">(Dashboard!$C$26+Dashboard!$D$26+Dashboard!$E$26)</f>
        <v>0</v>
      </c>
      <c r="G4" s="51" t="n">
        <f aca="false">Dashboard!$C$46</f>
        <v>0</v>
      </c>
      <c r="H4" s="52" t="n">
        <f aca="false">IF((Dashboard!$C$11+Dashboard!$D$11+Dashboard!$E$11)=0,"n/a",(Dashboard!$C$56+Dashboard!$D$56+Dashboard!$E$56)/(Dashboard!$C$11+Dashboard!$D$11+Dashboard!$E$11))</f>
        <v>1</v>
      </c>
      <c r="I4" s="51" t="n">
        <f aca="false">(Dashboard!$C$23+Dashboard!$D$23+Dashboard!$E$23)</f>
        <v>0</v>
      </c>
      <c r="J4" s="51" t="n">
        <f aca="false">Dashboard!$C$62</f>
        <v>0</v>
      </c>
      <c r="K4" s="53" t="s">
        <v>362</v>
      </c>
    </row>
    <row r="5" customFormat="false" ht="15" hidden="false" customHeight="false" outlineLevel="0" collapsed="false">
      <c r="A5" s="54"/>
      <c r="B5" s="8"/>
      <c r="C5" s="8"/>
      <c r="D5" s="8"/>
      <c r="E5" s="8"/>
      <c r="F5" s="8"/>
      <c r="G5" s="8"/>
      <c r="H5" s="55"/>
      <c r="I5" s="8"/>
      <c r="J5" s="8"/>
      <c r="K5" s="8"/>
    </row>
    <row r="6" customFormat="false" ht="15" hidden="false" customHeight="false" outlineLevel="0" collapsed="false">
      <c r="A6" s="54"/>
      <c r="B6" s="8"/>
      <c r="C6" s="8"/>
      <c r="D6" s="8"/>
      <c r="E6" s="8"/>
      <c r="F6" s="8"/>
      <c r="G6" s="8"/>
      <c r="H6" s="55"/>
      <c r="I6" s="8"/>
      <c r="J6" s="8"/>
      <c r="K6" s="8"/>
    </row>
    <row r="7" customFormat="false" ht="15" hidden="false" customHeight="false" outlineLevel="0" collapsed="false">
      <c r="A7" s="54"/>
      <c r="B7" s="8"/>
      <c r="C7" s="8"/>
      <c r="D7" s="8"/>
      <c r="E7" s="8"/>
      <c r="F7" s="8"/>
      <c r="G7" s="8"/>
      <c r="H7" s="55"/>
      <c r="I7" s="8"/>
      <c r="J7" s="8"/>
      <c r="K7" s="8"/>
    </row>
    <row r="8" customFormat="false" ht="15" hidden="false" customHeight="false" outlineLevel="0" collapsed="false">
      <c r="A8" s="54"/>
      <c r="B8" s="8"/>
      <c r="C8" s="8"/>
      <c r="D8" s="8"/>
      <c r="E8" s="8"/>
      <c r="F8" s="8"/>
      <c r="G8" s="8"/>
      <c r="H8" s="55"/>
      <c r="I8" s="8"/>
      <c r="J8" s="8"/>
      <c r="K8" s="8"/>
    </row>
    <row r="9" customFormat="false" ht="15" hidden="false" customHeight="false" outlineLevel="0" collapsed="false">
      <c r="A9" s="54"/>
      <c r="B9" s="8"/>
      <c r="C9" s="8"/>
      <c r="D9" s="8"/>
      <c r="E9" s="8"/>
      <c r="F9" s="8"/>
      <c r="G9" s="8"/>
      <c r="H9" s="55"/>
      <c r="I9" s="8"/>
      <c r="J9" s="8"/>
      <c r="K9" s="8"/>
    </row>
    <row r="10" customFormat="false" ht="15" hidden="false" customHeight="false" outlineLevel="0" collapsed="false">
      <c r="A10" s="54"/>
      <c r="B10" s="8"/>
      <c r="C10" s="8"/>
      <c r="D10" s="8"/>
      <c r="E10" s="8"/>
      <c r="F10" s="8"/>
      <c r="G10" s="8"/>
      <c r="H10" s="55"/>
      <c r="I10" s="8"/>
      <c r="J10" s="8"/>
      <c r="K10" s="8"/>
    </row>
    <row r="11" customFormat="false" ht="15" hidden="false" customHeight="false" outlineLevel="0" collapsed="false">
      <c r="A11" s="54"/>
      <c r="B11" s="8"/>
      <c r="C11" s="8"/>
      <c r="D11" s="8"/>
      <c r="E11" s="8"/>
      <c r="F11" s="8"/>
      <c r="G11" s="8"/>
      <c r="H11" s="55"/>
      <c r="I11" s="8"/>
      <c r="J11" s="8"/>
      <c r="K11" s="8"/>
    </row>
    <row r="12" customFormat="false" ht="15" hidden="false" customHeight="false" outlineLevel="0" collapsed="false">
      <c r="A12" s="54"/>
      <c r="B12" s="8"/>
      <c r="C12" s="8"/>
      <c r="D12" s="8"/>
      <c r="E12" s="8"/>
      <c r="F12" s="8"/>
      <c r="G12" s="8"/>
      <c r="H12" s="55"/>
      <c r="I12" s="8"/>
      <c r="J12" s="8"/>
      <c r="K12" s="8"/>
    </row>
    <row r="13" customFormat="false" ht="15" hidden="false" customHeight="false" outlineLevel="0" collapsed="false">
      <c r="A13" s="54"/>
      <c r="B13" s="8"/>
      <c r="C13" s="8"/>
      <c r="D13" s="8"/>
      <c r="E13" s="8"/>
      <c r="F13" s="8"/>
      <c r="G13" s="8"/>
      <c r="H13" s="55"/>
      <c r="I13" s="8"/>
      <c r="J13" s="8"/>
      <c r="K13" s="8"/>
    </row>
    <row r="14" customFormat="false" ht="15" hidden="false" customHeight="false" outlineLevel="0" collapsed="false">
      <c r="A14" s="54"/>
      <c r="B14" s="8"/>
      <c r="C14" s="8"/>
      <c r="D14" s="8"/>
      <c r="E14" s="8"/>
      <c r="F14" s="8"/>
      <c r="G14" s="8"/>
      <c r="H14" s="55"/>
      <c r="I14" s="8"/>
      <c r="J14" s="8"/>
      <c r="K14" s="8"/>
    </row>
    <row r="15" customFormat="false" ht="15" hidden="false" customHeight="false" outlineLevel="0" collapsed="false">
      <c r="A15" s="54"/>
      <c r="B15" s="8"/>
      <c r="C15" s="8"/>
      <c r="D15" s="8"/>
      <c r="E15" s="8"/>
      <c r="F15" s="8"/>
      <c r="G15" s="8"/>
      <c r="H15" s="55"/>
      <c r="I15" s="8"/>
      <c r="J15" s="8"/>
      <c r="K15" s="8"/>
    </row>
    <row r="16" customFormat="false" ht="15" hidden="false" customHeight="false" outlineLevel="0" collapsed="false">
      <c r="A16" s="54"/>
      <c r="B16" s="8"/>
      <c r="C16" s="8"/>
      <c r="D16" s="8"/>
      <c r="E16" s="8"/>
      <c r="F16" s="8"/>
      <c r="G16" s="8"/>
      <c r="H16" s="55"/>
      <c r="I16" s="8"/>
      <c r="J16" s="8"/>
      <c r="K16" s="8"/>
    </row>
    <row r="17" customFormat="false" ht="15" hidden="false" customHeight="false" outlineLevel="0" collapsed="false">
      <c r="A17" s="54"/>
      <c r="B17" s="8"/>
      <c r="C17" s="8"/>
      <c r="D17" s="8"/>
      <c r="E17" s="8"/>
      <c r="F17" s="8"/>
      <c r="G17" s="8"/>
      <c r="H17" s="55"/>
      <c r="I17" s="8"/>
      <c r="J17" s="8"/>
      <c r="K17" s="8"/>
    </row>
    <row r="18" customFormat="false" ht="15" hidden="false" customHeight="false" outlineLevel="0" collapsed="false">
      <c r="A18" s="54"/>
      <c r="B18" s="8"/>
      <c r="C18" s="8"/>
      <c r="D18" s="8"/>
      <c r="E18" s="8"/>
      <c r="F18" s="8"/>
      <c r="G18" s="8"/>
      <c r="H18" s="55"/>
      <c r="I18" s="8"/>
      <c r="J18" s="8"/>
      <c r="K18" s="8"/>
    </row>
    <row r="19" customFormat="false" ht="15" hidden="false" customHeight="false" outlineLevel="0" collapsed="false">
      <c r="A19" s="54"/>
      <c r="B19" s="8"/>
      <c r="C19" s="8"/>
      <c r="D19" s="8"/>
      <c r="E19" s="8"/>
      <c r="F19" s="8"/>
      <c r="G19" s="8"/>
      <c r="H19" s="55"/>
      <c r="I19" s="8"/>
      <c r="J19" s="8"/>
      <c r="K19" s="8"/>
    </row>
    <row r="20" customFormat="false" ht="15" hidden="false" customHeight="false" outlineLevel="0" collapsed="false">
      <c r="A20" s="54"/>
      <c r="B20" s="8"/>
      <c r="C20" s="8"/>
      <c r="D20" s="8"/>
      <c r="E20" s="8"/>
      <c r="F20" s="8"/>
      <c r="G20" s="8"/>
      <c r="H20" s="55"/>
      <c r="I20" s="8"/>
      <c r="J20" s="8"/>
      <c r="K20" s="8"/>
    </row>
    <row r="21" customFormat="false" ht="15" hidden="false" customHeight="false" outlineLevel="0" collapsed="false">
      <c r="A21" s="54"/>
      <c r="B21" s="8"/>
      <c r="C21" s="8"/>
      <c r="D21" s="8"/>
      <c r="E21" s="8"/>
      <c r="F21" s="8"/>
      <c r="G21" s="8"/>
      <c r="H21" s="55"/>
      <c r="I21" s="8"/>
      <c r="J21" s="8"/>
      <c r="K21" s="8"/>
    </row>
    <row r="22" customFormat="false" ht="15" hidden="false" customHeight="false" outlineLevel="0" collapsed="false">
      <c r="A22" s="54"/>
      <c r="B22" s="8"/>
      <c r="C22" s="8"/>
      <c r="D22" s="8"/>
      <c r="E22" s="8"/>
      <c r="F22" s="8"/>
      <c r="G22" s="8"/>
      <c r="H22" s="55"/>
      <c r="I22" s="8"/>
      <c r="J22" s="8"/>
      <c r="K22" s="8"/>
    </row>
    <row r="23" customFormat="false" ht="15" hidden="false" customHeight="false" outlineLevel="0" collapsed="false">
      <c r="A23" s="54"/>
      <c r="B23" s="8"/>
      <c r="C23" s="8"/>
      <c r="D23" s="8"/>
      <c r="E23" s="8"/>
      <c r="F23" s="8"/>
      <c r="G23" s="8"/>
      <c r="H23" s="55"/>
      <c r="I23" s="8"/>
      <c r="J23" s="8"/>
      <c r="K23" s="8"/>
    </row>
    <row r="24" customFormat="false" ht="15" hidden="false" customHeight="false" outlineLevel="0" collapsed="false">
      <c r="A24" s="54"/>
      <c r="B24" s="8"/>
      <c r="C24" s="8"/>
      <c r="D24" s="8"/>
      <c r="E24" s="8"/>
      <c r="F24" s="8"/>
      <c r="G24" s="8"/>
      <c r="H24" s="55"/>
      <c r="I24" s="8"/>
      <c r="J24" s="8"/>
      <c r="K24" s="8"/>
    </row>
    <row r="25" customFormat="false" ht="15" hidden="false" customHeight="false" outlineLevel="0" collapsed="false">
      <c r="A25" s="54"/>
      <c r="B25" s="8"/>
      <c r="C25" s="8"/>
      <c r="D25" s="8"/>
      <c r="E25" s="8"/>
      <c r="F25" s="8"/>
      <c r="G25" s="8"/>
      <c r="H25" s="55"/>
      <c r="I25" s="8"/>
      <c r="J25" s="8"/>
      <c r="K25" s="8"/>
    </row>
    <row r="26" customFormat="false" ht="15" hidden="false" customHeight="false" outlineLevel="0" collapsed="false">
      <c r="A26" s="54"/>
      <c r="B26" s="8"/>
      <c r="C26" s="8"/>
      <c r="D26" s="8"/>
      <c r="E26" s="8"/>
      <c r="F26" s="8"/>
      <c r="G26" s="8"/>
      <c r="H26" s="55"/>
      <c r="I26" s="8"/>
      <c r="J26" s="8"/>
      <c r="K26" s="8"/>
    </row>
    <row r="27" customFormat="false" ht="15" hidden="false" customHeight="false" outlineLevel="0" collapsed="false">
      <c r="A27" s="54"/>
      <c r="B27" s="8"/>
      <c r="C27" s="8"/>
      <c r="D27" s="8"/>
      <c r="E27" s="8"/>
      <c r="F27" s="8"/>
      <c r="G27" s="8"/>
      <c r="H27" s="55"/>
      <c r="I27" s="8"/>
      <c r="J27" s="8"/>
      <c r="K27" s="8"/>
    </row>
    <row r="28" customFormat="false" ht="15" hidden="false" customHeight="false" outlineLevel="0" collapsed="false">
      <c r="A28" s="54"/>
      <c r="B28" s="8"/>
      <c r="C28" s="8"/>
      <c r="D28" s="8"/>
      <c r="E28" s="8"/>
      <c r="F28" s="8"/>
      <c r="G28" s="8"/>
      <c r="H28" s="55"/>
      <c r="I28" s="8"/>
      <c r="J28" s="8"/>
      <c r="K28" s="8"/>
    </row>
    <row r="29" customFormat="false" ht="15" hidden="false" customHeight="false" outlineLevel="0" collapsed="false">
      <c r="A29" s="54"/>
      <c r="B29" s="8"/>
      <c r="C29" s="8"/>
      <c r="D29" s="8"/>
      <c r="E29" s="8"/>
      <c r="F29" s="8"/>
      <c r="G29" s="8"/>
      <c r="H29" s="55"/>
      <c r="I29" s="8"/>
      <c r="J29" s="8"/>
      <c r="K29" s="8"/>
    </row>
    <row r="30" customFormat="false" ht="15" hidden="false" customHeight="false" outlineLevel="0" collapsed="false">
      <c r="A30" s="54"/>
      <c r="B30" s="8"/>
      <c r="C30" s="8"/>
      <c r="D30" s="8"/>
      <c r="E30" s="8"/>
      <c r="F30" s="8"/>
      <c r="G30" s="8"/>
      <c r="H30" s="55"/>
      <c r="I30" s="8"/>
      <c r="J30" s="8"/>
      <c r="K30" s="8"/>
    </row>
    <row r="31" customFormat="false" ht="15" hidden="false" customHeight="false" outlineLevel="0" collapsed="false">
      <c r="A31" s="54"/>
      <c r="B31" s="8"/>
      <c r="C31" s="8"/>
      <c r="D31" s="8"/>
      <c r="E31" s="8"/>
      <c r="F31" s="8"/>
      <c r="G31" s="8"/>
      <c r="H31" s="55"/>
      <c r="I31" s="8"/>
      <c r="J31" s="8"/>
      <c r="K31" s="8"/>
    </row>
    <row r="32" customFormat="false" ht="15" hidden="false" customHeight="false" outlineLevel="0" collapsed="false">
      <c r="A32" s="54"/>
      <c r="B32" s="8"/>
      <c r="C32" s="8"/>
      <c r="D32" s="8"/>
      <c r="E32" s="8"/>
      <c r="F32" s="8"/>
      <c r="G32" s="8"/>
      <c r="H32" s="55"/>
      <c r="I32" s="8"/>
      <c r="J32" s="8"/>
      <c r="K32" s="8"/>
    </row>
    <row r="33" customFormat="false" ht="15" hidden="false" customHeight="false" outlineLevel="0" collapsed="false">
      <c r="A33" s="54"/>
      <c r="B33" s="8"/>
      <c r="C33" s="8"/>
      <c r="D33" s="8"/>
      <c r="E33" s="8"/>
      <c r="F33" s="8"/>
      <c r="G33" s="8"/>
      <c r="H33" s="55"/>
      <c r="I33" s="8"/>
      <c r="J33" s="8"/>
      <c r="K33" s="8"/>
    </row>
    <row r="34" customFormat="false" ht="15" hidden="false" customHeight="false" outlineLevel="0" collapsed="false">
      <c r="A34" s="54"/>
      <c r="B34" s="8"/>
      <c r="C34" s="8"/>
      <c r="D34" s="8"/>
      <c r="E34" s="8"/>
      <c r="F34" s="8"/>
      <c r="G34" s="8"/>
      <c r="H34" s="55"/>
      <c r="I34" s="8"/>
      <c r="J34" s="8"/>
      <c r="K34" s="8"/>
    </row>
    <row r="35" customFormat="false" ht="15" hidden="false" customHeight="false" outlineLevel="0" collapsed="false">
      <c r="A35" s="54"/>
      <c r="B35" s="8"/>
      <c r="C35" s="8"/>
      <c r="D35" s="8"/>
      <c r="E35" s="8"/>
      <c r="F35" s="8"/>
      <c r="G35" s="8"/>
      <c r="H35" s="55"/>
      <c r="I35" s="8"/>
      <c r="J35" s="8"/>
      <c r="K35" s="8"/>
    </row>
    <row r="36" customFormat="false" ht="15" hidden="false" customHeight="false" outlineLevel="0" collapsed="false">
      <c r="A36" s="54"/>
      <c r="B36" s="8"/>
      <c r="C36" s="8"/>
      <c r="D36" s="8"/>
      <c r="E36" s="8"/>
      <c r="F36" s="8"/>
      <c r="G36" s="8"/>
      <c r="H36" s="55"/>
      <c r="I36" s="8"/>
      <c r="J36" s="8"/>
      <c r="K36" s="8"/>
    </row>
    <row r="37" customFormat="false" ht="15" hidden="false" customHeight="false" outlineLevel="0" collapsed="false">
      <c r="A37" s="54"/>
      <c r="B37" s="8"/>
      <c r="C37" s="8"/>
      <c r="D37" s="8"/>
      <c r="E37" s="8"/>
      <c r="F37" s="8"/>
      <c r="G37" s="8"/>
      <c r="H37" s="55"/>
      <c r="I37" s="8"/>
      <c r="J37" s="8"/>
      <c r="K37" s="8"/>
    </row>
    <row r="38" customFormat="false" ht="15" hidden="false" customHeight="false" outlineLevel="0" collapsed="false">
      <c r="A38" s="54"/>
      <c r="B38" s="8"/>
      <c r="C38" s="8"/>
      <c r="D38" s="8"/>
      <c r="E38" s="8"/>
      <c r="F38" s="8"/>
      <c r="G38" s="8"/>
      <c r="H38" s="55"/>
      <c r="I38" s="8"/>
      <c r="J38" s="8"/>
      <c r="K38" s="8"/>
    </row>
    <row r="39" customFormat="false" ht="15" hidden="false" customHeight="false" outlineLevel="0" collapsed="false">
      <c r="A39" s="54"/>
      <c r="B39" s="8"/>
      <c r="C39" s="8"/>
      <c r="D39" s="8"/>
      <c r="E39" s="8"/>
      <c r="F39" s="8"/>
      <c r="G39" s="8"/>
      <c r="H39" s="55"/>
      <c r="I39" s="8"/>
      <c r="J39" s="8"/>
      <c r="K39" s="8"/>
    </row>
    <row r="40" customFormat="false" ht="15" hidden="false" customHeight="false" outlineLevel="0" collapsed="false">
      <c r="A40" s="54"/>
      <c r="B40" s="8"/>
      <c r="C40" s="8"/>
      <c r="D40" s="8"/>
      <c r="E40" s="8"/>
      <c r="F40" s="8"/>
      <c r="G40" s="8"/>
      <c r="H40" s="55"/>
      <c r="I40" s="8"/>
      <c r="J40" s="8"/>
      <c r="K40" s="8"/>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5"/>
    <col collapsed="false" customWidth="true" hidden="false" outlineLevel="0" max="3" min="3" style="0" width="34"/>
    <col collapsed="false" customWidth="true" hidden="false" outlineLevel="0" max="4" min="4" style="0" width="22"/>
    <col collapsed="false" customWidth="true" hidden="false" outlineLevel="0" max="5" min="5" style="0" width="32"/>
    <col collapsed="false" customWidth="true" hidden="false" outlineLevel="0" max="6" min="6" style="0" width="30"/>
  </cols>
  <sheetData>
    <row r="1" customFormat="false" ht="15" hidden="false" customHeight="false" outlineLevel="0" collapsed="false">
      <c r="A1" s="56" t="s">
        <v>213</v>
      </c>
      <c r="B1" s="56" t="s">
        <v>218</v>
      </c>
      <c r="C1" s="56" t="s">
        <v>219</v>
      </c>
      <c r="D1" s="56" t="s">
        <v>363</v>
      </c>
      <c r="E1" s="56" t="s">
        <v>222</v>
      </c>
      <c r="F1" s="56" t="s">
        <v>364</v>
      </c>
    </row>
    <row r="2" customFormat="false" ht="15" hidden="false" customHeight="false" outlineLevel="0" collapsed="false">
      <c r="A2" s="8" t="s">
        <v>365</v>
      </c>
      <c r="B2" s="8" t="s">
        <v>9</v>
      </c>
      <c r="C2" s="8" t="s">
        <v>244</v>
      </c>
      <c r="D2" s="8" t="s">
        <v>232</v>
      </c>
      <c r="E2" s="8" t="s">
        <v>309</v>
      </c>
      <c r="F2" s="8" t="s">
        <v>276</v>
      </c>
    </row>
    <row r="3" customFormat="false" ht="15" hidden="false" customHeight="false" outlineLevel="0" collapsed="false">
      <c r="A3" s="8" t="s">
        <v>281</v>
      </c>
      <c r="B3" s="8" t="s">
        <v>366</v>
      </c>
      <c r="C3" s="8" t="s">
        <v>273</v>
      </c>
      <c r="D3" s="8" t="s">
        <v>300</v>
      </c>
      <c r="E3" s="8" t="s">
        <v>367</v>
      </c>
      <c r="F3" s="8" t="s">
        <v>368</v>
      </c>
    </row>
    <row r="4" customFormat="false" ht="15" hidden="false" customHeight="false" outlineLevel="0" collapsed="false">
      <c r="A4" s="8" t="s">
        <v>307</v>
      </c>
      <c r="B4" s="8" t="s">
        <v>369</v>
      </c>
      <c r="C4" s="8" t="s">
        <v>370</v>
      </c>
      <c r="D4" s="8" t="s">
        <v>371</v>
      </c>
      <c r="E4" s="8" t="s">
        <v>372</v>
      </c>
      <c r="F4" s="8" t="s">
        <v>373</v>
      </c>
    </row>
    <row r="5" customFormat="false" ht="15" hidden="false" customHeight="false" outlineLevel="0" collapsed="false">
      <c r="A5" s="8" t="s">
        <v>374</v>
      </c>
      <c r="B5" s="8" t="s">
        <v>375</v>
      </c>
      <c r="C5" s="8" t="s">
        <v>299</v>
      </c>
      <c r="D5" s="8" t="s">
        <v>376</v>
      </c>
      <c r="E5" s="8" t="s">
        <v>282</v>
      </c>
      <c r="F5" s="8" t="s">
        <v>377</v>
      </c>
    </row>
    <row r="6" customFormat="false" ht="15" hidden="false" customHeight="false" outlineLevel="0" collapsed="false">
      <c r="A6" s="8" t="s">
        <v>378</v>
      </c>
      <c r="B6" s="8" t="s">
        <v>379</v>
      </c>
      <c r="C6" s="8" t="s">
        <v>380</v>
      </c>
      <c r="E6" s="8" t="s">
        <v>246</v>
      </c>
      <c r="F6" s="8" t="s">
        <v>381</v>
      </c>
    </row>
    <row r="7" customFormat="false" ht="15" hidden="false" customHeight="false" outlineLevel="0" collapsed="false">
      <c r="A7" s="8" t="s">
        <v>304</v>
      </c>
      <c r="B7" s="8" t="s">
        <v>371</v>
      </c>
      <c r="E7" s="8" t="s">
        <v>382</v>
      </c>
      <c r="F7" s="8" t="s">
        <v>383</v>
      </c>
    </row>
    <row r="8" customFormat="false" ht="15" hidden="false" customHeight="false" outlineLevel="0" collapsed="false">
      <c r="A8" s="8" t="s">
        <v>384</v>
      </c>
      <c r="E8" s="8" t="s">
        <v>385</v>
      </c>
      <c r="F8" s="8" t="s">
        <v>371</v>
      </c>
    </row>
    <row r="9" customFormat="false" ht="15" hidden="false" customHeight="false" outlineLevel="0" collapsed="false">
      <c r="A9" s="8" t="s">
        <v>386</v>
      </c>
    </row>
    <row r="10" customFormat="false" ht="15" hidden="false" customHeight="false" outlineLevel="0" collapsed="false">
      <c r="A10" s="8" t="s">
        <v>278</v>
      </c>
    </row>
    <row r="11" customFormat="false" ht="15" hidden="false" customHeight="false" outlineLevel="0" collapsed="false">
      <c r="A11" s="8" t="s">
        <v>241</v>
      </c>
    </row>
    <row r="12" customFormat="false" ht="15" hidden="false" customHeight="false" outlineLevel="0" collapsed="false">
      <c r="A12" s="8" t="s">
        <v>387</v>
      </c>
    </row>
    <row r="13" customFormat="false" ht="15" hidden="false" customHeight="false" outlineLevel="0" collapsed="false">
      <c r="A13" s="8" t="s">
        <v>388</v>
      </c>
    </row>
    <row r="14" customFormat="false" ht="15" hidden="false" customHeight="false" outlineLevel="0" collapsed="false">
      <c r="A14" s="8" t="s">
        <v>389</v>
      </c>
    </row>
    <row r="17" customFormat="false" ht="15" hidden="false" customHeight="false" outlineLevel="0" collapsed="false">
      <c r="A17" s="57" t="s">
        <v>390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2026-08-05T09:35:40Z</dcterms:created>
  <dc:creator>openpyxl</dc:creator>
  <dc:description/>
  <dc:language>en-US</dc:language>
  <cp:lastModifiedBy/>
  <dcterms:modified xsi:type="dcterms:W3CDTF">2026-08-05T09:35:50Z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